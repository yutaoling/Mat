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tbc\Desktop\"/>
    </mc:Choice>
  </mc:AlternateContent>
  <xr:revisionPtr revIDLastSave="0" documentId="13_ncr:1_{BBD8B975-1D35-4DA7-80FE-9EF76130D4AE}" xr6:coauthVersionLast="47" xr6:coauthVersionMax="47" xr10:uidLastSave="{00000000-0000-0000-0000-000000000000}"/>
  <bookViews>
    <workbookView xWindow="-120" yWindow="-120" windowWidth="29040" windowHeight="15720" xr2:uid="{A2041806-C8C5-43CB-AC1E-E9D089AB6EB3}"/>
  </bookViews>
  <sheets>
    <sheet name="拉伸-按体系" sheetId="8" r:id="rId1"/>
    <sheet name="E" sheetId="5" r:id="rId2"/>
    <sheet name="impact" sheetId="6" r:id="rId3"/>
    <sheet name="creep" sheetId="7" r:id="rId4"/>
  </sheets>
  <definedNames>
    <definedName name="_xlnm._FilterDatabase" localSheetId="1" hidden="1">E!$Z$1:$Z$415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8" l="1" a="1"/>
  <c r="M4" i="8" s="1"/>
  <c r="O1206" i="8"/>
  <c r="M1206" i="8" a="1"/>
  <c r="M1206" i="8" s="1"/>
  <c r="O1205" i="8"/>
  <c r="M1205" i="8" a="1"/>
  <c r="M1205" i="8" s="1"/>
  <c r="O1204" i="8"/>
  <c r="M1204" i="8" a="1"/>
  <c r="M1204" i="8" s="1"/>
  <c r="O1203" i="8"/>
  <c r="M1203" i="8" a="1"/>
  <c r="M1203" i="8" s="1"/>
  <c r="O1202" i="8"/>
  <c r="M1202" i="8" a="1"/>
  <c r="M1202" i="8" s="1"/>
  <c r="O1201" i="8"/>
  <c r="M1201" i="8" a="1"/>
  <c r="M1201" i="8" s="1"/>
  <c r="O1200" i="8"/>
  <c r="M1200" i="8" a="1"/>
  <c r="M1200" i="8" s="1"/>
  <c r="O1199" i="8"/>
  <c r="M1199" i="8" a="1"/>
  <c r="M1199" i="8" s="1"/>
  <c r="O1198" i="8"/>
  <c r="M1198" i="8" a="1"/>
  <c r="M1198" i="8" s="1"/>
  <c r="O1197" i="8"/>
  <c r="M1197" i="8" a="1"/>
  <c r="M1197" i="8" s="1"/>
  <c r="O1196" i="8"/>
  <c r="M1196" i="8" a="1"/>
  <c r="M1196" i="8" s="1"/>
  <c r="O1195" i="8"/>
  <c r="M1195" i="8" a="1"/>
  <c r="M1195" i="8" s="1"/>
  <c r="O1194" i="8"/>
  <c r="M1194" i="8" a="1"/>
  <c r="M1194" i="8" s="1"/>
  <c r="O1193" i="8"/>
  <c r="M1193" i="8" a="1"/>
  <c r="M1193" i="8" s="1"/>
  <c r="O1192" i="8"/>
  <c r="M1192" i="8" a="1"/>
  <c r="M1192" i="8" s="1"/>
  <c r="O1191" i="8"/>
  <c r="M1191" i="8" a="1"/>
  <c r="M1191" i="8" s="1"/>
  <c r="O1190" i="8"/>
  <c r="M1190" i="8" a="1"/>
  <c r="M1190" i="8" s="1"/>
  <c r="O1189" i="8"/>
  <c r="M1189" i="8" a="1"/>
  <c r="M1189" i="8" s="1"/>
  <c r="O1188" i="8"/>
  <c r="M1188" i="8" a="1"/>
  <c r="M1188" i="8" s="1"/>
  <c r="O1187" i="8"/>
  <c r="M1187" i="8" a="1"/>
  <c r="M1187" i="8" s="1"/>
  <c r="O1186" i="8"/>
  <c r="M1186" i="8" a="1"/>
  <c r="M1186" i="8" s="1"/>
  <c r="O1185" i="8"/>
  <c r="M1185" i="8" a="1"/>
  <c r="M1185" i="8" s="1"/>
  <c r="O1184" i="8"/>
  <c r="M1184" i="8" a="1"/>
  <c r="M1184" i="8" s="1"/>
  <c r="O1183" i="8"/>
  <c r="M1183" i="8" a="1"/>
  <c r="M1183" i="8" s="1"/>
  <c r="O1182" i="8"/>
  <c r="M1182" i="8" a="1"/>
  <c r="M1182" i="8" s="1"/>
  <c r="O1181" i="8"/>
  <c r="M1181" i="8" a="1"/>
  <c r="M1181" i="8" s="1"/>
  <c r="O1180" i="8"/>
  <c r="M1180" i="8" a="1"/>
  <c r="M1180" i="8" s="1"/>
  <c r="O1179" i="8"/>
  <c r="M1179" i="8" a="1"/>
  <c r="M1179" i="8" s="1"/>
  <c r="O1178" i="8"/>
  <c r="M1178" i="8" a="1"/>
  <c r="M1178" i="8" s="1"/>
  <c r="O1177" i="8"/>
  <c r="M1177" i="8" a="1"/>
  <c r="M1177" i="8" s="1"/>
  <c r="O1176" i="8"/>
  <c r="M1176" i="8" a="1"/>
  <c r="M1176" i="8" s="1"/>
  <c r="O1175" i="8"/>
  <c r="M1175" i="8" a="1"/>
  <c r="M1175" i="8" s="1"/>
  <c r="O1174" i="8"/>
  <c r="M1174" i="8" a="1"/>
  <c r="M1174" i="8" s="1"/>
  <c r="C1173" i="8"/>
  <c r="O1173" i="8" s="1"/>
  <c r="M1172" i="8" a="1"/>
  <c r="M1172" i="8" s="1"/>
  <c r="C1172" i="8"/>
  <c r="O1172" i="8" s="1"/>
  <c r="O1171" i="8"/>
  <c r="M1171" i="8" a="1"/>
  <c r="M1171" i="8" s="1"/>
  <c r="O1170" i="8"/>
  <c r="M1170" i="8" a="1"/>
  <c r="M1170" i="8" s="1"/>
  <c r="O1169" i="8"/>
  <c r="M1169" i="8" a="1"/>
  <c r="M1169" i="8" s="1"/>
  <c r="O1168" i="8"/>
  <c r="M1168" i="8" a="1"/>
  <c r="M1168" i="8" s="1"/>
  <c r="O1167" i="8"/>
  <c r="M1167" i="8" a="1"/>
  <c r="M1167" i="8" s="1"/>
  <c r="O1166" i="8"/>
  <c r="M1166" i="8" a="1"/>
  <c r="M1166" i="8" s="1"/>
  <c r="O1165" i="8"/>
  <c r="M1165" i="8" a="1"/>
  <c r="M1165" i="8" s="1"/>
  <c r="O1164" i="8"/>
  <c r="M1164" i="8" a="1"/>
  <c r="M1164" i="8" s="1"/>
  <c r="O1163" i="8"/>
  <c r="M1163" i="8" a="1"/>
  <c r="M1163" i="8" s="1"/>
  <c r="O1162" i="8"/>
  <c r="M1162" i="8" a="1"/>
  <c r="M1162" i="8" s="1"/>
  <c r="O1161" i="8"/>
  <c r="M1161" i="8" a="1"/>
  <c r="M1161" i="8" s="1"/>
  <c r="O1160" i="8"/>
  <c r="M1160" i="8" a="1"/>
  <c r="M1160" i="8" s="1"/>
  <c r="O1159" i="8"/>
  <c r="M1159" i="8" a="1"/>
  <c r="M1159" i="8" s="1"/>
  <c r="O1158" i="8"/>
  <c r="M1158" i="8" a="1"/>
  <c r="M1158" i="8" s="1"/>
  <c r="O1157" i="8"/>
  <c r="M1157" i="8" a="1"/>
  <c r="M1157" i="8" s="1"/>
  <c r="O1156" i="8"/>
  <c r="M1156" i="8" a="1"/>
  <c r="M1156" i="8" s="1"/>
  <c r="C1155" i="8"/>
  <c r="O1155" i="8" s="1"/>
  <c r="C1154" i="8"/>
  <c r="O1154" i="8" s="1"/>
  <c r="M1153" i="8" a="1"/>
  <c r="M1153" i="8" s="1"/>
  <c r="C1153" i="8"/>
  <c r="O1153" i="8" s="1"/>
  <c r="O1152" i="8"/>
  <c r="M1152" i="8" a="1"/>
  <c r="M1152" i="8" s="1"/>
  <c r="C1152" i="8"/>
  <c r="C1151" i="8"/>
  <c r="O1151" i="8" s="1"/>
  <c r="O1150" i="8"/>
  <c r="C1150" i="8"/>
  <c r="M1150" i="8" s="1" a="1"/>
  <c r="M1150" i="8" s="1"/>
  <c r="C1149" i="8"/>
  <c r="M1149" i="8" s="1" a="1"/>
  <c r="M1149" i="8" s="1"/>
  <c r="C1148" i="8"/>
  <c r="O1148" i="8" s="1"/>
  <c r="M1147" i="8" a="1"/>
  <c r="M1147" i="8" s="1"/>
  <c r="C1147" i="8"/>
  <c r="O1147" i="8" s="1"/>
  <c r="C1146" i="8"/>
  <c r="O1146" i="8" s="1"/>
  <c r="C1145" i="8"/>
  <c r="O1145" i="8" s="1"/>
  <c r="M1144" i="8" a="1"/>
  <c r="M1144" i="8" s="1"/>
  <c r="C1144" i="8"/>
  <c r="O1144" i="8" s="1"/>
  <c r="C1143" i="8"/>
  <c r="O1143" i="8" s="1"/>
  <c r="M1142" i="8" a="1"/>
  <c r="M1142" i="8" s="1"/>
  <c r="C1142" i="8"/>
  <c r="O1142" i="8" s="1"/>
  <c r="C1141" i="8"/>
  <c r="O1141" i="8" s="1"/>
  <c r="C1140" i="8"/>
  <c r="O1140" i="8" s="1"/>
  <c r="O1139" i="8"/>
  <c r="C1139" i="8"/>
  <c r="M1139" i="8" s="1" a="1"/>
  <c r="M1139" i="8" s="1"/>
  <c r="O1138" i="8"/>
  <c r="M1138" i="8" a="1"/>
  <c r="M1138" i="8" s="1"/>
  <c r="C1138" i="8"/>
  <c r="C1137" i="8"/>
  <c r="O1137" i="8" s="1"/>
  <c r="O1136" i="8"/>
  <c r="M1136" i="8" a="1"/>
  <c r="M1136" i="8" s="1"/>
  <c r="O1135" i="8"/>
  <c r="M1135" i="8" a="1"/>
  <c r="M1135" i="8" s="1"/>
  <c r="O1134" i="8"/>
  <c r="M1134" i="8" a="1"/>
  <c r="M1134" i="8" s="1"/>
  <c r="O1133" i="8"/>
  <c r="M1133" i="8" a="1"/>
  <c r="M1133" i="8" s="1"/>
  <c r="O1132" i="8"/>
  <c r="M1132" i="8" a="1"/>
  <c r="M1132" i="8" s="1"/>
  <c r="O1131" i="8"/>
  <c r="M1131" i="8" a="1"/>
  <c r="M1131" i="8" s="1"/>
  <c r="O1130" i="8"/>
  <c r="M1130" i="8" a="1"/>
  <c r="M1130" i="8" s="1"/>
  <c r="O1129" i="8"/>
  <c r="M1129" i="8" a="1"/>
  <c r="M1129" i="8" s="1"/>
  <c r="O1128" i="8"/>
  <c r="M1128" i="8" a="1"/>
  <c r="M1128" i="8" s="1"/>
  <c r="O1127" i="8"/>
  <c r="M1127" i="8" a="1"/>
  <c r="M1127" i="8" s="1"/>
  <c r="O1126" i="8"/>
  <c r="M1126" i="8" a="1"/>
  <c r="M1126" i="8" s="1"/>
  <c r="O1125" i="8"/>
  <c r="M1125" i="8" a="1"/>
  <c r="M1125" i="8" s="1"/>
  <c r="O1124" i="8"/>
  <c r="M1124" i="8" a="1"/>
  <c r="M1124" i="8" s="1"/>
  <c r="O1123" i="8"/>
  <c r="M1123" i="8" a="1"/>
  <c r="M1123" i="8" s="1"/>
  <c r="O1122" i="8"/>
  <c r="M1122" i="8" a="1"/>
  <c r="M1122" i="8" s="1"/>
  <c r="O1121" i="8"/>
  <c r="M1121" i="8" a="1"/>
  <c r="M1121" i="8" s="1"/>
  <c r="O1120" i="8"/>
  <c r="M1120" i="8" a="1"/>
  <c r="M1120" i="8" s="1"/>
  <c r="O1119" i="8"/>
  <c r="M1119" i="8" a="1"/>
  <c r="M1119" i="8" s="1"/>
  <c r="O1118" i="8"/>
  <c r="M1118" i="8" a="1"/>
  <c r="M1118" i="8" s="1"/>
  <c r="O1117" i="8"/>
  <c r="M1117" i="8" a="1"/>
  <c r="M1117" i="8" s="1"/>
  <c r="O1116" i="8"/>
  <c r="M1116" i="8" a="1"/>
  <c r="M1116" i="8" s="1"/>
  <c r="O1115" i="8"/>
  <c r="M1115" i="8" a="1"/>
  <c r="M1115" i="8" s="1"/>
  <c r="C1115" i="8"/>
  <c r="C1114" i="8"/>
  <c r="O1114" i="8" s="1"/>
  <c r="C1113" i="8"/>
  <c r="O1113" i="8" s="1"/>
  <c r="O1112" i="8"/>
  <c r="M1112" i="8" a="1"/>
  <c r="M1112" i="8" s="1"/>
  <c r="O1111" i="8"/>
  <c r="M1111" i="8" a="1"/>
  <c r="M1111" i="8" s="1"/>
  <c r="O1110" i="8"/>
  <c r="M1110" i="8" a="1"/>
  <c r="M1110" i="8" s="1"/>
  <c r="O1109" i="8"/>
  <c r="M1109" i="8" a="1"/>
  <c r="M1109" i="8" s="1"/>
  <c r="O1108" i="8"/>
  <c r="M1108" i="8" a="1"/>
  <c r="M1108" i="8" s="1"/>
  <c r="O1107" i="8"/>
  <c r="M1107" i="8" a="1"/>
  <c r="M1107" i="8" s="1"/>
  <c r="O1106" i="8"/>
  <c r="M1106" i="8" a="1"/>
  <c r="M1106" i="8" s="1"/>
  <c r="O1105" i="8"/>
  <c r="M1105" i="8" a="1"/>
  <c r="M1105" i="8" s="1"/>
  <c r="O1104" i="8"/>
  <c r="M1104" i="8" a="1"/>
  <c r="M1104" i="8" s="1"/>
  <c r="O1103" i="8"/>
  <c r="M1103" i="8" a="1"/>
  <c r="M1103" i="8" s="1"/>
  <c r="O1102" i="8"/>
  <c r="M1102" i="8" a="1"/>
  <c r="M1102" i="8" s="1"/>
  <c r="O1101" i="8"/>
  <c r="M1101" i="8" a="1"/>
  <c r="M1101" i="8" s="1"/>
  <c r="O1100" i="8"/>
  <c r="M1100" i="8" a="1"/>
  <c r="M1100" i="8" s="1"/>
  <c r="O1099" i="8"/>
  <c r="M1099" i="8" a="1"/>
  <c r="M1099" i="8" s="1"/>
  <c r="O1098" i="8"/>
  <c r="M1098" i="8" a="1"/>
  <c r="M1098" i="8" s="1"/>
  <c r="O1097" i="8"/>
  <c r="M1097" i="8" a="1"/>
  <c r="M1097" i="8" s="1"/>
  <c r="O1096" i="8"/>
  <c r="M1096" i="8" a="1"/>
  <c r="M1096" i="8" s="1"/>
  <c r="O1095" i="8"/>
  <c r="M1095" i="8" a="1"/>
  <c r="M1095" i="8" s="1"/>
  <c r="O1094" i="8"/>
  <c r="M1094" i="8" a="1"/>
  <c r="M1094" i="8" s="1"/>
  <c r="O1093" i="8"/>
  <c r="M1093" i="8" a="1"/>
  <c r="M1093" i="8" s="1"/>
  <c r="O1092" i="8"/>
  <c r="M1092" i="8" a="1"/>
  <c r="M1092" i="8" s="1"/>
  <c r="O1091" i="8"/>
  <c r="M1091" i="8" a="1"/>
  <c r="M1091" i="8" s="1"/>
  <c r="O1090" i="8"/>
  <c r="M1090" i="8" a="1"/>
  <c r="M1090" i="8" s="1"/>
  <c r="O1089" i="8"/>
  <c r="M1089" i="8" a="1"/>
  <c r="M1089" i="8" s="1"/>
  <c r="O1088" i="8"/>
  <c r="M1088" i="8" a="1"/>
  <c r="M1088" i="8" s="1"/>
  <c r="O1087" i="8"/>
  <c r="M1087" i="8" a="1"/>
  <c r="M1087" i="8" s="1"/>
  <c r="O1086" i="8"/>
  <c r="M1086" i="8" a="1"/>
  <c r="M1086" i="8" s="1"/>
  <c r="O1085" i="8"/>
  <c r="M1085" i="8" a="1"/>
  <c r="M1085" i="8" s="1"/>
  <c r="O1084" i="8"/>
  <c r="M1084" i="8" a="1"/>
  <c r="M1084" i="8" s="1"/>
  <c r="O1083" i="8"/>
  <c r="M1083" i="8" a="1"/>
  <c r="M1083" i="8" s="1"/>
  <c r="O1082" i="8"/>
  <c r="M1082" i="8" a="1"/>
  <c r="M1082" i="8" s="1"/>
  <c r="O1081" i="8"/>
  <c r="M1081" i="8" a="1"/>
  <c r="M1081" i="8" s="1"/>
  <c r="O1080" i="8"/>
  <c r="M1080" i="8" a="1"/>
  <c r="M1080" i="8" s="1"/>
  <c r="O1079" i="8"/>
  <c r="M1079" i="8" a="1"/>
  <c r="M1079" i="8" s="1"/>
  <c r="O1078" i="8"/>
  <c r="M1078" i="8" a="1"/>
  <c r="M1078" i="8" s="1"/>
  <c r="O1077" i="8"/>
  <c r="M1077" i="8" a="1"/>
  <c r="M1077" i="8" s="1"/>
  <c r="O1076" i="8"/>
  <c r="M1076" i="8" a="1"/>
  <c r="M1076" i="8" s="1"/>
  <c r="O1075" i="8"/>
  <c r="M1075" i="8" a="1"/>
  <c r="M1075" i="8" s="1"/>
  <c r="O1074" i="8"/>
  <c r="M1074" i="8" a="1"/>
  <c r="M1074" i="8" s="1"/>
  <c r="O1073" i="8"/>
  <c r="M1073" i="8" a="1"/>
  <c r="M1073" i="8" s="1"/>
  <c r="O1072" i="8"/>
  <c r="M1072" i="8" a="1"/>
  <c r="M1072" i="8" s="1"/>
  <c r="O1071" i="8"/>
  <c r="M1071" i="8" a="1"/>
  <c r="M1071" i="8" s="1"/>
  <c r="O1070" i="8"/>
  <c r="M1070" i="8" a="1"/>
  <c r="M1070" i="8" s="1"/>
  <c r="O1069" i="8"/>
  <c r="M1069" i="8" a="1"/>
  <c r="M1069" i="8" s="1"/>
  <c r="O1068" i="8"/>
  <c r="M1068" i="8" a="1"/>
  <c r="M1068" i="8" s="1"/>
  <c r="O1067" i="8"/>
  <c r="M1067" i="8" a="1"/>
  <c r="M1067" i="8" s="1"/>
  <c r="O1066" i="8"/>
  <c r="M1066" i="8" a="1"/>
  <c r="M1066" i="8" s="1"/>
  <c r="O1065" i="8"/>
  <c r="M1065" i="8" a="1"/>
  <c r="M1065" i="8" s="1"/>
  <c r="C1064" i="8"/>
  <c r="O1064" i="8" s="1"/>
  <c r="C1063" i="8"/>
  <c r="O1063" i="8" s="1"/>
  <c r="O1062" i="8"/>
  <c r="M1062" i="8" a="1"/>
  <c r="M1062" i="8" s="1"/>
  <c r="C1062" i="8"/>
  <c r="M1061" i="8" a="1"/>
  <c r="M1061" i="8" s="1"/>
  <c r="C1061" i="8"/>
  <c r="O1061" i="8" s="1"/>
  <c r="C1060" i="8"/>
  <c r="O1060" i="8" s="1"/>
  <c r="O1059" i="8"/>
  <c r="M1059" i="8" a="1"/>
  <c r="M1059" i="8" s="1"/>
  <c r="C1059" i="8"/>
  <c r="M1058" i="8" a="1"/>
  <c r="M1058" i="8" s="1"/>
  <c r="C1058" i="8"/>
  <c r="O1058" i="8" s="1"/>
  <c r="C1057" i="8"/>
  <c r="O1057" i="8" s="1"/>
  <c r="M1056" i="8" a="1"/>
  <c r="M1056" i="8" s="1"/>
  <c r="C1056" i="8"/>
  <c r="O1056" i="8" s="1"/>
  <c r="M1055" i="8" a="1"/>
  <c r="M1055" i="8" s="1"/>
  <c r="C1055" i="8"/>
  <c r="O1055" i="8" s="1"/>
  <c r="C1054" i="8"/>
  <c r="O1054" i="8" s="1"/>
  <c r="O1053" i="8"/>
  <c r="M1053" i="8" a="1"/>
  <c r="M1053" i="8" s="1"/>
  <c r="C1053" i="8"/>
  <c r="C1052" i="8"/>
  <c r="O1052" i="8" s="1"/>
  <c r="C1051" i="8"/>
  <c r="O1051" i="8" s="1"/>
  <c r="M1050" i="8" a="1"/>
  <c r="M1050" i="8" s="1"/>
  <c r="C1050" i="8"/>
  <c r="O1050" i="8" s="1"/>
  <c r="C1049" i="8"/>
  <c r="O1049" i="8" s="1"/>
  <c r="M1048" i="8" a="1"/>
  <c r="M1048" i="8" s="1"/>
  <c r="C1048" i="8"/>
  <c r="O1048" i="8" s="1"/>
  <c r="C1047" i="8"/>
  <c r="O1047" i="8" s="1"/>
  <c r="O1046" i="8"/>
  <c r="M1046" i="8" a="1"/>
  <c r="M1046" i="8" s="1"/>
  <c r="C1046" i="8"/>
  <c r="C1045" i="8"/>
  <c r="O1045" i="8" s="1"/>
  <c r="M1044" i="8" a="1"/>
  <c r="M1044" i="8" s="1"/>
  <c r="C1044" i="8"/>
  <c r="O1044" i="8" s="1"/>
  <c r="O1043" i="8"/>
  <c r="M1043" i="8" a="1"/>
  <c r="M1043" i="8" s="1"/>
  <c r="C1043" i="8"/>
  <c r="C1042" i="8"/>
  <c r="O1042" i="8" s="1"/>
  <c r="C1041" i="8"/>
  <c r="O1041" i="8" s="1"/>
  <c r="C1040" i="8"/>
  <c r="M1040" i="8" s="1" a="1"/>
  <c r="M1040" i="8" s="1"/>
  <c r="C1039" i="8"/>
  <c r="O1039" i="8" s="1"/>
  <c r="C1038" i="8"/>
  <c r="O1038" i="8" s="1"/>
  <c r="M1037" i="8" a="1"/>
  <c r="M1037" i="8" s="1"/>
  <c r="C1037" i="8"/>
  <c r="O1037" i="8" s="1"/>
  <c r="C1036" i="8"/>
  <c r="O1036" i="8" s="1"/>
  <c r="O1035" i="8"/>
  <c r="C1035" i="8"/>
  <c r="M1035" i="8" s="1" a="1"/>
  <c r="M1035" i="8" s="1"/>
  <c r="C1034" i="8"/>
  <c r="O1034" i="8" s="1"/>
  <c r="O1033" i="8"/>
  <c r="M1033" i="8" a="1"/>
  <c r="M1033" i="8" s="1"/>
  <c r="C1033" i="8"/>
  <c r="O1032" i="8"/>
  <c r="M1032" i="8" a="1"/>
  <c r="M1032" i="8" s="1"/>
  <c r="O1031" i="8"/>
  <c r="M1031" i="8" a="1"/>
  <c r="M1031" i="8" s="1"/>
  <c r="O1030" i="8"/>
  <c r="M1030" i="8" a="1"/>
  <c r="M1030" i="8" s="1"/>
  <c r="O1029" i="8"/>
  <c r="M1029" i="8" a="1"/>
  <c r="M1029" i="8" s="1"/>
  <c r="O1028" i="8"/>
  <c r="M1028" i="8" a="1"/>
  <c r="M1028" i="8" s="1"/>
  <c r="O1027" i="8"/>
  <c r="M1027" i="8" a="1"/>
  <c r="M1027" i="8" s="1"/>
  <c r="O1026" i="8"/>
  <c r="M1026" i="8" a="1"/>
  <c r="M1026" i="8" s="1"/>
  <c r="O1025" i="8"/>
  <c r="M1025" i="8" a="1"/>
  <c r="M1025" i="8" s="1"/>
  <c r="O1024" i="8"/>
  <c r="M1024" i="8" a="1"/>
  <c r="M1024" i="8" s="1"/>
  <c r="O1023" i="8"/>
  <c r="M1023" i="8" a="1"/>
  <c r="M1023" i="8" s="1"/>
  <c r="O1022" i="8"/>
  <c r="M1022" i="8" a="1"/>
  <c r="M1022" i="8" s="1"/>
  <c r="O1021" i="8"/>
  <c r="M1021" i="8" a="1"/>
  <c r="M1021" i="8" s="1"/>
  <c r="O1020" i="8"/>
  <c r="M1020" i="8" a="1"/>
  <c r="M1020" i="8" s="1"/>
  <c r="O1019" i="8"/>
  <c r="M1019" i="8" a="1"/>
  <c r="M1019" i="8" s="1"/>
  <c r="O1018" i="8"/>
  <c r="M1018" i="8" a="1"/>
  <c r="M1018" i="8" s="1"/>
  <c r="O1017" i="8"/>
  <c r="M1017" i="8" a="1"/>
  <c r="M1017" i="8" s="1"/>
  <c r="O1016" i="8"/>
  <c r="M1016" i="8" a="1"/>
  <c r="M1016" i="8" s="1"/>
  <c r="O1015" i="8"/>
  <c r="M1015" i="8" a="1"/>
  <c r="M1015" i="8" s="1"/>
  <c r="O1014" i="8"/>
  <c r="M1014" i="8" a="1"/>
  <c r="M1014" i="8" s="1"/>
  <c r="O1013" i="8"/>
  <c r="M1013" i="8" a="1"/>
  <c r="M1013" i="8" s="1"/>
  <c r="O1012" i="8"/>
  <c r="M1012" i="8" a="1"/>
  <c r="M1012" i="8" s="1"/>
  <c r="O1011" i="8"/>
  <c r="M1011" i="8" a="1"/>
  <c r="M1011" i="8" s="1"/>
  <c r="O1010" i="8"/>
  <c r="M1010" i="8" a="1"/>
  <c r="M1010" i="8" s="1"/>
  <c r="O1009" i="8"/>
  <c r="M1009" i="8" a="1"/>
  <c r="M1009" i="8" s="1"/>
  <c r="O1008" i="8"/>
  <c r="M1008" i="8" a="1"/>
  <c r="M1008" i="8" s="1"/>
  <c r="O1007" i="8"/>
  <c r="M1007" i="8" a="1"/>
  <c r="M1007" i="8" s="1"/>
  <c r="O1006" i="8"/>
  <c r="M1006" i="8" a="1"/>
  <c r="M1006" i="8" s="1"/>
  <c r="O1005" i="8"/>
  <c r="M1005" i="8" a="1"/>
  <c r="M1005" i="8" s="1"/>
  <c r="O1004" i="8"/>
  <c r="M1004" i="8" a="1"/>
  <c r="M1004" i="8" s="1"/>
  <c r="O1003" i="8"/>
  <c r="M1003" i="8" a="1"/>
  <c r="M1003" i="8" s="1"/>
  <c r="O1002" i="8"/>
  <c r="M1002" i="8" a="1"/>
  <c r="M1002" i="8" s="1"/>
  <c r="O1001" i="8"/>
  <c r="M1001" i="8" a="1"/>
  <c r="M1001" i="8" s="1"/>
  <c r="O1000" i="8"/>
  <c r="M1000" i="8" a="1"/>
  <c r="M1000" i="8" s="1"/>
  <c r="O999" i="8"/>
  <c r="M999" i="8" a="1"/>
  <c r="M999" i="8" s="1"/>
  <c r="O998" i="8"/>
  <c r="M998" i="8" a="1"/>
  <c r="M998" i="8" s="1"/>
  <c r="O997" i="8"/>
  <c r="M997" i="8" a="1"/>
  <c r="M997" i="8" s="1"/>
  <c r="O996" i="8"/>
  <c r="M996" i="8" a="1"/>
  <c r="M996" i="8" s="1"/>
  <c r="O995" i="8"/>
  <c r="M995" i="8" a="1"/>
  <c r="M995" i="8" s="1"/>
  <c r="O994" i="8"/>
  <c r="M994" i="8" a="1"/>
  <c r="M994" i="8" s="1"/>
  <c r="O993" i="8"/>
  <c r="M993" i="8" a="1"/>
  <c r="M993" i="8" s="1"/>
  <c r="O992" i="8"/>
  <c r="M992" i="8" a="1"/>
  <c r="M992" i="8" s="1"/>
  <c r="O991" i="8"/>
  <c r="M991" i="8" a="1"/>
  <c r="M991" i="8" s="1"/>
  <c r="O990" i="8"/>
  <c r="M990" i="8" a="1"/>
  <c r="M990" i="8" s="1"/>
  <c r="O989" i="8"/>
  <c r="M989" i="8" a="1"/>
  <c r="M989" i="8" s="1"/>
  <c r="O988" i="8"/>
  <c r="M988" i="8" a="1"/>
  <c r="M988" i="8" s="1"/>
  <c r="O987" i="8"/>
  <c r="M987" i="8" a="1"/>
  <c r="M987" i="8" s="1"/>
  <c r="O986" i="8"/>
  <c r="M986" i="8" a="1"/>
  <c r="M986" i="8" s="1"/>
  <c r="O985" i="8"/>
  <c r="M985" i="8" a="1"/>
  <c r="M985" i="8" s="1"/>
  <c r="O984" i="8"/>
  <c r="M984" i="8" a="1"/>
  <c r="M984" i="8" s="1"/>
  <c r="O983" i="8"/>
  <c r="M983" i="8" a="1"/>
  <c r="M983" i="8" s="1"/>
  <c r="O982" i="8"/>
  <c r="M982" i="8" a="1"/>
  <c r="M982" i="8" s="1"/>
  <c r="O981" i="8"/>
  <c r="M981" i="8" a="1"/>
  <c r="M981" i="8" s="1"/>
  <c r="O980" i="8"/>
  <c r="M980" i="8" a="1"/>
  <c r="M980" i="8" s="1"/>
  <c r="O979" i="8"/>
  <c r="M979" i="8" a="1"/>
  <c r="M979" i="8" s="1"/>
  <c r="O978" i="8"/>
  <c r="M978" i="8" a="1"/>
  <c r="M978" i="8" s="1"/>
  <c r="O977" i="8"/>
  <c r="M977" i="8" a="1"/>
  <c r="M977" i="8" s="1"/>
  <c r="O976" i="8"/>
  <c r="M976" i="8" a="1"/>
  <c r="M976" i="8" s="1"/>
  <c r="O975" i="8"/>
  <c r="M975" i="8" a="1"/>
  <c r="M975" i="8" s="1"/>
  <c r="O974" i="8"/>
  <c r="M974" i="8" a="1"/>
  <c r="M974" i="8" s="1"/>
  <c r="O973" i="8"/>
  <c r="M973" i="8" a="1"/>
  <c r="M973" i="8" s="1"/>
  <c r="O972" i="8"/>
  <c r="M972" i="8" a="1"/>
  <c r="M972" i="8" s="1"/>
  <c r="O971" i="8"/>
  <c r="M971" i="8" a="1"/>
  <c r="M971" i="8" s="1"/>
  <c r="O970" i="8"/>
  <c r="M970" i="8" a="1"/>
  <c r="M970" i="8" s="1"/>
  <c r="O969" i="8"/>
  <c r="M969" i="8" a="1"/>
  <c r="M969" i="8" s="1"/>
  <c r="O968" i="8"/>
  <c r="M968" i="8" a="1"/>
  <c r="M968" i="8" s="1"/>
  <c r="O967" i="8"/>
  <c r="M967" i="8" a="1"/>
  <c r="M967" i="8" s="1"/>
  <c r="O966" i="8"/>
  <c r="M966" i="8" a="1"/>
  <c r="M966" i="8" s="1"/>
  <c r="C965" i="8"/>
  <c r="O965" i="8" s="1"/>
  <c r="O964" i="8"/>
  <c r="C964" i="8"/>
  <c r="M964" i="8" s="1" a="1"/>
  <c r="M964" i="8" s="1"/>
  <c r="C963" i="8"/>
  <c r="O963" i="8" s="1"/>
  <c r="O962" i="8"/>
  <c r="M962" i="8" a="1"/>
  <c r="M962" i="8" s="1"/>
  <c r="O961" i="8"/>
  <c r="M961" i="8" a="1"/>
  <c r="M961" i="8" s="1"/>
  <c r="O960" i="8"/>
  <c r="M960" i="8" a="1"/>
  <c r="M960" i="8" s="1"/>
  <c r="O959" i="8"/>
  <c r="M959" i="8" a="1"/>
  <c r="M959" i="8" s="1"/>
  <c r="O958" i="8"/>
  <c r="M958" i="8" a="1"/>
  <c r="M958" i="8" s="1"/>
  <c r="O957" i="8"/>
  <c r="M957" i="8" a="1"/>
  <c r="M957" i="8" s="1"/>
  <c r="O956" i="8"/>
  <c r="M956" i="8" a="1"/>
  <c r="M956" i="8" s="1"/>
  <c r="O955" i="8"/>
  <c r="M955" i="8" a="1"/>
  <c r="M955" i="8" s="1"/>
  <c r="O954" i="8"/>
  <c r="M954" i="8" a="1"/>
  <c r="M954" i="8" s="1"/>
  <c r="O953" i="8"/>
  <c r="M953" i="8" a="1"/>
  <c r="M953" i="8" s="1"/>
  <c r="O952" i="8"/>
  <c r="M952" i="8" a="1"/>
  <c r="M952" i="8" s="1"/>
  <c r="O951" i="8"/>
  <c r="M951" i="8" a="1"/>
  <c r="M951" i="8" s="1"/>
  <c r="O950" i="8"/>
  <c r="M950" i="8" a="1"/>
  <c r="M950" i="8" s="1"/>
  <c r="O949" i="8"/>
  <c r="M949" i="8" a="1"/>
  <c r="M949" i="8" s="1"/>
  <c r="O948" i="8"/>
  <c r="M948" i="8" a="1"/>
  <c r="M948" i="8" s="1"/>
  <c r="O947" i="8"/>
  <c r="M947" i="8" a="1"/>
  <c r="M947" i="8" s="1"/>
  <c r="O946" i="8"/>
  <c r="M946" i="8" a="1"/>
  <c r="M946" i="8" s="1"/>
  <c r="O945" i="8"/>
  <c r="M945" i="8" a="1"/>
  <c r="M945" i="8" s="1"/>
  <c r="O944" i="8"/>
  <c r="M944" i="8" a="1"/>
  <c r="M944" i="8" s="1"/>
  <c r="O943" i="8"/>
  <c r="M943" i="8" a="1"/>
  <c r="M943" i="8" s="1"/>
  <c r="O942" i="8"/>
  <c r="M942" i="8" a="1"/>
  <c r="M942" i="8" s="1"/>
  <c r="O941" i="8"/>
  <c r="M941" i="8" a="1"/>
  <c r="M941" i="8" s="1"/>
  <c r="O940" i="8"/>
  <c r="M940" i="8" a="1"/>
  <c r="M940" i="8" s="1"/>
  <c r="O939" i="8"/>
  <c r="M939" i="8" a="1"/>
  <c r="M939" i="8" s="1"/>
  <c r="O938" i="8"/>
  <c r="M938" i="8" a="1"/>
  <c r="M938" i="8" s="1"/>
  <c r="O937" i="8"/>
  <c r="M937" i="8" a="1"/>
  <c r="M937" i="8" s="1"/>
  <c r="O936" i="8"/>
  <c r="M936" i="8" a="1"/>
  <c r="M936" i="8" s="1"/>
  <c r="O935" i="8"/>
  <c r="M935" i="8" a="1"/>
  <c r="M935" i="8" s="1"/>
  <c r="O934" i="8"/>
  <c r="M934" i="8" a="1"/>
  <c r="M934" i="8" s="1"/>
  <c r="O933" i="8"/>
  <c r="M933" i="8" a="1"/>
  <c r="M933" i="8" s="1"/>
  <c r="O932" i="8"/>
  <c r="M932" i="8" a="1"/>
  <c r="M932" i="8" s="1"/>
  <c r="O931" i="8"/>
  <c r="M931" i="8" a="1"/>
  <c r="M931" i="8" s="1"/>
  <c r="O930" i="8"/>
  <c r="M930" i="8" a="1"/>
  <c r="M930" i="8" s="1"/>
  <c r="O929" i="8"/>
  <c r="M929" i="8" a="1"/>
  <c r="M929" i="8" s="1"/>
  <c r="O928" i="8"/>
  <c r="M928" i="8" a="1"/>
  <c r="M928" i="8" s="1"/>
  <c r="O927" i="8"/>
  <c r="M927" i="8" a="1"/>
  <c r="M927" i="8" s="1"/>
  <c r="O926" i="8"/>
  <c r="M926" i="8" a="1"/>
  <c r="M926" i="8" s="1"/>
  <c r="O925" i="8"/>
  <c r="M925" i="8" a="1"/>
  <c r="M925" i="8" s="1"/>
  <c r="O924" i="8"/>
  <c r="M924" i="8" a="1"/>
  <c r="M924" i="8" s="1"/>
  <c r="O923" i="8"/>
  <c r="M923" i="8" a="1"/>
  <c r="M923" i="8" s="1"/>
  <c r="O922" i="8"/>
  <c r="M922" i="8" a="1"/>
  <c r="M922" i="8" s="1"/>
  <c r="O921" i="8"/>
  <c r="M921" i="8" a="1"/>
  <c r="M921" i="8" s="1"/>
  <c r="O920" i="8"/>
  <c r="M920" i="8" a="1"/>
  <c r="M920" i="8" s="1"/>
  <c r="O919" i="8"/>
  <c r="M919" i="8" a="1"/>
  <c r="M919" i="8" s="1"/>
  <c r="O918" i="8"/>
  <c r="M918" i="8" a="1"/>
  <c r="M918" i="8" s="1"/>
  <c r="O917" i="8"/>
  <c r="M917" i="8" a="1"/>
  <c r="M917" i="8" s="1"/>
  <c r="O916" i="8"/>
  <c r="M916" i="8" a="1"/>
  <c r="M916" i="8" s="1"/>
  <c r="O915" i="8"/>
  <c r="M915" i="8" a="1"/>
  <c r="M915" i="8" s="1"/>
  <c r="O914" i="8"/>
  <c r="M914" i="8" a="1"/>
  <c r="M914" i="8" s="1"/>
  <c r="O913" i="8"/>
  <c r="M913" i="8" a="1"/>
  <c r="M913" i="8" s="1"/>
  <c r="O912" i="8"/>
  <c r="M912" i="8" a="1"/>
  <c r="M912" i="8" s="1"/>
  <c r="O911" i="8"/>
  <c r="M911" i="8" a="1"/>
  <c r="M911" i="8" s="1"/>
  <c r="O910" i="8"/>
  <c r="M910" i="8" a="1"/>
  <c r="M910" i="8" s="1"/>
  <c r="O909" i="8"/>
  <c r="M909" i="8" a="1"/>
  <c r="M909" i="8" s="1"/>
  <c r="O908" i="8"/>
  <c r="M908" i="8" a="1"/>
  <c r="M908" i="8" s="1"/>
  <c r="O907" i="8"/>
  <c r="M907" i="8" a="1"/>
  <c r="M907" i="8" s="1"/>
  <c r="O906" i="8"/>
  <c r="M906" i="8" a="1"/>
  <c r="M906" i="8" s="1"/>
  <c r="O905" i="8"/>
  <c r="M905" i="8" a="1"/>
  <c r="M905" i="8" s="1"/>
  <c r="O904" i="8"/>
  <c r="M904" i="8" a="1"/>
  <c r="M904" i="8" s="1"/>
  <c r="O903" i="8"/>
  <c r="M903" i="8" a="1"/>
  <c r="M903" i="8" s="1"/>
  <c r="O902" i="8"/>
  <c r="M902" i="8" a="1"/>
  <c r="M902" i="8" s="1"/>
  <c r="O901" i="8"/>
  <c r="M901" i="8" a="1"/>
  <c r="M901" i="8" s="1"/>
  <c r="O900" i="8"/>
  <c r="M900" i="8" a="1"/>
  <c r="M900" i="8" s="1"/>
  <c r="O899" i="8"/>
  <c r="M899" i="8" a="1"/>
  <c r="M899" i="8" s="1"/>
  <c r="O898" i="8"/>
  <c r="M898" i="8" a="1"/>
  <c r="M898" i="8" s="1"/>
  <c r="O897" i="8"/>
  <c r="M897" i="8" a="1"/>
  <c r="M897" i="8" s="1"/>
  <c r="O896" i="8"/>
  <c r="M896" i="8" a="1"/>
  <c r="M896" i="8" s="1"/>
  <c r="O895" i="8"/>
  <c r="M895" i="8" a="1"/>
  <c r="M895" i="8" s="1"/>
  <c r="O894" i="8"/>
  <c r="M894" i="8" a="1"/>
  <c r="M894" i="8" s="1"/>
  <c r="O893" i="8"/>
  <c r="M893" i="8" a="1"/>
  <c r="M893" i="8" s="1"/>
  <c r="O892" i="8"/>
  <c r="M892" i="8" a="1"/>
  <c r="M892" i="8" s="1"/>
  <c r="O891" i="8"/>
  <c r="M891" i="8" a="1"/>
  <c r="M891" i="8" s="1"/>
  <c r="O890" i="8"/>
  <c r="M890" i="8" a="1"/>
  <c r="M890" i="8" s="1"/>
  <c r="O889" i="8"/>
  <c r="M889" i="8" a="1"/>
  <c r="M889" i="8" s="1"/>
  <c r="O888" i="8"/>
  <c r="M888" i="8" a="1"/>
  <c r="M888" i="8" s="1"/>
  <c r="O887" i="8"/>
  <c r="M887" i="8" a="1"/>
  <c r="M887" i="8" s="1"/>
  <c r="O886" i="8"/>
  <c r="M886" i="8" a="1"/>
  <c r="M886" i="8" s="1"/>
  <c r="O885" i="8"/>
  <c r="M885" i="8" a="1"/>
  <c r="M885" i="8" s="1"/>
  <c r="O884" i="8"/>
  <c r="M884" i="8" a="1"/>
  <c r="M884" i="8" s="1"/>
  <c r="O883" i="8"/>
  <c r="M883" i="8" a="1"/>
  <c r="M883" i="8" s="1"/>
  <c r="O882" i="8"/>
  <c r="M882" i="8" a="1"/>
  <c r="M882" i="8" s="1"/>
  <c r="O881" i="8"/>
  <c r="M881" i="8" a="1"/>
  <c r="M881" i="8" s="1"/>
  <c r="O880" i="8"/>
  <c r="M880" i="8" a="1"/>
  <c r="M880" i="8" s="1"/>
  <c r="O879" i="8"/>
  <c r="M879" i="8" a="1"/>
  <c r="M879" i="8" s="1"/>
  <c r="O878" i="8"/>
  <c r="M878" i="8" a="1"/>
  <c r="M878" i="8" s="1"/>
  <c r="O877" i="8"/>
  <c r="M877" i="8" a="1"/>
  <c r="M877" i="8" s="1"/>
  <c r="O876" i="8"/>
  <c r="M876" i="8" a="1"/>
  <c r="M876" i="8" s="1"/>
  <c r="O875" i="8"/>
  <c r="M875" i="8" a="1"/>
  <c r="M875" i="8" s="1"/>
  <c r="O874" i="8"/>
  <c r="M874" i="8" a="1"/>
  <c r="M874" i="8" s="1"/>
  <c r="O873" i="8"/>
  <c r="M873" i="8" a="1"/>
  <c r="M873" i="8" s="1"/>
  <c r="O872" i="8"/>
  <c r="M872" i="8" a="1"/>
  <c r="M872" i="8" s="1"/>
  <c r="C871" i="8"/>
  <c r="O871" i="8" s="1"/>
  <c r="O870" i="8"/>
  <c r="C870" i="8"/>
  <c r="M870" i="8" s="1" a="1"/>
  <c r="M870" i="8" s="1"/>
  <c r="C869" i="8"/>
  <c r="M869" i="8" s="1" a="1"/>
  <c r="M869" i="8" s="1"/>
  <c r="C868" i="8"/>
  <c r="O868" i="8" s="1"/>
  <c r="O867" i="8"/>
  <c r="M867" i="8" a="1"/>
  <c r="M867" i="8" s="1"/>
  <c r="O866" i="8"/>
  <c r="M866" i="8" a="1"/>
  <c r="M866" i="8" s="1"/>
  <c r="O865" i="8"/>
  <c r="M865" i="8" a="1"/>
  <c r="M865" i="8" s="1"/>
  <c r="O864" i="8"/>
  <c r="M864" i="8" a="1"/>
  <c r="M864" i="8" s="1"/>
  <c r="O863" i="8"/>
  <c r="M863" i="8" a="1"/>
  <c r="M863" i="8" s="1"/>
  <c r="O862" i="8"/>
  <c r="M862" i="8" a="1"/>
  <c r="M862" i="8" s="1"/>
  <c r="O861" i="8"/>
  <c r="M861" i="8" a="1"/>
  <c r="M861" i="8" s="1"/>
  <c r="O860" i="8"/>
  <c r="M860" i="8" a="1"/>
  <c r="M860" i="8" s="1"/>
  <c r="O859" i="8"/>
  <c r="M859" i="8" a="1"/>
  <c r="M859" i="8" s="1"/>
  <c r="O858" i="8"/>
  <c r="M858" i="8" a="1"/>
  <c r="M858" i="8" s="1"/>
  <c r="O857" i="8"/>
  <c r="M857" i="8" a="1"/>
  <c r="M857" i="8" s="1"/>
  <c r="O856" i="8"/>
  <c r="M856" i="8" a="1"/>
  <c r="M856" i="8" s="1"/>
  <c r="O855" i="8"/>
  <c r="M855" i="8" a="1"/>
  <c r="M855" i="8" s="1"/>
  <c r="O854" i="8"/>
  <c r="M854" i="8" a="1"/>
  <c r="M854" i="8" s="1"/>
  <c r="O853" i="8"/>
  <c r="M853" i="8" a="1"/>
  <c r="M853" i="8" s="1"/>
  <c r="O852" i="8"/>
  <c r="M852" i="8" a="1"/>
  <c r="M852" i="8" s="1"/>
  <c r="O851" i="8"/>
  <c r="M851" i="8" a="1"/>
  <c r="M851" i="8" s="1"/>
  <c r="O850" i="8"/>
  <c r="M850" i="8" a="1"/>
  <c r="M850" i="8" s="1"/>
  <c r="O849" i="8"/>
  <c r="M849" i="8" a="1"/>
  <c r="M849" i="8" s="1"/>
  <c r="O848" i="8"/>
  <c r="M848" i="8" a="1"/>
  <c r="M848" i="8" s="1"/>
  <c r="O847" i="8"/>
  <c r="M847" i="8" a="1"/>
  <c r="M847" i="8" s="1"/>
  <c r="O846" i="8"/>
  <c r="M846" i="8" a="1"/>
  <c r="M846" i="8" s="1"/>
  <c r="O845" i="8"/>
  <c r="M845" i="8" a="1"/>
  <c r="M845" i="8" s="1"/>
  <c r="O844" i="8"/>
  <c r="M844" i="8" a="1"/>
  <c r="M844" i="8" s="1"/>
  <c r="O843" i="8"/>
  <c r="M843" i="8" a="1"/>
  <c r="M843" i="8" s="1"/>
  <c r="O842" i="8"/>
  <c r="M842" i="8" a="1"/>
  <c r="M842" i="8" s="1"/>
  <c r="O841" i="8"/>
  <c r="M841" i="8" a="1"/>
  <c r="M841" i="8" s="1"/>
  <c r="O840" i="8"/>
  <c r="M840" i="8" a="1"/>
  <c r="M840" i="8" s="1"/>
  <c r="O839" i="8"/>
  <c r="M839" i="8" a="1"/>
  <c r="M839" i="8" s="1"/>
  <c r="O838" i="8"/>
  <c r="M838" i="8" a="1"/>
  <c r="M838" i="8" s="1"/>
  <c r="O837" i="8"/>
  <c r="M837" i="8" a="1"/>
  <c r="M837" i="8" s="1"/>
  <c r="O836" i="8"/>
  <c r="M836" i="8" a="1"/>
  <c r="M836" i="8" s="1"/>
  <c r="O835" i="8"/>
  <c r="M835" i="8" a="1"/>
  <c r="M835" i="8" s="1"/>
  <c r="O834" i="8"/>
  <c r="M834" i="8" a="1"/>
  <c r="M834" i="8" s="1"/>
  <c r="O833" i="8"/>
  <c r="M833" i="8" a="1"/>
  <c r="M833" i="8" s="1"/>
  <c r="O832" i="8"/>
  <c r="M832" i="8" a="1"/>
  <c r="M832" i="8" s="1"/>
  <c r="O831" i="8"/>
  <c r="M831" i="8" a="1"/>
  <c r="M831" i="8" s="1"/>
  <c r="O830" i="8"/>
  <c r="M830" i="8"/>
  <c r="M830" i="8" a="1"/>
  <c r="O829" i="8"/>
  <c r="M829" i="8" a="1"/>
  <c r="M829" i="8" s="1"/>
  <c r="O828" i="8"/>
  <c r="M828" i="8" a="1"/>
  <c r="M828" i="8" s="1"/>
  <c r="O827" i="8"/>
  <c r="M827" i="8" a="1"/>
  <c r="M827" i="8" s="1"/>
  <c r="O826" i="8"/>
  <c r="M826" i="8" a="1"/>
  <c r="M826" i="8" s="1"/>
  <c r="O825" i="8"/>
  <c r="M825" i="8" a="1"/>
  <c r="M825" i="8" s="1"/>
  <c r="O824" i="8"/>
  <c r="M824" i="8" a="1"/>
  <c r="M824" i="8" s="1"/>
  <c r="O823" i="8"/>
  <c r="M823" i="8" a="1"/>
  <c r="M823" i="8" s="1"/>
  <c r="O822" i="8"/>
  <c r="M822" i="8" a="1"/>
  <c r="M822" i="8" s="1"/>
  <c r="O821" i="8"/>
  <c r="M821" i="8" a="1"/>
  <c r="M821" i="8" s="1"/>
  <c r="O820" i="8"/>
  <c r="M820" i="8" a="1"/>
  <c r="M820" i="8" s="1"/>
  <c r="O819" i="8"/>
  <c r="M819" i="8" a="1"/>
  <c r="M819" i="8" s="1"/>
  <c r="O818" i="8"/>
  <c r="M818" i="8" a="1"/>
  <c r="M818" i="8" s="1"/>
  <c r="O817" i="8"/>
  <c r="M817" i="8" a="1"/>
  <c r="M817" i="8" s="1"/>
  <c r="O816" i="8"/>
  <c r="M816" i="8" a="1"/>
  <c r="M816" i="8" s="1"/>
  <c r="O815" i="8"/>
  <c r="M815" i="8" a="1"/>
  <c r="M815" i="8" s="1"/>
  <c r="O814" i="8"/>
  <c r="M814" i="8" a="1"/>
  <c r="M814" i="8" s="1"/>
  <c r="O813" i="8"/>
  <c r="M813" i="8" a="1"/>
  <c r="M813" i="8" s="1"/>
  <c r="O812" i="8"/>
  <c r="M812" i="8" a="1"/>
  <c r="M812" i="8" s="1"/>
  <c r="O811" i="8"/>
  <c r="M811" i="8" a="1"/>
  <c r="M811" i="8" s="1"/>
  <c r="O810" i="8"/>
  <c r="M810" i="8" a="1"/>
  <c r="M810" i="8" s="1"/>
  <c r="O809" i="8"/>
  <c r="M809" i="8" a="1"/>
  <c r="M809" i="8" s="1"/>
  <c r="O808" i="8"/>
  <c r="M808" i="8" a="1"/>
  <c r="M808" i="8" s="1"/>
  <c r="O807" i="8"/>
  <c r="M807" i="8" a="1"/>
  <c r="M807" i="8" s="1"/>
  <c r="O806" i="8"/>
  <c r="M806" i="8" a="1"/>
  <c r="M806" i="8" s="1"/>
  <c r="O805" i="8"/>
  <c r="M805" i="8" a="1"/>
  <c r="M805" i="8" s="1"/>
  <c r="O804" i="8"/>
  <c r="M804" i="8" a="1"/>
  <c r="M804" i="8" s="1"/>
  <c r="O803" i="8"/>
  <c r="M803" i="8" a="1"/>
  <c r="M803" i="8" s="1"/>
  <c r="O802" i="8"/>
  <c r="M802" i="8" a="1"/>
  <c r="M802" i="8" s="1"/>
  <c r="O801" i="8"/>
  <c r="M801" i="8" a="1"/>
  <c r="M801" i="8" s="1"/>
  <c r="O800" i="8"/>
  <c r="M800" i="8" a="1"/>
  <c r="M800" i="8" s="1"/>
  <c r="O799" i="8"/>
  <c r="M799" i="8" a="1"/>
  <c r="M799" i="8" s="1"/>
  <c r="O798" i="8"/>
  <c r="M798" i="8" a="1"/>
  <c r="M798" i="8" s="1"/>
  <c r="O797" i="8"/>
  <c r="M797" i="8" a="1"/>
  <c r="M797" i="8" s="1"/>
  <c r="O796" i="8"/>
  <c r="M796" i="8" a="1"/>
  <c r="M796" i="8" s="1"/>
  <c r="O795" i="8"/>
  <c r="M795" i="8" a="1"/>
  <c r="M795" i="8" s="1"/>
  <c r="O794" i="8"/>
  <c r="M794" i="8" a="1"/>
  <c r="M794" i="8" s="1"/>
  <c r="O793" i="8"/>
  <c r="M793" i="8" a="1"/>
  <c r="M793" i="8" s="1"/>
  <c r="O792" i="8"/>
  <c r="M792" i="8" a="1"/>
  <c r="M792" i="8" s="1"/>
  <c r="O791" i="8"/>
  <c r="M791" i="8" a="1"/>
  <c r="M791" i="8" s="1"/>
  <c r="O790" i="8"/>
  <c r="M790" i="8" a="1"/>
  <c r="M790" i="8" s="1"/>
  <c r="O789" i="8"/>
  <c r="M789" i="8" a="1"/>
  <c r="M789" i="8" s="1"/>
  <c r="O788" i="8"/>
  <c r="M788" i="8" a="1"/>
  <c r="M788" i="8" s="1"/>
  <c r="O787" i="8"/>
  <c r="M787" i="8" a="1"/>
  <c r="M787" i="8" s="1"/>
  <c r="O786" i="8"/>
  <c r="M786" i="8" a="1"/>
  <c r="M786" i="8" s="1"/>
  <c r="O785" i="8"/>
  <c r="M785" i="8" a="1"/>
  <c r="M785" i="8" s="1"/>
  <c r="O784" i="8"/>
  <c r="M784" i="8" a="1"/>
  <c r="M784" i="8" s="1"/>
  <c r="O783" i="8"/>
  <c r="M783" i="8" a="1"/>
  <c r="M783" i="8" s="1"/>
  <c r="O782" i="8"/>
  <c r="M782" i="8" a="1"/>
  <c r="M782" i="8" s="1"/>
  <c r="O781" i="8"/>
  <c r="M781" i="8" a="1"/>
  <c r="M781" i="8" s="1"/>
  <c r="O780" i="8"/>
  <c r="M780" i="8" a="1"/>
  <c r="M780" i="8" s="1"/>
  <c r="O779" i="8"/>
  <c r="M779" i="8" a="1"/>
  <c r="M779" i="8" s="1"/>
  <c r="O778" i="8"/>
  <c r="M778" i="8" a="1"/>
  <c r="M778" i="8" s="1"/>
  <c r="O777" i="8"/>
  <c r="M777" i="8" a="1"/>
  <c r="M777" i="8" s="1"/>
  <c r="O776" i="8"/>
  <c r="M776" i="8" a="1"/>
  <c r="M776" i="8" s="1"/>
  <c r="O775" i="8"/>
  <c r="M775" i="8" a="1"/>
  <c r="M775" i="8" s="1"/>
  <c r="O774" i="8"/>
  <c r="M774" i="8" a="1"/>
  <c r="M774" i="8" s="1"/>
  <c r="O773" i="8"/>
  <c r="M773" i="8" a="1"/>
  <c r="M773" i="8" s="1"/>
  <c r="O772" i="8"/>
  <c r="M772" i="8" a="1"/>
  <c r="M772" i="8" s="1"/>
  <c r="O771" i="8"/>
  <c r="M771" i="8" a="1"/>
  <c r="M771" i="8" s="1"/>
  <c r="O770" i="8"/>
  <c r="M770" i="8" a="1"/>
  <c r="M770" i="8" s="1"/>
  <c r="O769" i="8"/>
  <c r="M769" i="8" a="1"/>
  <c r="M769" i="8" s="1"/>
  <c r="O768" i="8"/>
  <c r="M768" i="8" a="1"/>
  <c r="M768" i="8" s="1"/>
  <c r="O767" i="8"/>
  <c r="M767" i="8" a="1"/>
  <c r="M767" i="8" s="1"/>
  <c r="O766" i="8"/>
  <c r="M766" i="8" a="1"/>
  <c r="M766" i="8" s="1"/>
  <c r="O765" i="8"/>
  <c r="M765" i="8" a="1"/>
  <c r="M765" i="8" s="1"/>
  <c r="O764" i="8"/>
  <c r="M764" i="8" a="1"/>
  <c r="M764" i="8" s="1"/>
  <c r="O763" i="8"/>
  <c r="M763" i="8" a="1"/>
  <c r="M763" i="8" s="1"/>
  <c r="O762" i="8"/>
  <c r="M762" i="8" a="1"/>
  <c r="M762" i="8" s="1"/>
  <c r="O761" i="8"/>
  <c r="M761" i="8" a="1"/>
  <c r="M761" i="8" s="1"/>
  <c r="O760" i="8"/>
  <c r="M760" i="8" a="1"/>
  <c r="M760" i="8" s="1"/>
  <c r="O759" i="8"/>
  <c r="M759" i="8" a="1"/>
  <c r="M759" i="8" s="1"/>
  <c r="O758" i="8"/>
  <c r="M758" i="8" a="1"/>
  <c r="M758" i="8" s="1"/>
  <c r="O757" i="8"/>
  <c r="M757" i="8" a="1"/>
  <c r="M757" i="8" s="1"/>
  <c r="O756" i="8"/>
  <c r="M756" i="8" a="1"/>
  <c r="M756" i="8" s="1"/>
  <c r="O755" i="8"/>
  <c r="M755" i="8" a="1"/>
  <c r="M755" i="8" s="1"/>
  <c r="O754" i="8"/>
  <c r="M754" i="8" a="1"/>
  <c r="M754" i="8" s="1"/>
  <c r="O753" i="8"/>
  <c r="M753" i="8" a="1"/>
  <c r="M753" i="8" s="1"/>
  <c r="O752" i="8"/>
  <c r="M752" i="8" a="1"/>
  <c r="M752" i="8" s="1"/>
  <c r="O751" i="8"/>
  <c r="M751" i="8" a="1"/>
  <c r="M751" i="8" s="1"/>
  <c r="O750" i="8"/>
  <c r="M750" i="8" a="1"/>
  <c r="M750" i="8" s="1"/>
  <c r="O749" i="8"/>
  <c r="M749" i="8" a="1"/>
  <c r="M749" i="8" s="1"/>
  <c r="O748" i="8"/>
  <c r="M748" i="8" a="1"/>
  <c r="M748" i="8" s="1"/>
  <c r="O747" i="8"/>
  <c r="M747" i="8" a="1"/>
  <c r="M747" i="8" s="1"/>
  <c r="O746" i="8"/>
  <c r="M746" i="8" a="1"/>
  <c r="M746" i="8" s="1"/>
  <c r="O745" i="8"/>
  <c r="M745" i="8" a="1"/>
  <c r="M745" i="8" s="1"/>
  <c r="O744" i="8"/>
  <c r="M744" i="8" a="1"/>
  <c r="M744" i="8" s="1"/>
  <c r="O743" i="8"/>
  <c r="M743" i="8" a="1"/>
  <c r="M743" i="8" s="1"/>
  <c r="O742" i="8"/>
  <c r="M742" i="8" a="1"/>
  <c r="M742" i="8" s="1"/>
  <c r="O741" i="8"/>
  <c r="M741" i="8" a="1"/>
  <c r="M741" i="8" s="1"/>
  <c r="O740" i="8"/>
  <c r="M740" i="8" a="1"/>
  <c r="M740" i="8" s="1"/>
  <c r="O739" i="8"/>
  <c r="M739" i="8" a="1"/>
  <c r="M739" i="8" s="1"/>
  <c r="O738" i="8"/>
  <c r="M738" i="8" a="1"/>
  <c r="M738" i="8" s="1"/>
  <c r="O737" i="8"/>
  <c r="M737" i="8" a="1"/>
  <c r="M737" i="8" s="1"/>
  <c r="O736" i="8"/>
  <c r="M736" i="8" a="1"/>
  <c r="M736" i="8" s="1"/>
  <c r="O735" i="8"/>
  <c r="M735" i="8" a="1"/>
  <c r="M735" i="8" s="1"/>
  <c r="O734" i="8"/>
  <c r="M734" i="8" a="1"/>
  <c r="M734" i="8" s="1"/>
  <c r="O733" i="8"/>
  <c r="M733" i="8" a="1"/>
  <c r="M733" i="8" s="1"/>
  <c r="O732" i="8"/>
  <c r="M732" i="8" a="1"/>
  <c r="M732" i="8" s="1"/>
  <c r="O731" i="8"/>
  <c r="M731" i="8" a="1"/>
  <c r="M731" i="8" s="1"/>
  <c r="O730" i="8"/>
  <c r="M730" i="8" a="1"/>
  <c r="M730" i="8" s="1"/>
  <c r="O729" i="8"/>
  <c r="M729" i="8" a="1"/>
  <c r="M729" i="8" s="1"/>
  <c r="O728" i="8"/>
  <c r="M728" i="8" a="1"/>
  <c r="M728" i="8" s="1"/>
  <c r="O727" i="8"/>
  <c r="M727" i="8" a="1"/>
  <c r="M727" i="8" s="1"/>
  <c r="O726" i="8"/>
  <c r="M726" i="8" a="1"/>
  <c r="M726" i="8" s="1"/>
  <c r="O725" i="8"/>
  <c r="M725" i="8" a="1"/>
  <c r="M725" i="8" s="1"/>
  <c r="O724" i="8"/>
  <c r="M724" i="8" a="1"/>
  <c r="M724" i="8" s="1"/>
  <c r="O723" i="8"/>
  <c r="M723" i="8" a="1"/>
  <c r="M723" i="8" s="1"/>
  <c r="O722" i="8"/>
  <c r="M722" i="8" a="1"/>
  <c r="M722" i="8" s="1"/>
  <c r="O721" i="8"/>
  <c r="M721" i="8" a="1"/>
  <c r="M721" i="8" s="1"/>
  <c r="O720" i="8"/>
  <c r="M720" i="8" a="1"/>
  <c r="M720" i="8" s="1"/>
  <c r="O719" i="8"/>
  <c r="M719" i="8" a="1"/>
  <c r="M719" i="8" s="1"/>
  <c r="O718" i="8"/>
  <c r="M718" i="8" a="1"/>
  <c r="M718" i="8" s="1"/>
  <c r="O717" i="8"/>
  <c r="M717" i="8" a="1"/>
  <c r="M717" i="8" s="1"/>
  <c r="O716" i="8"/>
  <c r="M716" i="8" a="1"/>
  <c r="M716" i="8" s="1"/>
  <c r="O715" i="8"/>
  <c r="M715" i="8" a="1"/>
  <c r="M715" i="8" s="1"/>
  <c r="O714" i="8"/>
  <c r="M714" i="8" a="1"/>
  <c r="M714" i="8" s="1"/>
  <c r="O713" i="8"/>
  <c r="M713" i="8" a="1"/>
  <c r="M713" i="8" s="1"/>
  <c r="O712" i="8"/>
  <c r="M712" i="8" a="1"/>
  <c r="M712" i="8" s="1"/>
  <c r="O711" i="8"/>
  <c r="M711" i="8" a="1"/>
  <c r="M711" i="8" s="1"/>
  <c r="O710" i="8"/>
  <c r="M710" i="8" a="1"/>
  <c r="M710" i="8" s="1"/>
  <c r="O709" i="8"/>
  <c r="M709" i="8" a="1"/>
  <c r="M709" i="8" s="1"/>
  <c r="O708" i="8"/>
  <c r="M708" i="8" a="1"/>
  <c r="M708" i="8" s="1"/>
  <c r="O707" i="8"/>
  <c r="M707" i="8" a="1"/>
  <c r="M707" i="8" s="1"/>
  <c r="O706" i="8"/>
  <c r="M706" i="8" a="1"/>
  <c r="M706" i="8" s="1"/>
  <c r="O705" i="8"/>
  <c r="M705" i="8" a="1"/>
  <c r="M705" i="8" s="1"/>
  <c r="O704" i="8"/>
  <c r="M704" i="8" a="1"/>
  <c r="M704" i="8" s="1"/>
  <c r="O703" i="8"/>
  <c r="M703" i="8"/>
  <c r="M703" i="8" a="1"/>
  <c r="O702" i="8"/>
  <c r="M702" i="8" a="1"/>
  <c r="M702" i="8" s="1"/>
  <c r="O701" i="8"/>
  <c r="M701" i="8" a="1"/>
  <c r="M701" i="8" s="1"/>
  <c r="O700" i="8"/>
  <c r="M700" i="8" a="1"/>
  <c r="M700" i="8" s="1"/>
  <c r="O699" i="8"/>
  <c r="M699" i="8" a="1"/>
  <c r="M699" i="8" s="1"/>
  <c r="O698" i="8"/>
  <c r="M698" i="8" a="1"/>
  <c r="M698" i="8" s="1"/>
  <c r="O697" i="8"/>
  <c r="M697" i="8" a="1"/>
  <c r="M697" i="8" s="1"/>
  <c r="O696" i="8"/>
  <c r="M696" i="8" a="1"/>
  <c r="M696" i="8" s="1"/>
  <c r="O695" i="8"/>
  <c r="M695" i="8" a="1"/>
  <c r="M695" i="8" s="1"/>
  <c r="O694" i="8"/>
  <c r="M694" i="8" a="1"/>
  <c r="M694" i="8" s="1"/>
  <c r="O693" i="8"/>
  <c r="M693" i="8" a="1"/>
  <c r="M693" i="8" s="1"/>
  <c r="O692" i="8"/>
  <c r="M692" i="8" a="1"/>
  <c r="M692" i="8" s="1"/>
  <c r="O691" i="8"/>
  <c r="M691" i="8" a="1"/>
  <c r="M691" i="8" s="1"/>
  <c r="O690" i="8"/>
  <c r="M690" i="8" a="1"/>
  <c r="M690" i="8" s="1"/>
  <c r="O689" i="8"/>
  <c r="M689" i="8"/>
  <c r="M689" i="8" a="1"/>
  <c r="O688" i="8"/>
  <c r="M688" i="8" a="1"/>
  <c r="M688" i="8" s="1"/>
  <c r="O687" i="8"/>
  <c r="M687" i="8" a="1"/>
  <c r="M687" i="8" s="1"/>
  <c r="O686" i="8"/>
  <c r="M686" i="8" a="1"/>
  <c r="M686" i="8" s="1"/>
  <c r="O685" i="8"/>
  <c r="M685" i="8" a="1"/>
  <c r="M685" i="8" s="1"/>
  <c r="O684" i="8"/>
  <c r="M684" i="8" a="1"/>
  <c r="M684" i="8" s="1"/>
  <c r="O683" i="8"/>
  <c r="M683" i="8" a="1"/>
  <c r="M683" i="8" s="1"/>
  <c r="O682" i="8"/>
  <c r="M682" i="8" a="1"/>
  <c r="M682" i="8" s="1"/>
  <c r="O681" i="8"/>
  <c r="M681" i="8" a="1"/>
  <c r="M681" i="8" s="1"/>
  <c r="O680" i="8"/>
  <c r="M680" i="8" a="1"/>
  <c r="M680" i="8" s="1"/>
  <c r="O679" i="8"/>
  <c r="M679" i="8" a="1"/>
  <c r="M679" i="8" s="1"/>
  <c r="O678" i="8"/>
  <c r="M678" i="8"/>
  <c r="M678" i="8" a="1"/>
  <c r="O677" i="8"/>
  <c r="M677" i="8" a="1"/>
  <c r="M677" i="8" s="1"/>
  <c r="O676" i="8"/>
  <c r="M676" i="8" a="1"/>
  <c r="M676" i="8" s="1"/>
  <c r="O675" i="8"/>
  <c r="M675" i="8" a="1"/>
  <c r="M675" i="8" s="1"/>
  <c r="O674" i="8"/>
  <c r="M674" i="8" a="1"/>
  <c r="M674" i="8" s="1"/>
  <c r="O673" i="8"/>
  <c r="M673" i="8" a="1"/>
  <c r="M673" i="8" s="1"/>
  <c r="O672" i="8"/>
  <c r="M672" i="8" a="1"/>
  <c r="M672" i="8" s="1"/>
  <c r="O671" i="8"/>
  <c r="M671" i="8" a="1"/>
  <c r="M671" i="8" s="1"/>
  <c r="O670" i="8"/>
  <c r="M670" i="8" a="1"/>
  <c r="M670" i="8" s="1"/>
  <c r="O669" i="8"/>
  <c r="M669" i="8" a="1"/>
  <c r="M669" i="8" s="1"/>
  <c r="O668" i="8"/>
  <c r="M668" i="8" a="1"/>
  <c r="M668" i="8" s="1"/>
  <c r="O667" i="8"/>
  <c r="M667" i="8" a="1"/>
  <c r="M667" i="8" s="1"/>
  <c r="O666" i="8"/>
  <c r="M666" i="8" a="1"/>
  <c r="M666" i="8" s="1"/>
  <c r="O665" i="8"/>
  <c r="M665" i="8" a="1"/>
  <c r="M665" i="8" s="1"/>
  <c r="O664" i="8"/>
  <c r="M664" i="8" a="1"/>
  <c r="M664" i="8" s="1"/>
  <c r="O663" i="8"/>
  <c r="M663" i="8" a="1"/>
  <c r="M663" i="8" s="1"/>
  <c r="O662" i="8"/>
  <c r="M662" i="8" a="1"/>
  <c r="M662" i="8" s="1"/>
  <c r="O661" i="8"/>
  <c r="M661" i="8" a="1"/>
  <c r="M661" i="8" s="1"/>
  <c r="O660" i="8"/>
  <c r="M660" i="8" a="1"/>
  <c r="M660" i="8" s="1"/>
  <c r="O659" i="8"/>
  <c r="M659" i="8" a="1"/>
  <c r="M659" i="8" s="1"/>
  <c r="O658" i="8"/>
  <c r="M658" i="8" a="1"/>
  <c r="M658" i="8" s="1"/>
  <c r="O657" i="8"/>
  <c r="M657" i="8" a="1"/>
  <c r="M657" i="8" s="1"/>
  <c r="O656" i="8"/>
  <c r="M656" i="8" a="1"/>
  <c r="M656" i="8" s="1"/>
  <c r="O655" i="8"/>
  <c r="M655" i="8" a="1"/>
  <c r="M655" i="8" s="1"/>
  <c r="O654" i="8"/>
  <c r="M654" i="8" a="1"/>
  <c r="M654" i="8" s="1"/>
  <c r="O653" i="8"/>
  <c r="M653" i="8" a="1"/>
  <c r="M653" i="8" s="1"/>
  <c r="O652" i="8"/>
  <c r="M652" i="8" a="1"/>
  <c r="M652" i="8" s="1"/>
  <c r="O651" i="8"/>
  <c r="M651" i="8" a="1"/>
  <c r="M651" i="8" s="1"/>
  <c r="O650" i="8"/>
  <c r="M650" i="8" a="1"/>
  <c r="M650" i="8" s="1"/>
  <c r="O649" i="8"/>
  <c r="M649" i="8" a="1"/>
  <c r="M649" i="8" s="1"/>
  <c r="O648" i="8"/>
  <c r="M648" i="8" a="1"/>
  <c r="M648" i="8" s="1"/>
  <c r="O647" i="8"/>
  <c r="M647" i="8" a="1"/>
  <c r="M647" i="8" s="1"/>
  <c r="O646" i="8"/>
  <c r="M646" i="8" a="1"/>
  <c r="M646" i="8" s="1"/>
  <c r="O645" i="8"/>
  <c r="M645" i="8" a="1"/>
  <c r="M645" i="8" s="1"/>
  <c r="O644" i="8"/>
  <c r="M644" i="8" a="1"/>
  <c r="M644" i="8" s="1"/>
  <c r="O643" i="8"/>
  <c r="M643" i="8" a="1"/>
  <c r="M643" i="8" s="1"/>
  <c r="O642" i="8"/>
  <c r="M642" i="8" a="1"/>
  <c r="M642" i="8" s="1"/>
  <c r="O641" i="8"/>
  <c r="M641" i="8" a="1"/>
  <c r="M641" i="8" s="1"/>
  <c r="O640" i="8"/>
  <c r="M640" i="8" a="1"/>
  <c r="M640" i="8" s="1"/>
  <c r="O639" i="8"/>
  <c r="M639" i="8" a="1"/>
  <c r="M639" i="8" s="1"/>
  <c r="O638" i="8"/>
  <c r="M638" i="8" a="1"/>
  <c r="M638" i="8" s="1"/>
  <c r="O637" i="8"/>
  <c r="M637" i="8" a="1"/>
  <c r="M637" i="8" s="1"/>
  <c r="O636" i="8"/>
  <c r="M636" i="8" a="1"/>
  <c r="M636" i="8" s="1"/>
  <c r="O635" i="8"/>
  <c r="M635" i="8" a="1"/>
  <c r="M635" i="8" s="1"/>
  <c r="O634" i="8"/>
  <c r="M634" i="8" a="1"/>
  <c r="M634" i="8" s="1"/>
  <c r="O633" i="8"/>
  <c r="M633" i="8" a="1"/>
  <c r="M633" i="8" s="1"/>
  <c r="O632" i="8"/>
  <c r="M632" i="8" a="1"/>
  <c r="M632" i="8" s="1"/>
  <c r="O631" i="8"/>
  <c r="M631" i="8" a="1"/>
  <c r="M631" i="8" s="1"/>
  <c r="O630" i="8"/>
  <c r="M630" i="8" a="1"/>
  <c r="M630" i="8" s="1"/>
  <c r="O629" i="8"/>
  <c r="M629" i="8" a="1"/>
  <c r="M629" i="8" s="1"/>
  <c r="O628" i="8"/>
  <c r="M628" i="8" a="1"/>
  <c r="M628" i="8" s="1"/>
  <c r="O627" i="8"/>
  <c r="M627" i="8" a="1"/>
  <c r="M627" i="8" s="1"/>
  <c r="O626" i="8"/>
  <c r="M626" i="8" a="1"/>
  <c r="M626" i="8" s="1"/>
  <c r="O625" i="8"/>
  <c r="M625" i="8" a="1"/>
  <c r="M625" i="8" s="1"/>
  <c r="O624" i="8"/>
  <c r="M624" i="8" a="1"/>
  <c r="M624" i="8" s="1"/>
  <c r="O623" i="8"/>
  <c r="M623" i="8" a="1"/>
  <c r="M623" i="8" s="1"/>
  <c r="O622" i="8"/>
  <c r="M622" i="8" a="1"/>
  <c r="M622" i="8" s="1"/>
  <c r="O621" i="8"/>
  <c r="M621" i="8" a="1"/>
  <c r="M621" i="8" s="1"/>
  <c r="O620" i="8"/>
  <c r="M620" i="8" a="1"/>
  <c r="M620" i="8" s="1"/>
  <c r="O619" i="8"/>
  <c r="M619" i="8" a="1"/>
  <c r="M619" i="8" s="1"/>
  <c r="O618" i="8"/>
  <c r="M618" i="8" a="1"/>
  <c r="M618" i="8" s="1"/>
  <c r="O617" i="8"/>
  <c r="M617" i="8" a="1"/>
  <c r="M617" i="8" s="1"/>
  <c r="O616" i="8"/>
  <c r="M616" i="8" a="1"/>
  <c r="M616" i="8" s="1"/>
  <c r="O615" i="8"/>
  <c r="M615" i="8" a="1"/>
  <c r="M615" i="8" s="1"/>
  <c r="O614" i="8"/>
  <c r="M614" i="8" a="1"/>
  <c r="M614" i="8" s="1"/>
  <c r="O613" i="8"/>
  <c r="M613" i="8" a="1"/>
  <c r="M613" i="8" s="1"/>
  <c r="O612" i="8"/>
  <c r="M612" i="8" a="1"/>
  <c r="M612" i="8" s="1"/>
  <c r="O611" i="8"/>
  <c r="M611" i="8" a="1"/>
  <c r="M611" i="8" s="1"/>
  <c r="O610" i="8"/>
  <c r="M610" i="8" a="1"/>
  <c r="M610" i="8" s="1"/>
  <c r="O609" i="8"/>
  <c r="M609" i="8" a="1"/>
  <c r="M609" i="8" s="1"/>
  <c r="O608" i="8"/>
  <c r="M608" i="8" a="1"/>
  <c r="M608" i="8" s="1"/>
  <c r="O607" i="8"/>
  <c r="M607" i="8" a="1"/>
  <c r="M607" i="8" s="1"/>
  <c r="O606" i="8"/>
  <c r="M606" i="8"/>
  <c r="M606" i="8" a="1"/>
  <c r="O605" i="8"/>
  <c r="M605" i="8" a="1"/>
  <c r="M605" i="8" s="1"/>
  <c r="O604" i="8"/>
  <c r="M604" i="8" a="1"/>
  <c r="M604" i="8" s="1"/>
  <c r="O603" i="8"/>
  <c r="M603" i="8" a="1"/>
  <c r="M603" i="8" s="1"/>
  <c r="O602" i="8"/>
  <c r="M602" i="8" a="1"/>
  <c r="M602" i="8" s="1"/>
  <c r="O601" i="8"/>
  <c r="M601" i="8" a="1"/>
  <c r="M601" i="8" s="1"/>
  <c r="O600" i="8"/>
  <c r="M600" i="8" a="1"/>
  <c r="M600" i="8" s="1"/>
  <c r="O599" i="8"/>
  <c r="M599" i="8" a="1"/>
  <c r="M599" i="8" s="1"/>
  <c r="O598" i="8"/>
  <c r="M598" i="8" a="1"/>
  <c r="M598" i="8" s="1"/>
  <c r="O597" i="8"/>
  <c r="M597" i="8"/>
  <c r="M597" i="8" a="1"/>
  <c r="O596" i="8"/>
  <c r="M596" i="8" a="1"/>
  <c r="M596" i="8" s="1"/>
  <c r="O595" i="8"/>
  <c r="M595" i="8" a="1"/>
  <c r="M595" i="8" s="1"/>
  <c r="O594" i="8"/>
  <c r="M594" i="8" a="1"/>
  <c r="M594" i="8" s="1"/>
  <c r="O593" i="8"/>
  <c r="M593" i="8" a="1"/>
  <c r="M593" i="8" s="1"/>
  <c r="O592" i="8"/>
  <c r="M592" i="8" a="1"/>
  <c r="M592" i="8" s="1"/>
  <c r="O591" i="8"/>
  <c r="M591" i="8" a="1"/>
  <c r="M591" i="8" s="1"/>
  <c r="O590" i="8"/>
  <c r="M590" i="8" a="1"/>
  <c r="M590" i="8" s="1"/>
  <c r="O589" i="8"/>
  <c r="M589" i="8" a="1"/>
  <c r="M589" i="8" s="1"/>
  <c r="O588" i="8"/>
  <c r="M588" i="8" a="1"/>
  <c r="M588" i="8" s="1"/>
  <c r="O587" i="8"/>
  <c r="M587" i="8" a="1"/>
  <c r="M587" i="8" s="1"/>
  <c r="O586" i="8"/>
  <c r="M586" i="8" a="1"/>
  <c r="M586" i="8" s="1"/>
  <c r="O585" i="8"/>
  <c r="M585" i="8" a="1"/>
  <c r="M585" i="8" s="1"/>
  <c r="O584" i="8"/>
  <c r="M584" i="8" a="1"/>
  <c r="M584" i="8" s="1"/>
  <c r="O583" i="8"/>
  <c r="M583" i="8" a="1"/>
  <c r="M583" i="8" s="1"/>
  <c r="O582" i="8"/>
  <c r="M582" i="8" a="1"/>
  <c r="M582" i="8" s="1"/>
  <c r="O581" i="8"/>
  <c r="M581" i="8" a="1"/>
  <c r="M581" i="8" s="1"/>
  <c r="O580" i="8"/>
  <c r="M580" i="8" a="1"/>
  <c r="M580" i="8" s="1"/>
  <c r="O579" i="8"/>
  <c r="M579" i="8" a="1"/>
  <c r="M579" i="8" s="1"/>
  <c r="O578" i="8"/>
  <c r="M578" i="8" a="1"/>
  <c r="M578" i="8" s="1"/>
  <c r="O577" i="8"/>
  <c r="M577" i="8" a="1"/>
  <c r="M577" i="8" s="1"/>
  <c r="O576" i="8"/>
  <c r="M576" i="8"/>
  <c r="M576" i="8" a="1"/>
  <c r="O575" i="8"/>
  <c r="M575" i="8" a="1"/>
  <c r="M575" i="8" s="1"/>
  <c r="O574" i="8"/>
  <c r="M574" i="8" a="1"/>
  <c r="M574" i="8" s="1"/>
  <c r="O573" i="8"/>
  <c r="M573" i="8" a="1"/>
  <c r="M573" i="8" s="1"/>
  <c r="O572" i="8"/>
  <c r="M572" i="8" a="1"/>
  <c r="M572" i="8" s="1"/>
  <c r="O571" i="8"/>
  <c r="M571" i="8" a="1"/>
  <c r="M571" i="8" s="1"/>
  <c r="O570" i="8"/>
  <c r="M570" i="8" a="1"/>
  <c r="M570" i="8" s="1"/>
  <c r="O569" i="8"/>
  <c r="M569" i="8" a="1"/>
  <c r="M569" i="8" s="1"/>
  <c r="O568" i="8"/>
  <c r="M568" i="8" a="1"/>
  <c r="M568" i="8" s="1"/>
  <c r="O567" i="8"/>
  <c r="M567" i="8" a="1"/>
  <c r="M567" i="8" s="1"/>
  <c r="O566" i="8"/>
  <c r="M566" i="8" a="1"/>
  <c r="M566" i="8" s="1"/>
  <c r="O565" i="8"/>
  <c r="M565" i="8" a="1"/>
  <c r="M565" i="8" s="1"/>
  <c r="O564" i="8"/>
  <c r="M564" i="8" a="1"/>
  <c r="M564" i="8" s="1"/>
  <c r="O563" i="8"/>
  <c r="M563" i="8" a="1"/>
  <c r="M563" i="8" s="1"/>
  <c r="O562" i="8"/>
  <c r="M562" i="8" a="1"/>
  <c r="M562" i="8" s="1"/>
  <c r="O561" i="8"/>
  <c r="M561" i="8" a="1"/>
  <c r="M561" i="8" s="1"/>
  <c r="O560" i="8"/>
  <c r="M560" i="8" a="1"/>
  <c r="M560" i="8" s="1"/>
  <c r="O559" i="8"/>
  <c r="M559" i="8" a="1"/>
  <c r="M559" i="8" s="1"/>
  <c r="O558" i="8"/>
  <c r="M558" i="8" a="1"/>
  <c r="M558" i="8" s="1"/>
  <c r="O557" i="8"/>
  <c r="M557" i="8" a="1"/>
  <c r="M557" i="8" s="1"/>
  <c r="O556" i="8"/>
  <c r="M556" i="8" a="1"/>
  <c r="M556" i="8" s="1"/>
  <c r="O555" i="8"/>
  <c r="M555" i="8" a="1"/>
  <c r="M555" i="8" s="1"/>
  <c r="O554" i="8"/>
  <c r="M554" i="8" a="1"/>
  <c r="M554" i="8" s="1"/>
  <c r="O553" i="8"/>
  <c r="M553" i="8" a="1"/>
  <c r="M553" i="8" s="1"/>
  <c r="O552" i="8"/>
  <c r="M552" i="8" a="1"/>
  <c r="M552" i="8" s="1"/>
  <c r="O551" i="8"/>
  <c r="M551" i="8" a="1"/>
  <c r="M551" i="8" s="1"/>
  <c r="O550" i="8"/>
  <c r="M550" i="8" a="1"/>
  <c r="M550" i="8" s="1"/>
  <c r="O549" i="8"/>
  <c r="M549" i="8" a="1"/>
  <c r="M549" i="8" s="1"/>
  <c r="M548" i="8" a="1"/>
  <c r="M548" i="8" s="1"/>
  <c r="C548" i="8"/>
  <c r="O548" i="8" s="1"/>
  <c r="C547" i="8"/>
  <c r="O547" i="8" s="1"/>
  <c r="C546" i="8"/>
  <c r="O546" i="8" s="1"/>
  <c r="O545" i="8"/>
  <c r="M545" i="8" a="1"/>
  <c r="M545" i="8" s="1"/>
  <c r="O544" i="8"/>
  <c r="M544" i="8" a="1"/>
  <c r="M544" i="8" s="1"/>
  <c r="O543" i="8"/>
  <c r="M543" i="8" a="1"/>
  <c r="M543" i="8" s="1"/>
  <c r="O542" i="8"/>
  <c r="M542" i="8" a="1"/>
  <c r="M542" i="8" s="1"/>
  <c r="O541" i="8"/>
  <c r="M541" i="8" a="1"/>
  <c r="M541" i="8" s="1"/>
  <c r="O540" i="8"/>
  <c r="M540" i="8" a="1"/>
  <c r="M540" i="8" s="1"/>
  <c r="O539" i="8"/>
  <c r="M539" i="8"/>
  <c r="M539" i="8" a="1"/>
  <c r="O538" i="8"/>
  <c r="M538" i="8" a="1"/>
  <c r="M538" i="8" s="1"/>
  <c r="O537" i="8"/>
  <c r="M537" i="8" a="1"/>
  <c r="M537" i="8" s="1"/>
  <c r="O536" i="8"/>
  <c r="M536" i="8" a="1"/>
  <c r="M536" i="8" s="1"/>
  <c r="O535" i="8"/>
  <c r="M535" i="8" a="1"/>
  <c r="M535" i="8" s="1"/>
  <c r="O534" i="8"/>
  <c r="M534" i="8" a="1"/>
  <c r="M534" i="8" s="1"/>
  <c r="O533" i="8"/>
  <c r="M533" i="8" a="1"/>
  <c r="M533" i="8" s="1"/>
  <c r="O532" i="8"/>
  <c r="M532" i="8" a="1"/>
  <c r="M532" i="8" s="1"/>
  <c r="O531" i="8"/>
  <c r="M531" i="8" a="1"/>
  <c r="M531" i="8" s="1"/>
  <c r="O530" i="8"/>
  <c r="M530" i="8" a="1"/>
  <c r="M530" i="8" s="1"/>
  <c r="O529" i="8"/>
  <c r="M529" i="8" a="1"/>
  <c r="M529" i="8" s="1"/>
  <c r="O528" i="8"/>
  <c r="M528" i="8" a="1"/>
  <c r="M528" i="8" s="1"/>
  <c r="O527" i="8"/>
  <c r="M527" i="8" a="1"/>
  <c r="M527" i="8" s="1"/>
  <c r="O526" i="8"/>
  <c r="M526" i="8" a="1"/>
  <c r="M526" i="8" s="1"/>
  <c r="O525" i="8"/>
  <c r="M525" i="8" a="1"/>
  <c r="M525" i="8" s="1"/>
  <c r="O524" i="8"/>
  <c r="M524" i="8" a="1"/>
  <c r="M524" i="8" s="1"/>
  <c r="O523" i="8"/>
  <c r="M523" i="8" a="1"/>
  <c r="M523" i="8" s="1"/>
  <c r="O522" i="8"/>
  <c r="M522" i="8" a="1"/>
  <c r="M522" i="8" s="1"/>
  <c r="O521" i="8"/>
  <c r="M521" i="8" a="1"/>
  <c r="M521" i="8" s="1"/>
  <c r="O520" i="8"/>
  <c r="M520" i="8" a="1"/>
  <c r="M520" i="8" s="1"/>
  <c r="O519" i="8"/>
  <c r="M519" i="8" a="1"/>
  <c r="M519" i="8" s="1"/>
  <c r="O518" i="8"/>
  <c r="M518" i="8" a="1"/>
  <c r="M518" i="8" s="1"/>
  <c r="O517" i="8"/>
  <c r="M517" i="8" a="1"/>
  <c r="M517" i="8" s="1"/>
  <c r="O516" i="8"/>
  <c r="M516" i="8" a="1"/>
  <c r="M516" i="8" s="1"/>
  <c r="O515" i="8"/>
  <c r="M515" i="8" a="1"/>
  <c r="M515" i="8" s="1"/>
  <c r="O514" i="8"/>
  <c r="M514" i="8" a="1"/>
  <c r="M514" i="8" s="1"/>
  <c r="O513" i="8"/>
  <c r="M513" i="8" a="1"/>
  <c r="M513" i="8" s="1"/>
  <c r="O512" i="8"/>
  <c r="M512" i="8" a="1"/>
  <c r="M512" i="8" s="1"/>
  <c r="O511" i="8"/>
  <c r="M511" i="8" a="1"/>
  <c r="M511" i="8" s="1"/>
  <c r="O510" i="8"/>
  <c r="M510" i="8" a="1"/>
  <c r="M510" i="8" s="1"/>
  <c r="O509" i="8"/>
  <c r="M509" i="8" a="1"/>
  <c r="M509" i="8" s="1"/>
  <c r="O508" i="8"/>
  <c r="M508" i="8" a="1"/>
  <c r="M508" i="8" s="1"/>
  <c r="O507" i="8"/>
  <c r="M507" i="8" a="1"/>
  <c r="M507" i="8" s="1"/>
  <c r="O506" i="8"/>
  <c r="M506" i="8" a="1"/>
  <c r="M506" i="8" s="1"/>
  <c r="O505" i="8"/>
  <c r="M505" i="8" a="1"/>
  <c r="M505" i="8" s="1"/>
  <c r="O504" i="8"/>
  <c r="M504" i="8" a="1"/>
  <c r="M504" i="8" s="1"/>
  <c r="O503" i="8"/>
  <c r="M503" i="8" a="1"/>
  <c r="M503" i="8" s="1"/>
  <c r="O502" i="8"/>
  <c r="M502" i="8" a="1"/>
  <c r="M502" i="8" s="1"/>
  <c r="O501" i="8"/>
  <c r="M501" i="8" a="1"/>
  <c r="M501" i="8" s="1"/>
  <c r="O500" i="8"/>
  <c r="M500" i="8" a="1"/>
  <c r="M500" i="8" s="1"/>
  <c r="O499" i="8"/>
  <c r="M499" i="8" a="1"/>
  <c r="M499" i="8" s="1"/>
  <c r="O498" i="8"/>
  <c r="M498" i="8" a="1"/>
  <c r="M498" i="8" s="1"/>
  <c r="O497" i="8"/>
  <c r="M497" i="8" a="1"/>
  <c r="M497" i="8" s="1"/>
  <c r="O496" i="8"/>
  <c r="M496" i="8" a="1"/>
  <c r="M496" i="8" s="1"/>
  <c r="O495" i="8"/>
  <c r="M495" i="8" a="1"/>
  <c r="M495" i="8" s="1"/>
  <c r="O494" i="8"/>
  <c r="M494" i="8" a="1"/>
  <c r="M494" i="8" s="1"/>
  <c r="O493" i="8"/>
  <c r="M493" i="8" a="1"/>
  <c r="M493" i="8" s="1"/>
  <c r="O492" i="8"/>
  <c r="M492" i="8" a="1"/>
  <c r="M492" i="8" s="1"/>
  <c r="O491" i="8"/>
  <c r="M491" i="8" a="1"/>
  <c r="M491" i="8" s="1"/>
  <c r="O490" i="8"/>
  <c r="M490" i="8" a="1"/>
  <c r="M490" i="8" s="1"/>
  <c r="O489" i="8"/>
  <c r="M489" i="8" a="1"/>
  <c r="M489" i="8" s="1"/>
  <c r="O488" i="8"/>
  <c r="M488" i="8" a="1"/>
  <c r="M488" i="8" s="1"/>
  <c r="O487" i="8"/>
  <c r="M487" i="8" a="1"/>
  <c r="M487" i="8" s="1"/>
  <c r="O486" i="8"/>
  <c r="M486" i="8" a="1"/>
  <c r="M486" i="8" s="1"/>
  <c r="O485" i="8"/>
  <c r="M485" i="8" a="1"/>
  <c r="M485" i="8" s="1"/>
  <c r="O484" i="8"/>
  <c r="M484" i="8" a="1"/>
  <c r="M484" i="8" s="1"/>
  <c r="O483" i="8"/>
  <c r="M483" i="8" a="1"/>
  <c r="M483" i="8" s="1"/>
  <c r="O482" i="8"/>
  <c r="M482" i="8" a="1"/>
  <c r="M482" i="8" s="1"/>
  <c r="O481" i="8"/>
  <c r="M481" i="8" a="1"/>
  <c r="M481" i="8" s="1"/>
  <c r="O480" i="8"/>
  <c r="M480" i="8" a="1"/>
  <c r="M480" i="8" s="1"/>
  <c r="O479" i="8"/>
  <c r="M479" i="8" a="1"/>
  <c r="M479" i="8" s="1"/>
  <c r="O478" i="8"/>
  <c r="M478" i="8" a="1"/>
  <c r="M478" i="8" s="1"/>
  <c r="O477" i="8"/>
  <c r="M477" i="8" a="1"/>
  <c r="M477" i="8" s="1"/>
  <c r="O476" i="8"/>
  <c r="M476" i="8" a="1"/>
  <c r="M476" i="8" s="1"/>
  <c r="O475" i="8"/>
  <c r="M475" i="8" a="1"/>
  <c r="M475" i="8" s="1"/>
  <c r="O474" i="8"/>
  <c r="M474" i="8" a="1"/>
  <c r="M474" i="8" s="1"/>
  <c r="O473" i="8"/>
  <c r="M473" i="8" a="1"/>
  <c r="M473" i="8" s="1"/>
  <c r="O472" i="8"/>
  <c r="M472" i="8" a="1"/>
  <c r="M472" i="8" s="1"/>
  <c r="O471" i="8"/>
  <c r="M471" i="8" a="1"/>
  <c r="M471" i="8" s="1"/>
  <c r="O470" i="8"/>
  <c r="M470" i="8" a="1"/>
  <c r="M470" i="8" s="1"/>
  <c r="O469" i="8"/>
  <c r="M469" i="8" a="1"/>
  <c r="M469" i="8" s="1"/>
  <c r="O468" i="8"/>
  <c r="M468" i="8" a="1"/>
  <c r="M468" i="8" s="1"/>
  <c r="O467" i="8"/>
  <c r="M467" i="8" a="1"/>
  <c r="M467" i="8" s="1"/>
  <c r="O466" i="8"/>
  <c r="M466" i="8" a="1"/>
  <c r="M466" i="8" s="1"/>
  <c r="O465" i="8"/>
  <c r="M465" i="8" a="1"/>
  <c r="M465" i="8" s="1"/>
  <c r="O464" i="8"/>
  <c r="M464" i="8" a="1"/>
  <c r="M464" i="8" s="1"/>
  <c r="O463" i="8"/>
  <c r="M463" i="8" a="1"/>
  <c r="M463" i="8" s="1"/>
  <c r="O462" i="8"/>
  <c r="M462" i="8" a="1"/>
  <c r="M462" i="8" s="1"/>
  <c r="O461" i="8"/>
  <c r="M461" i="8" a="1"/>
  <c r="M461" i="8" s="1"/>
  <c r="O460" i="8"/>
  <c r="M460" i="8" a="1"/>
  <c r="M460" i="8" s="1"/>
  <c r="O459" i="8"/>
  <c r="M459" i="8" a="1"/>
  <c r="M459" i="8" s="1"/>
  <c r="O458" i="8"/>
  <c r="M458" i="8" a="1"/>
  <c r="M458" i="8" s="1"/>
  <c r="O457" i="8"/>
  <c r="M457" i="8" a="1"/>
  <c r="M457" i="8" s="1"/>
  <c r="O456" i="8"/>
  <c r="M456" i="8" a="1"/>
  <c r="M456" i="8" s="1"/>
  <c r="O455" i="8"/>
  <c r="M455" i="8" a="1"/>
  <c r="M455" i="8" s="1"/>
  <c r="O454" i="8"/>
  <c r="M454" i="8" a="1"/>
  <c r="M454" i="8" s="1"/>
  <c r="O453" i="8"/>
  <c r="M453" i="8" a="1"/>
  <c r="M453" i="8" s="1"/>
  <c r="O452" i="8"/>
  <c r="M452" i="8" a="1"/>
  <c r="M452" i="8" s="1"/>
  <c r="O451" i="8"/>
  <c r="M451" i="8" a="1"/>
  <c r="M451" i="8" s="1"/>
  <c r="O450" i="8"/>
  <c r="M450" i="8" a="1"/>
  <c r="M450" i="8" s="1"/>
  <c r="O449" i="8"/>
  <c r="M449" i="8" a="1"/>
  <c r="M449" i="8" s="1"/>
  <c r="O448" i="8"/>
  <c r="M448" i="8" a="1"/>
  <c r="M448" i="8" s="1"/>
  <c r="O447" i="8"/>
  <c r="M447" i="8" a="1"/>
  <c r="M447" i="8" s="1"/>
  <c r="O446" i="8"/>
  <c r="M446" i="8" a="1"/>
  <c r="M446" i="8" s="1"/>
  <c r="O445" i="8"/>
  <c r="M445" i="8" a="1"/>
  <c r="M445" i="8" s="1"/>
  <c r="O444" i="8"/>
  <c r="M444" i="8" a="1"/>
  <c r="M444" i="8" s="1"/>
  <c r="O443" i="8"/>
  <c r="M443" i="8" a="1"/>
  <c r="M443" i="8" s="1"/>
  <c r="O442" i="8"/>
  <c r="M442" i="8" a="1"/>
  <c r="M442" i="8" s="1"/>
  <c r="O441" i="8"/>
  <c r="M441" i="8" a="1"/>
  <c r="M441" i="8" s="1"/>
  <c r="O440" i="8"/>
  <c r="M440" i="8" a="1"/>
  <c r="M440" i="8" s="1"/>
  <c r="O439" i="8"/>
  <c r="M439" i="8" a="1"/>
  <c r="M439" i="8" s="1"/>
  <c r="O438" i="8"/>
  <c r="M438" i="8" a="1"/>
  <c r="M438" i="8" s="1"/>
  <c r="O437" i="8"/>
  <c r="M437" i="8" a="1"/>
  <c r="M437" i="8" s="1"/>
  <c r="O436" i="8"/>
  <c r="M436" i="8" a="1"/>
  <c r="M436" i="8" s="1"/>
  <c r="O435" i="8"/>
  <c r="M435" i="8" a="1"/>
  <c r="M435" i="8" s="1"/>
  <c r="O434" i="8"/>
  <c r="M434" i="8"/>
  <c r="M434" i="8" a="1"/>
  <c r="O433" i="8"/>
  <c r="M433" i="8" a="1"/>
  <c r="M433" i="8" s="1"/>
  <c r="O432" i="8"/>
  <c r="M432" i="8" a="1"/>
  <c r="M432" i="8" s="1"/>
  <c r="O431" i="8"/>
  <c r="M431" i="8" a="1"/>
  <c r="M431" i="8" s="1"/>
  <c r="O430" i="8"/>
  <c r="M430" i="8" a="1"/>
  <c r="M430" i="8" s="1"/>
  <c r="O429" i="8"/>
  <c r="M429" i="8" a="1"/>
  <c r="M429" i="8" s="1"/>
  <c r="O428" i="8"/>
  <c r="M428" i="8" a="1"/>
  <c r="M428" i="8" s="1"/>
  <c r="O427" i="8"/>
  <c r="M427" i="8" a="1"/>
  <c r="M427" i="8" s="1"/>
  <c r="O426" i="8"/>
  <c r="M426" i="8" a="1"/>
  <c r="M426" i="8" s="1"/>
  <c r="O425" i="8"/>
  <c r="M425" i="8" a="1"/>
  <c r="M425" i="8" s="1"/>
  <c r="O424" i="8"/>
  <c r="M424" i="8" a="1"/>
  <c r="M424" i="8" s="1"/>
  <c r="O423" i="8"/>
  <c r="M423" i="8" a="1"/>
  <c r="M423" i="8" s="1"/>
  <c r="O422" i="8"/>
  <c r="M422" i="8" a="1"/>
  <c r="M422" i="8" s="1"/>
  <c r="O421" i="8"/>
  <c r="M421" i="8" a="1"/>
  <c r="M421" i="8" s="1"/>
  <c r="O420" i="8"/>
  <c r="M420" i="8" a="1"/>
  <c r="M420" i="8" s="1"/>
  <c r="O419" i="8"/>
  <c r="M419" i="8" a="1"/>
  <c r="M419" i="8" s="1"/>
  <c r="O418" i="8"/>
  <c r="M418" i="8" a="1"/>
  <c r="M418" i="8" s="1"/>
  <c r="O417" i="8"/>
  <c r="M417" i="8" a="1"/>
  <c r="M417" i="8" s="1"/>
  <c r="O416" i="8"/>
  <c r="M416" i="8" a="1"/>
  <c r="M416" i="8" s="1"/>
  <c r="O415" i="8"/>
  <c r="M415" i="8" a="1"/>
  <c r="M415" i="8" s="1"/>
  <c r="O414" i="8"/>
  <c r="M414" i="8" a="1"/>
  <c r="M414" i="8" s="1"/>
  <c r="O413" i="8"/>
  <c r="M413" i="8" a="1"/>
  <c r="M413" i="8" s="1"/>
  <c r="O412" i="8"/>
  <c r="M412" i="8" a="1"/>
  <c r="M412" i="8" s="1"/>
  <c r="O411" i="8"/>
  <c r="M411" i="8" a="1"/>
  <c r="M411" i="8" s="1"/>
  <c r="O410" i="8"/>
  <c r="M410" i="8" a="1"/>
  <c r="M410" i="8" s="1"/>
  <c r="O409" i="8"/>
  <c r="M409" i="8" a="1"/>
  <c r="M409" i="8" s="1"/>
  <c r="O408" i="8"/>
  <c r="M408" i="8" a="1"/>
  <c r="M408" i="8" s="1"/>
  <c r="O407" i="8"/>
  <c r="M407" i="8" a="1"/>
  <c r="M407" i="8" s="1"/>
  <c r="O406" i="8"/>
  <c r="M406" i="8" a="1"/>
  <c r="M406" i="8" s="1"/>
  <c r="O405" i="8"/>
  <c r="M405" i="8" a="1"/>
  <c r="M405" i="8" s="1"/>
  <c r="O404" i="8"/>
  <c r="M404" i="8" a="1"/>
  <c r="M404" i="8" s="1"/>
  <c r="O403" i="8"/>
  <c r="M403" i="8" a="1"/>
  <c r="M403" i="8" s="1"/>
  <c r="O402" i="8"/>
  <c r="M402" i="8" a="1"/>
  <c r="M402" i="8" s="1"/>
  <c r="O401" i="8"/>
  <c r="M401" i="8" a="1"/>
  <c r="M401" i="8" s="1"/>
  <c r="O400" i="8"/>
  <c r="M400" i="8" a="1"/>
  <c r="M400" i="8" s="1"/>
  <c r="O399" i="8"/>
  <c r="M399" i="8" a="1"/>
  <c r="M399" i="8" s="1"/>
  <c r="O398" i="8"/>
  <c r="M398" i="8" a="1"/>
  <c r="M398" i="8" s="1"/>
  <c r="O397" i="8"/>
  <c r="M397" i="8" a="1"/>
  <c r="M397" i="8" s="1"/>
  <c r="O396" i="8"/>
  <c r="M396" i="8" a="1"/>
  <c r="M396" i="8" s="1"/>
  <c r="O395" i="8"/>
  <c r="M395" i="8" a="1"/>
  <c r="M395" i="8" s="1"/>
  <c r="O394" i="8"/>
  <c r="M394" i="8" a="1"/>
  <c r="M394" i="8" s="1"/>
  <c r="O393" i="8"/>
  <c r="M393" i="8" a="1"/>
  <c r="M393" i="8" s="1"/>
  <c r="O392" i="8"/>
  <c r="M392" i="8" a="1"/>
  <c r="M392" i="8" s="1"/>
  <c r="O391" i="8"/>
  <c r="M391" i="8" a="1"/>
  <c r="M391" i="8" s="1"/>
  <c r="O390" i="8"/>
  <c r="M390" i="8" a="1"/>
  <c r="M390" i="8" s="1"/>
  <c r="O389" i="8"/>
  <c r="M389" i="8" a="1"/>
  <c r="M389" i="8" s="1"/>
  <c r="O388" i="8"/>
  <c r="M388" i="8" a="1"/>
  <c r="M388" i="8" s="1"/>
  <c r="O387" i="8"/>
  <c r="M387" i="8" a="1"/>
  <c r="M387" i="8" s="1"/>
  <c r="O386" i="8"/>
  <c r="M386" i="8" a="1"/>
  <c r="M386" i="8" s="1"/>
  <c r="O385" i="8"/>
  <c r="M385" i="8" a="1"/>
  <c r="M385" i="8" s="1"/>
  <c r="O384" i="8"/>
  <c r="M384" i="8" a="1"/>
  <c r="M384" i="8" s="1"/>
  <c r="O383" i="8"/>
  <c r="M383" i="8" a="1"/>
  <c r="M383" i="8" s="1"/>
  <c r="O382" i="8"/>
  <c r="M382" i="8" a="1"/>
  <c r="M382" i="8" s="1"/>
  <c r="O381" i="8"/>
  <c r="M381" i="8" a="1"/>
  <c r="M381" i="8" s="1"/>
  <c r="O380" i="8"/>
  <c r="M380" i="8" a="1"/>
  <c r="M380" i="8" s="1"/>
  <c r="O379" i="8"/>
  <c r="M379" i="8" a="1"/>
  <c r="M379" i="8" s="1"/>
  <c r="O378" i="8"/>
  <c r="M378" i="8" a="1"/>
  <c r="M378" i="8" s="1"/>
  <c r="O377" i="8"/>
  <c r="M377" i="8" a="1"/>
  <c r="M377" i="8" s="1"/>
  <c r="O376" i="8"/>
  <c r="M376" i="8" a="1"/>
  <c r="M376" i="8" s="1"/>
  <c r="O375" i="8"/>
  <c r="M375" i="8" a="1"/>
  <c r="M375" i="8" s="1"/>
  <c r="O374" i="8"/>
  <c r="M374" i="8" a="1"/>
  <c r="M374" i="8" s="1"/>
  <c r="O373" i="8"/>
  <c r="M373" i="8" a="1"/>
  <c r="M373" i="8" s="1"/>
  <c r="O372" i="8"/>
  <c r="M372" i="8" a="1"/>
  <c r="M372" i="8" s="1"/>
  <c r="O371" i="8"/>
  <c r="M371" i="8" a="1"/>
  <c r="M371" i="8" s="1"/>
  <c r="O370" i="8"/>
  <c r="M370" i="8" a="1"/>
  <c r="M370" i="8" s="1"/>
  <c r="O369" i="8"/>
  <c r="M369" i="8" a="1"/>
  <c r="M369" i="8" s="1"/>
  <c r="O368" i="8"/>
  <c r="M368" i="8" a="1"/>
  <c r="M368" i="8" s="1"/>
  <c r="O367" i="8"/>
  <c r="M367" i="8" a="1"/>
  <c r="M367" i="8" s="1"/>
  <c r="O366" i="8"/>
  <c r="M366" i="8" a="1"/>
  <c r="M366" i="8" s="1"/>
  <c r="O365" i="8"/>
  <c r="M365" i="8"/>
  <c r="M365" i="8" a="1"/>
  <c r="O364" i="8"/>
  <c r="M364" i="8" a="1"/>
  <c r="M364" i="8" s="1"/>
  <c r="O363" i="8"/>
  <c r="M363" i="8" a="1"/>
  <c r="M363" i="8" s="1"/>
  <c r="O362" i="8"/>
  <c r="M362" i="8" a="1"/>
  <c r="M362" i="8" s="1"/>
  <c r="O361" i="8"/>
  <c r="M361" i="8" a="1"/>
  <c r="M361" i="8" s="1"/>
  <c r="O360" i="8"/>
  <c r="M360" i="8" a="1"/>
  <c r="M360" i="8" s="1"/>
  <c r="O359" i="8"/>
  <c r="M359" i="8" a="1"/>
  <c r="M359" i="8" s="1"/>
  <c r="O358" i="8"/>
  <c r="M358" i="8" a="1"/>
  <c r="M358" i="8" s="1"/>
  <c r="O357" i="8"/>
  <c r="M357" i="8" a="1"/>
  <c r="M357" i="8" s="1"/>
  <c r="O356" i="8"/>
  <c r="M356" i="8" a="1"/>
  <c r="M356" i="8" s="1"/>
  <c r="O355" i="8"/>
  <c r="M355" i="8" a="1"/>
  <c r="M355" i="8" s="1"/>
  <c r="O354" i="8"/>
  <c r="M354" i="8" a="1"/>
  <c r="M354" i="8" s="1"/>
  <c r="O353" i="8"/>
  <c r="M353" i="8" a="1"/>
  <c r="M353" i="8" s="1"/>
  <c r="O352" i="8"/>
  <c r="M352" i="8" a="1"/>
  <c r="M352" i="8" s="1"/>
  <c r="O351" i="8"/>
  <c r="M351" i="8" a="1"/>
  <c r="M351" i="8" s="1"/>
  <c r="O350" i="8"/>
  <c r="M350" i="8" a="1"/>
  <c r="M350" i="8" s="1"/>
  <c r="O349" i="8"/>
  <c r="M349" i="8" a="1"/>
  <c r="M349" i="8" s="1"/>
  <c r="O348" i="8"/>
  <c r="M348" i="8"/>
  <c r="M348" i="8" a="1"/>
  <c r="O347" i="8"/>
  <c r="M347" i="8" a="1"/>
  <c r="M347" i="8" s="1"/>
  <c r="O346" i="8"/>
  <c r="M346" i="8" a="1"/>
  <c r="M346" i="8" s="1"/>
  <c r="O345" i="8"/>
  <c r="M345" i="8" a="1"/>
  <c r="M345" i="8" s="1"/>
  <c r="O344" i="8"/>
  <c r="M344" i="8" a="1"/>
  <c r="M344" i="8" s="1"/>
  <c r="O343" i="8"/>
  <c r="M343" i="8" a="1"/>
  <c r="M343" i="8" s="1"/>
  <c r="O342" i="8"/>
  <c r="M342" i="8" a="1"/>
  <c r="M342" i="8" s="1"/>
  <c r="O341" i="8"/>
  <c r="M341" i="8" a="1"/>
  <c r="M341" i="8" s="1"/>
  <c r="O340" i="8"/>
  <c r="M340" i="8" a="1"/>
  <c r="M340" i="8" s="1"/>
  <c r="O339" i="8"/>
  <c r="M339" i="8" a="1"/>
  <c r="M339" i="8" s="1"/>
  <c r="O338" i="8"/>
  <c r="M338" i="8" a="1"/>
  <c r="M338" i="8" s="1"/>
  <c r="O337" i="8"/>
  <c r="M337" i="8" a="1"/>
  <c r="M337" i="8" s="1"/>
  <c r="O336" i="8"/>
  <c r="M336" i="8" a="1"/>
  <c r="M336" i="8" s="1"/>
  <c r="O335" i="8"/>
  <c r="M335" i="8" a="1"/>
  <c r="M335" i="8" s="1"/>
  <c r="O334" i="8"/>
  <c r="M334" i="8" a="1"/>
  <c r="M334" i="8" s="1"/>
  <c r="O333" i="8"/>
  <c r="M333" i="8" a="1"/>
  <c r="M333" i="8" s="1"/>
  <c r="O332" i="8"/>
  <c r="M332" i="8" a="1"/>
  <c r="M332" i="8" s="1"/>
  <c r="O331" i="8"/>
  <c r="M331" i="8" a="1"/>
  <c r="M331" i="8" s="1"/>
  <c r="O330" i="8"/>
  <c r="M330" i="8" a="1"/>
  <c r="M330" i="8" s="1"/>
  <c r="O329" i="8"/>
  <c r="M329" i="8" a="1"/>
  <c r="M329" i="8" s="1"/>
  <c r="O328" i="8"/>
  <c r="M328" i="8" a="1"/>
  <c r="M328" i="8" s="1"/>
  <c r="O327" i="8"/>
  <c r="M327" i="8" a="1"/>
  <c r="M327" i="8" s="1"/>
  <c r="O326" i="8"/>
  <c r="M326" i="8" a="1"/>
  <c r="M326" i="8" s="1"/>
  <c r="O325" i="8"/>
  <c r="M325" i="8" a="1"/>
  <c r="M325" i="8" s="1"/>
  <c r="O324" i="8"/>
  <c r="M324" i="8" a="1"/>
  <c r="M324" i="8" s="1"/>
  <c r="O323" i="8"/>
  <c r="M323" i="8" a="1"/>
  <c r="M323" i="8" s="1"/>
  <c r="O322" i="8"/>
  <c r="M322" i="8" a="1"/>
  <c r="M322" i="8" s="1"/>
  <c r="O321" i="8"/>
  <c r="M321" i="8" a="1"/>
  <c r="M321" i="8" s="1"/>
  <c r="O320" i="8"/>
  <c r="M320" i="8" a="1"/>
  <c r="M320" i="8" s="1"/>
  <c r="O319" i="8"/>
  <c r="M319" i="8" a="1"/>
  <c r="M319" i="8" s="1"/>
  <c r="O318" i="8"/>
  <c r="M318" i="8" a="1"/>
  <c r="M318" i="8" s="1"/>
  <c r="O317" i="8"/>
  <c r="M317" i="8" a="1"/>
  <c r="M317" i="8" s="1"/>
  <c r="O316" i="8"/>
  <c r="M316" i="8" a="1"/>
  <c r="M316" i="8" s="1"/>
  <c r="O315" i="8"/>
  <c r="M315" i="8" a="1"/>
  <c r="M315" i="8" s="1"/>
  <c r="O314" i="8"/>
  <c r="M314" i="8" a="1"/>
  <c r="M314" i="8" s="1"/>
  <c r="O313" i="8"/>
  <c r="M313" i="8" a="1"/>
  <c r="M313" i="8" s="1"/>
  <c r="O312" i="8"/>
  <c r="M312" i="8" a="1"/>
  <c r="M312" i="8" s="1"/>
  <c r="O311" i="8"/>
  <c r="M311" i="8" a="1"/>
  <c r="M311" i="8" s="1"/>
  <c r="O310" i="8"/>
  <c r="M310" i="8" a="1"/>
  <c r="M310" i="8" s="1"/>
  <c r="O309" i="8"/>
  <c r="M309" i="8" a="1"/>
  <c r="M309" i="8" s="1"/>
  <c r="O308" i="8"/>
  <c r="M308" i="8" a="1"/>
  <c r="M308" i="8" s="1"/>
  <c r="O307" i="8"/>
  <c r="M307" i="8" a="1"/>
  <c r="M307" i="8" s="1"/>
  <c r="O306" i="8"/>
  <c r="M306" i="8" a="1"/>
  <c r="M306" i="8" s="1"/>
  <c r="O305" i="8"/>
  <c r="M305" i="8" a="1"/>
  <c r="M305" i="8" s="1"/>
  <c r="O304" i="8"/>
  <c r="M304" i="8" a="1"/>
  <c r="M304" i="8" s="1"/>
  <c r="O303" i="8"/>
  <c r="M303" i="8" a="1"/>
  <c r="M303" i="8" s="1"/>
  <c r="O302" i="8"/>
  <c r="M302" i="8" a="1"/>
  <c r="M302" i="8" s="1"/>
  <c r="O301" i="8"/>
  <c r="M301" i="8" a="1"/>
  <c r="M301" i="8" s="1"/>
  <c r="O300" i="8"/>
  <c r="M300" i="8" a="1"/>
  <c r="M300" i="8" s="1"/>
  <c r="O299" i="8"/>
  <c r="M299" i="8" a="1"/>
  <c r="M299" i="8" s="1"/>
  <c r="O298" i="8"/>
  <c r="M298" i="8" a="1"/>
  <c r="M298" i="8" s="1"/>
  <c r="O297" i="8"/>
  <c r="M297" i="8" a="1"/>
  <c r="M297" i="8" s="1"/>
  <c r="O296" i="8"/>
  <c r="M296" i="8" a="1"/>
  <c r="M296" i="8" s="1"/>
  <c r="O295" i="8"/>
  <c r="M295" i="8" a="1"/>
  <c r="M295" i="8" s="1"/>
  <c r="O294" i="8"/>
  <c r="M294" i="8" a="1"/>
  <c r="M294" i="8" s="1"/>
  <c r="O293" i="8"/>
  <c r="M293" i="8" a="1"/>
  <c r="M293" i="8" s="1"/>
  <c r="O292" i="8"/>
  <c r="M292" i="8" a="1"/>
  <c r="M292" i="8" s="1"/>
  <c r="O291" i="8"/>
  <c r="M291" i="8" a="1"/>
  <c r="M291" i="8" s="1"/>
  <c r="O290" i="8"/>
  <c r="M290" i="8" a="1"/>
  <c r="M290" i="8" s="1"/>
  <c r="O289" i="8"/>
  <c r="M289" i="8" a="1"/>
  <c r="M289" i="8" s="1"/>
  <c r="O288" i="8"/>
  <c r="M288" i="8" a="1"/>
  <c r="M288" i="8" s="1"/>
  <c r="O287" i="8"/>
  <c r="M287" i="8" a="1"/>
  <c r="M287" i="8" s="1"/>
  <c r="O286" i="8"/>
  <c r="M286" i="8" a="1"/>
  <c r="M286" i="8" s="1"/>
  <c r="O285" i="8"/>
  <c r="M285" i="8" a="1"/>
  <c r="M285" i="8" s="1"/>
  <c r="O284" i="8"/>
  <c r="M284" i="8" a="1"/>
  <c r="M284" i="8" s="1"/>
  <c r="O283" i="8"/>
  <c r="M283" i="8" a="1"/>
  <c r="M283" i="8" s="1"/>
  <c r="O282" i="8"/>
  <c r="M282" i="8" a="1"/>
  <c r="M282" i="8" s="1"/>
  <c r="O281" i="8"/>
  <c r="M281" i="8" a="1"/>
  <c r="M281" i="8" s="1"/>
  <c r="O280" i="8"/>
  <c r="M280" i="8" a="1"/>
  <c r="M280" i="8" s="1"/>
  <c r="O279" i="8"/>
  <c r="M279" i="8" a="1"/>
  <c r="M279" i="8" s="1"/>
  <c r="O278" i="8"/>
  <c r="M278" i="8" a="1"/>
  <c r="M278" i="8" s="1"/>
  <c r="O277" i="8"/>
  <c r="M277" i="8" a="1"/>
  <c r="M277" i="8" s="1"/>
  <c r="O276" i="8"/>
  <c r="M276" i="8" a="1"/>
  <c r="M276" i="8" s="1"/>
  <c r="O275" i="8"/>
  <c r="M275" i="8" a="1"/>
  <c r="M275" i="8" s="1"/>
  <c r="O274" i="8"/>
  <c r="M274" i="8" a="1"/>
  <c r="M274" i="8" s="1"/>
  <c r="O273" i="8"/>
  <c r="M273" i="8" a="1"/>
  <c r="M273" i="8" s="1"/>
  <c r="O272" i="8"/>
  <c r="M272" i="8" a="1"/>
  <c r="M272" i="8" s="1"/>
  <c r="O271" i="8"/>
  <c r="M271" i="8" a="1"/>
  <c r="M271" i="8" s="1"/>
  <c r="O270" i="8"/>
  <c r="M270" i="8" a="1"/>
  <c r="M270" i="8" s="1"/>
  <c r="O269" i="8"/>
  <c r="M269" i="8" a="1"/>
  <c r="M269" i="8" s="1"/>
  <c r="O268" i="8"/>
  <c r="M268" i="8" a="1"/>
  <c r="M268" i="8" s="1"/>
  <c r="O267" i="8"/>
  <c r="M267" i="8" a="1"/>
  <c r="M267" i="8" s="1"/>
  <c r="O266" i="8"/>
  <c r="M266" i="8" a="1"/>
  <c r="M266" i="8" s="1"/>
  <c r="O265" i="8"/>
  <c r="M265" i="8" a="1"/>
  <c r="M265" i="8" s="1"/>
  <c r="O264" i="8"/>
  <c r="M264" i="8" a="1"/>
  <c r="M264" i="8" s="1"/>
  <c r="O263" i="8"/>
  <c r="M263" i="8" a="1"/>
  <c r="M263" i="8" s="1"/>
  <c r="O262" i="8"/>
  <c r="M262" i="8" a="1"/>
  <c r="M262" i="8" s="1"/>
  <c r="O261" i="8"/>
  <c r="M261" i="8" a="1"/>
  <c r="M261" i="8" s="1"/>
  <c r="O260" i="8"/>
  <c r="M260" i="8" a="1"/>
  <c r="M260" i="8" s="1"/>
  <c r="O259" i="8"/>
  <c r="M259" i="8" a="1"/>
  <c r="M259" i="8" s="1"/>
  <c r="O258" i="8"/>
  <c r="M258" i="8" a="1"/>
  <c r="M258" i="8" s="1"/>
  <c r="O257" i="8"/>
  <c r="M257" i="8" a="1"/>
  <c r="M257" i="8" s="1"/>
  <c r="O256" i="8"/>
  <c r="M256" i="8" a="1"/>
  <c r="M256" i="8" s="1"/>
  <c r="O255" i="8"/>
  <c r="M255" i="8" a="1"/>
  <c r="M255" i="8" s="1"/>
  <c r="O254" i="8"/>
  <c r="M254" i="8" a="1"/>
  <c r="M254" i="8" s="1"/>
  <c r="O253" i="8"/>
  <c r="M253" i="8" a="1"/>
  <c r="M253" i="8" s="1"/>
  <c r="O252" i="8"/>
  <c r="M252" i="8" a="1"/>
  <c r="M252" i="8" s="1"/>
  <c r="O251" i="8"/>
  <c r="M251" i="8" a="1"/>
  <c r="M251" i="8" s="1"/>
  <c r="O250" i="8"/>
  <c r="M250" i="8" a="1"/>
  <c r="M250" i="8" s="1"/>
  <c r="O249" i="8"/>
  <c r="M249" i="8" a="1"/>
  <c r="M249" i="8" s="1"/>
  <c r="O248" i="8"/>
  <c r="M248" i="8" a="1"/>
  <c r="M248" i="8" s="1"/>
  <c r="O247" i="8"/>
  <c r="M247" i="8" a="1"/>
  <c r="M247" i="8" s="1"/>
  <c r="O246" i="8"/>
  <c r="M246" i="8" a="1"/>
  <c r="M246" i="8" s="1"/>
  <c r="O245" i="8"/>
  <c r="M245" i="8" a="1"/>
  <c r="M245" i="8" s="1"/>
  <c r="O244" i="8"/>
  <c r="M244" i="8" a="1"/>
  <c r="M244" i="8" s="1"/>
  <c r="O243" i="8"/>
  <c r="M243" i="8" a="1"/>
  <c r="M243" i="8" s="1"/>
  <c r="O242" i="8"/>
  <c r="M242" i="8" a="1"/>
  <c r="M242" i="8" s="1"/>
  <c r="O241" i="8"/>
  <c r="M241" i="8" a="1"/>
  <c r="M241" i="8" s="1"/>
  <c r="O240" i="8"/>
  <c r="M240" i="8" a="1"/>
  <c r="M240" i="8" s="1"/>
  <c r="O239" i="8"/>
  <c r="M239" i="8" a="1"/>
  <c r="M239" i="8" s="1"/>
  <c r="O238" i="8"/>
  <c r="M238" i="8" a="1"/>
  <c r="M238" i="8" s="1"/>
  <c r="O237" i="8"/>
  <c r="M237" i="8" a="1"/>
  <c r="M237" i="8" s="1"/>
  <c r="O236" i="8"/>
  <c r="M236" i="8" a="1"/>
  <c r="M236" i="8" s="1"/>
  <c r="O235" i="8"/>
  <c r="M235" i="8" a="1"/>
  <c r="M235" i="8" s="1"/>
  <c r="O234" i="8"/>
  <c r="M234" i="8" a="1"/>
  <c r="M234" i="8" s="1"/>
  <c r="O233" i="8"/>
  <c r="M233" i="8" a="1"/>
  <c r="M233" i="8" s="1"/>
  <c r="O232" i="8"/>
  <c r="M232" i="8" a="1"/>
  <c r="M232" i="8" s="1"/>
  <c r="O231" i="8"/>
  <c r="M231" i="8" a="1"/>
  <c r="M231" i="8" s="1"/>
  <c r="O230" i="8"/>
  <c r="M230" i="8" a="1"/>
  <c r="M230" i="8" s="1"/>
  <c r="O229" i="8"/>
  <c r="M229" i="8" a="1"/>
  <c r="M229" i="8" s="1"/>
  <c r="O228" i="8"/>
  <c r="M228" i="8" a="1"/>
  <c r="M228" i="8" s="1"/>
  <c r="O227" i="8"/>
  <c r="M227" i="8" a="1"/>
  <c r="M227" i="8" s="1"/>
  <c r="O226" i="8"/>
  <c r="M226" i="8" a="1"/>
  <c r="M226" i="8" s="1"/>
  <c r="O225" i="8"/>
  <c r="M225" i="8" a="1"/>
  <c r="M225" i="8" s="1"/>
  <c r="O224" i="8"/>
  <c r="M224" i="8" a="1"/>
  <c r="M224" i="8" s="1"/>
  <c r="O223" i="8"/>
  <c r="M223" i="8" a="1"/>
  <c r="M223" i="8" s="1"/>
  <c r="O222" i="8"/>
  <c r="M222" i="8" a="1"/>
  <c r="M222" i="8" s="1"/>
  <c r="O221" i="8"/>
  <c r="M221" i="8" a="1"/>
  <c r="M221" i="8" s="1"/>
  <c r="O220" i="8"/>
  <c r="M220" i="8" a="1"/>
  <c r="M220" i="8" s="1"/>
  <c r="O219" i="8"/>
  <c r="M219" i="8" a="1"/>
  <c r="M219" i="8" s="1"/>
  <c r="O218" i="8"/>
  <c r="M218" i="8" a="1"/>
  <c r="M218" i="8" s="1"/>
  <c r="O217" i="8"/>
  <c r="M217" i="8" a="1"/>
  <c r="M217" i="8" s="1"/>
  <c r="O216" i="8"/>
  <c r="M216" i="8" a="1"/>
  <c r="M216" i="8" s="1"/>
  <c r="O215" i="8"/>
  <c r="M215" i="8" a="1"/>
  <c r="M215" i="8" s="1"/>
  <c r="O214" i="8"/>
  <c r="M214" i="8" a="1"/>
  <c r="M214" i="8" s="1"/>
  <c r="O213" i="8"/>
  <c r="M213" i="8"/>
  <c r="M213" i="8" a="1"/>
  <c r="O212" i="8"/>
  <c r="M212" i="8" a="1"/>
  <c r="M212" i="8" s="1"/>
  <c r="O211" i="8"/>
  <c r="M211" i="8" a="1"/>
  <c r="M211" i="8" s="1"/>
  <c r="O210" i="8"/>
  <c r="M210" i="8" a="1"/>
  <c r="M210" i="8" s="1"/>
  <c r="O209" i="8"/>
  <c r="M209" i="8" a="1"/>
  <c r="M209" i="8" s="1"/>
  <c r="O208" i="8"/>
  <c r="M208" i="8" a="1"/>
  <c r="M208" i="8" s="1"/>
  <c r="O207" i="8"/>
  <c r="M207" i="8" a="1"/>
  <c r="M207" i="8" s="1"/>
  <c r="O206" i="8"/>
  <c r="M206" i="8" a="1"/>
  <c r="M206" i="8" s="1"/>
  <c r="O205" i="8"/>
  <c r="M205" i="8" a="1"/>
  <c r="M205" i="8" s="1"/>
  <c r="O204" i="8"/>
  <c r="M204" i="8" a="1"/>
  <c r="M204" i="8" s="1"/>
  <c r="O203" i="8"/>
  <c r="M203" i="8" a="1"/>
  <c r="M203" i="8" s="1"/>
  <c r="O202" i="8"/>
  <c r="M202" i="8" a="1"/>
  <c r="M202" i="8" s="1"/>
  <c r="O201" i="8"/>
  <c r="M201" i="8" a="1"/>
  <c r="M201" i="8" s="1"/>
  <c r="O200" i="8"/>
  <c r="M200" i="8" a="1"/>
  <c r="M200" i="8" s="1"/>
  <c r="O199" i="8"/>
  <c r="M199" i="8" a="1"/>
  <c r="M199" i="8" s="1"/>
  <c r="O198" i="8"/>
  <c r="M198" i="8"/>
  <c r="M198" i="8" a="1"/>
  <c r="O197" i="8"/>
  <c r="M197" i="8" a="1"/>
  <c r="M197" i="8" s="1"/>
  <c r="O196" i="8"/>
  <c r="M196" i="8" a="1"/>
  <c r="M196" i="8" s="1"/>
  <c r="O195" i="8"/>
  <c r="M195" i="8" a="1"/>
  <c r="M195" i="8" s="1"/>
  <c r="O194" i="8"/>
  <c r="M194" i="8" a="1"/>
  <c r="M194" i="8" s="1"/>
  <c r="O193" i="8"/>
  <c r="M193" i="8" a="1"/>
  <c r="M193" i="8" s="1"/>
  <c r="O192" i="8"/>
  <c r="M192" i="8" a="1"/>
  <c r="M192" i="8" s="1"/>
  <c r="O191" i="8"/>
  <c r="M191" i="8" a="1"/>
  <c r="M191" i="8" s="1"/>
  <c r="O190" i="8"/>
  <c r="M190" i="8" a="1"/>
  <c r="M190" i="8" s="1"/>
  <c r="O189" i="8"/>
  <c r="M189" i="8" a="1"/>
  <c r="M189" i="8" s="1"/>
  <c r="O188" i="8"/>
  <c r="M188" i="8" a="1"/>
  <c r="M188" i="8" s="1"/>
  <c r="O187" i="8"/>
  <c r="M187" i="8" a="1"/>
  <c r="M187" i="8" s="1"/>
  <c r="O186" i="8"/>
  <c r="M186" i="8" a="1"/>
  <c r="M186" i="8" s="1"/>
  <c r="O185" i="8"/>
  <c r="M185" i="8" a="1"/>
  <c r="M185" i="8" s="1"/>
  <c r="O184" i="8"/>
  <c r="M184" i="8" a="1"/>
  <c r="M184" i="8" s="1"/>
  <c r="O183" i="8"/>
  <c r="M183" i="8" a="1"/>
  <c r="M183" i="8" s="1"/>
  <c r="O182" i="8"/>
  <c r="M182" i="8" a="1"/>
  <c r="M182" i="8" s="1"/>
  <c r="O181" i="8"/>
  <c r="M181" i="8" a="1"/>
  <c r="M181" i="8" s="1"/>
  <c r="O180" i="8"/>
  <c r="M180" i="8" a="1"/>
  <c r="M180" i="8" s="1"/>
  <c r="O179" i="8"/>
  <c r="M179" i="8" a="1"/>
  <c r="M179" i="8" s="1"/>
  <c r="O178" i="8"/>
  <c r="M178" i="8" a="1"/>
  <c r="M178" i="8" s="1"/>
  <c r="O177" i="8"/>
  <c r="M177" i="8" a="1"/>
  <c r="M177" i="8" s="1"/>
  <c r="O176" i="8"/>
  <c r="M176" i="8" a="1"/>
  <c r="M176" i="8" s="1"/>
  <c r="O175" i="8"/>
  <c r="M175" i="8" a="1"/>
  <c r="M175" i="8" s="1"/>
  <c r="O174" i="8"/>
  <c r="M174" i="8" a="1"/>
  <c r="M174" i="8" s="1"/>
  <c r="O173" i="8"/>
  <c r="M173" i="8" a="1"/>
  <c r="M173" i="8" s="1"/>
  <c r="O172" i="8"/>
  <c r="M172" i="8" a="1"/>
  <c r="M172" i="8" s="1"/>
  <c r="O171" i="8"/>
  <c r="M171" i="8" a="1"/>
  <c r="M171" i="8" s="1"/>
  <c r="O170" i="8"/>
  <c r="M170" i="8" a="1"/>
  <c r="M170" i="8" s="1"/>
  <c r="O169" i="8"/>
  <c r="M169" i="8" a="1"/>
  <c r="M169" i="8" s="1"/>
  <c r="O168" i="8"/>
  <c r="M168" i="8" a="1"/>
  <c r="M168" i="8" s="1"/>
  <c r="O167" i="8"/>
  <c r="M167" i="8" a="1"/>
  <c r="M167" i="8" s="1"/>
  <c r="O166" i="8"/>
  <c r="M166" i="8" a="1"/>
  <c r="M166" i="8" s="1"/>
  <c r="O165" i="8"/>
  <c r="M165" i="8" a="1"/>
  <c r="M165" i="8" s="1"/>
  <c r="O164" i="8"/>
  <c r="M164" i="8" a="1"/>
  <c r="M164" i="8" s="1"/>
  <c r="O163" i="8"/>
  <c r="M163" i="8" a="1"/>
  <c r="M163" i="8" s="1"/>
  <c r="O162" i="8"/>
  <c r="M162" i="8" a="1"/>
  <c r="M162" i="8" s="1"/>
  <c r="O161" i="8"/>
  <c r="M161" i="8" a="1"/>
  <c r="M161" i="8" s="1"/>
  <c r="O160" i="8"/>
  <c r="M160" i="8" a="1"/>
  <c r="M160" i="8" s="1"/>
  <c r="O159" i="8"/>
  <c r="M159" i="8" a="1"/>
  <c r="M159" i="8" s="1"/>
  <c r="O158" i="8"/>
  <c r="M158" i="8" a="1"/>
  <c r="M158" i="8" s="1"/>
  <c r="O157" i="8"/>
  <c r="M157" i="8" a="1"/>
  <c r="M157" i="8" s="1"/>
  <c r="O156" i="8"/>
  <c r="M156" i="8" a="1"/>
  <c r="M156" i="8" s="1"/>
  <c r="O155" i="8"/>
  <c r="M155" i="8" a="1"/>
  <c r="M155" i="8" s="1"/>
  <c r="O154" i="8"/>
  <c r="M154" i="8" a="1"/>
  <c r="M154" i="8" s="1"/>
  <c r="O153" i="8"/>
  <c r="M153" i="8" a="1"/>
  <c r="M153" i="8" s="1"/>
  <c r="O152" i="8"/>
  <c r="M152" i="8" a="1"/>
  <c r="M152" i="8" s="1"/>
  <c r="O151" i="8"/>
  <c r="M151" i="8" a="1"/>
  <c r="M151" i="8" s="1"/>
  <c r="O150" i="8"/>
  <c r="M150" i="8"/>
  <c r="M150" i="8" a="1"/>
  <c r="O149" i="8"/>
  <c r="M149" i="8" a="1"/>
  <c r="M149" i="8" s="1"/>
  <c r="O148" i="8"/>
  <c r="M148" i="8" a="1"/>
  <c r="M148" i="8" s="1"/>
  <c r="O147" i="8"/>
  <c r="M147" i="8" a="1"/>
  <c r="M147" i="8" s="1"/>
  <c r="O146" i="8"/>
  <c r="M146" i="8" a="1"/>
  <c r="M146" i="8" s="1"/>
  <c r="O145" i="8"/>
  <c r="M145" i="8" a="1"/>
  <c r="M145" i="8" s="1"/>
  <c r="O144" i="8"/>
  <c r="M144" i="8" a="1"/>
  <c r="M144" i="8" s="1"/>
  <c r="O143" i="8"/>
  <c r="M143" i="8" a="1"/>
  <c r="M143" i="8" s="1"/>
  <c r="O142" i="8"/>
  <c r="M142" i="8" a="1"/>
  <c r="M142" i="8" s="1"/>
  <c r="O141" i="8"/>
  <c r="M141" i="8" a="1"/>
  <c r="M141" i="8" s="1"/>
  <c r="O140" i="8"/>
  <c r="M140" i="8"/>
  <c r="M140" i="8" a="1"/>
  <c r="O139" i="8"/>
  <c r="M139" i="8" a="1"/>
  <c r="M139" i="8" s="1"/>
  <c r="O138" i="8"/>
  <c r="M138" i="8" a="1"/>
  <c r="M138" i="8" s="1"/>
  <c r="O137" i="8"/>
  <c r="M137" i="8" a="1"/>
  <c r="M137" i="8" s="1"/>
  <c r="O136" i="8"/>
  <c r="M136" i="8" a="1"/>
  <c r="M136" i="8" s="1"/>
  <c r="O135" i="8"/>
  <c r="M135" i="8" a="1"/>
  <c r="M135" i="8" s="1"/>
  <c r="O134" i="8"/>
  <c r="M134" i="8" a="1"/>
  <c r="M134" i="8" s="1"/>
  <c r="O133" i="8"/>
  <c r="M133" i="8" a="1"/>
  <c r="M133" i="8" s="1"/>
  <c r="O132" i="8"/>
  <c r="M132" i="8" a="1"/>
  <c r="M132" i="8" s="1"/>
  <c r="O131" i="8"/>
  <c r="M131" i="8" a="1"/>
  <c r="M131" i="8" s="1"/>
  <c r="O130" i="8"/>
  <c r="M130" i="8" a="1"/>
  <c r="M130" i="8" s="1"/>
  <c r="O129" i="8"/>
  <c r="M129" i="8" a="1"/>
  <c r="M129" i="8" s="1"/>
  <c r="O128" i="8"/>
  <c r="M128" i="8" a="1"/>
  <c r="M128" i="8" s="1"/>
  <c r="O127" i="8"/>
  <c r="M127" i="8" a="1"/>
  <c r="M127" i="8" s="1"/>
  <c r="O126" i="8"/>
  <c r="M126" i="8" a="1"/>
  <c r="M126" i="8" s="1"/>
  <c r="O125" i="8"/>
  <c r="M125" i="8" a="1"/>
  <c r="M125" i="8" s="1"/>
  <c r="O124" i="8"/>
  <c r="M124" i="8" a="1"/>
  <c r="M124" i="8" s="1"/>
  <c r="O123" i="8"/>
  <c r="M123" i="8" a="1"/>
  <c r="M123" i="8" s="1"/>
  <c r="O122" i="8"/>
  <c r="M122" i="8" a="1"/>
  <c r="M122" i="8" s="1"/>
  <c r="O121" i="8"/>
  <c r="M121" i="8" a="1"/>
  <c r="M121" i="8" s="1"/>
  <c r="O120" i="8"/>
  <c r="M120" i="8" a="1"/>
  <c r="M120" i="8" s="1"/>
  <c r="O119" i="8"/>
  <c r="M119" i="8" a="1"/>
  <c r="M119" i="8" s="1"/>
  <c r="O118" i="8"/>
  <c r="M118" i="8" a="1"/>
  <c r="M118" i="8" s="1"/>
  <c r="O117" i="8"/>
  <c r="M117" i="8" a="1"/>
  <c r="M117" i="8" s="1"/>
  <c r="O116" i="8"/>
  <c r="M116" i="8" a="1"/>
  <c r="M116" i="8" s="1"/>
  <c r="O115" i="8"/>
  <c r="M115" i="8" a="1"/>
  <c r="M115" i="8" s="1"/>
  <c r="O114" i="8"/>
  <c r="M114" i="8" a="1"/>
  <c r="M114" i="8" s="1"/>
  <c r="O113" i="8"/>
  <c r="M113" i="8" a="1"/>
  <c r="M113" i="8" s="1"/>
  <c r="O112" i="8"/>
  <c r="M112" i="8" a="1"/>
  <c r="M112" i="8" s="1"/>
  <c r="O111" i="8"/>
  <c r="M111" i="8" a="1"/>
  <c r="M111" i="8" s="1"/>
  <c r="O110" i="8"/>
  <c r="M110" i="8" a="1"/>
  <c r="M110" i="8" s="1"/>
  <c r="O109" i="8"/>
  <c r="M109" i="8" a="1"/>
  <c r="M109" i="8" s="1"/>
  <c r="O108" i="8"/>
  <c r="M108" i="8" a="1"/>
  <c r="M108" i="8" s="1"/>
  <c r="O107" i="8"/>
  <c r="M107" i="8" a="1"/>
  <c r="M107" i="8" s="1"/>
  <c r="O106" i="8"/>
  <c r="M106" i="8" a="1"/>
  <c r="M106" i="8" s="1"/>
  <c r="O105" i="8"/>
  <c r="M105" i="8" a="1"/>
  <c r="M105" i="8" s="1"/>
  <c r="O104" i="8"/>
  <c r="M104" i="8" a="1"/>
  <c r="M104" i="8" s="1"/>
  <c r="O103" i="8"/>
  <c r="M103" i="8" a="1"/>
  <c r="M103" i="8" s="1"/>
  <c r="O102" i="8"/>
  <c r="M102" i="8" a="1"/>
  <c r="M102" i="8" s="1"/>
  <c r="O101" i="8"/>
  <c r="M101" i="8" a="1"/>
  <c r="M101" i="8" s="1"/>
  <c r="O100" i="8"/>
  <c r="M100" i="8" a="1"/>
  <c r="M100" i="8" s="1"/>
  <c r="O99" i="8"/>
  <c r="M99" i="8" a="1"/>
  <c r="M99" i="8" s="1"/>
  <c r="O98" i="8"/>
  <c r="M98" i="8" a="1"/>
  <c r="M98" i="8" s="1"/>
  <c r="O97" i="8"/>
  <c r="M97" i="8" a="1"/>
  <c r="M97" i="8" s="1"/>
  <c r="O96" i="8"/>
  <c r="M96" i="8" a="1"/>
  <c r="M96" i="8" s="1"/>
  <c r="O95" i="8"/>
  <c r="M95" i="8" a="1"/>
  <c r="M95" i="8" s="1"/>
  <c r="O94" i="8"/>
  <c r="M94" i="8" a="1"/>
  <c r="M94" i="8" s="1"/>
  <c r="O93" i="8"/>
  <c r="M93" i="8" a="1"/>
  <c r="M93" i="8" s="1"/>
  <c r="O92" i="8"/>
  <c r="M92" i="8" a="1"/>
  <c r="M92" i="8" s="1"/>
  <c r="O91" i="8"/>
  <c r="M91" i="8" a="1"/>
  <c r="M91" i="8" s="1"/>
  <c r="O90" i="8"/>
  <c r="M90" i="8" a="1"/>
  <c r="M90" i="8" s="1"/>
  <c r="O89" i="8"/>
  <c r="M89" i="8" a="1"/>
  <c r="M89" i="8" s="1"/>
  <c r="O88" i="8"/>
  <c r="M88" i="8" a="1"/>
  <c r="M88" i="8" s="1"/>
  <c r="O87" i="8"/>
  <c r="M87" i="8" a="1"/>
  <c r="M87" i="8" s="1"/>
  <c r="O86" i="8"/>
  <c r="M86" i="8" a="1"/>
  <c r="M86" i="8" s="1"/>
  <c r="O85" i="8"/>
  <c r="M85" i="8" a="1"/>
  <c r="M85" i="8" s="1"/>
  <c r="O84" i="8"/>
  <c r="M84" i="8" a="1"/>
  <c r="M84" i="8" s="1"/>
  <c r="O83" i="8"/>
  <c r="M83" i="8" a="1"/>
  <c r="M83" i="8" s="1"/>
  <c r="O82" i="8"/>
  <c r="M82" i="8" a="1"/>
  <c r="M82" i="8" s="1"/>
  <c r="O81" i="8"/>
  <c r="M81" i="8" a="1"/>
  <c r="M81" i="8" s="1"/>
  <c r="O80" i="8"/>
  <c r="M80" i="8" a="1"/>
  <c r="M80" i="8" s="1"/>
  <c r="O79" i="8"/>
  <c r="M79" i="8" a="1"/>
  <c r="M79" i="8" s="1"/>
  <c r="O78" i="8"/>
  <c r="M78" i="8" a="1"/>
  <c r="M78" i="8" s="1"/>
  <c r="O77" i="8"/>
  <c r="M77" i="8" a="1"/>
  <c r="M77" i="8" s="1"/>
  <c r="O76" i="8"/>
  <c r="M76" i="8" a="1"/>
  <c r="M76" i="8" s="1"/>
  <c r="O75" i="8"/>
  <c r="M75" i="8" a="1"/>
  <c r="M75" i="8" s="1"/>
  <c r="O74" i="8"/>
  <c r="M74" i="8" a="1"/>
  <c r="M74" i="8" s="1"/>
  <c r="O73" i="8"/>
  <c r="M73" i="8" a="1"/>
  <c r="M73" i="8" s="1"/>
  <c r="O72" i="8"/>
  <c r="M72" i="8" a="1"/>
  <c r="M72" i="8" s="1"/>
  <c r="O71" i="8"/>
  <c r="M71" i="8" a="1"/>
  <c r="M71" i="8" s="1"/>
  <c r="O70" i="8"/>
  <c r="M70" i="8" a="1"/>
  <c r="M70" i="8" s="1"/>
  <c r="O69" i="8"/>
  <c r="M69" i="8" a="1"/>
  <c r="M69" i="8" s="1"/>
  <c r="O68" i="8"/>
  <c r="M68" i="8" a="1"/>
  <c r="M68" i="8" s="1"/>
  <c r="O67" i="8"/>
  <c r="M67" i="8" a="1"/>
  <c r="M67" i="8" s="1"/>
  <c r="O66" i="8"/>
  <c r="M66" i="8" a="1"/>
  <c r="M66" i="8" s="1"/>
  <c r="O65" i="8"/>
  <c r="M65" i="8" a="1"/>
  <c r="M65" i="8" s="1"/>
  <c r="O64" i="8"/>
  <c r="M64" i="8" a="1"/>
  <c r="M64" i="8" s="1"/>
  <c r="O63" i="8"/>
  <c r="M63" i="8" a="1"/>
  <c r="M63" i="8" s="1"/>
  <c r="O62" i="8"/>
  <c r="M62" i="8" a="1"/>
  <c r="M62" i="8" s="1"/>
  <c r="O61" i="8"/>
  <c r="M61" i="8" a="1"/>
  <c r="M61" i="8" s="1"/>
  <c r="O60" i="8"/>
  <c r="M60" i="8" a="1"/>
  <c r="M60" i="8" s="1"/>
  <c r="O59" i="8"/>
  <c r="M59" i="8" a="1"/>
  <c r="M59" i="8" s="1"/>
  <c r="O58" i="8"/>
  <c r="M58" i="8" a="1"/>
  <c r="M58" i="8" s="1"/>
  <c r="O57" i="8"/>
  <c r="M57" i="8" a="1"/>
  <c r="M57" i="8" s="1"/>
  <c r="O56" i="8"/>
  <c r="M56" i="8" a="1"/>
  <c r="M56" i="8" s="1"/>
  <c r="O55" i="8"/>
  <c r="M55" i="8" a="1"/>
  <c r="M55" i="8" s="1"/>
  <c r="O54" i="8"/>
  <c r="M54" i="8" a="1"/>
  <c r="M54" i="8" s="1"/>
  <c r="O53" i="8"/>
  <c r="M53" i="8" a="1"/>
  <c r="M53" i="8" s="1"/>
  <c r="O52" i="8"/>
  <c r="M52" i="8" a="1"/>
  <c r="M52" i="8" s="1"/>
  <c r="O51" i="8"/>
  <c r="M51" i="8" a="1"/>
  <c r="M51" i="8" s="1"/>
  <c r="O50" i="8"/>
  <c r="M50" i="8" a="1"/>
  <c r="M50" i="8" s="1"/>
  <c r="O49" i="8"/>
  <c r="M49" i="8" a="1"/>
  <c r="M49" i="8" s="1"/>
  <c r="O48" i="8"/>
  <c r="M48" i="8" a="1"/>
  <c r="M48" i="8" s="1"/>
  <c r="O47" i="8"/>
  <c r="M47" i="8" a="1"/>
  <c r="M47" i="8" s="1"/>
  <c r="O46" i="8"/>
  <c r="M46" i="8" a="1"/>
  <c r="M46" i="8" s="1"/>
  <c r="O45" i="8"/>
  <c r="M45" i="8" a="1"/>
  <c r="M45" i="8" s="1"/>
  <c r="O44" i="8"/>
  <c r="M44" i="8" a="1"/>
  <c r="M44" i="8" s="1"/>
  <c r="O43" i="8"/>
  <c r="M43" i="8" a="1"/>
  <c r="M43" i="8" s="1"/>
  <c r="O42" i="8"/>
  <c r="M42" i="8" a="1"/>
  <c r="M42" i="8" s="1"/>
  <c r="O41" i="8"/>
  <c r="M41" i="8" a="1"/>
  <c r="M41" i="8" s="1"/>
  <c r="O40" i="8"/>
  <c r="M40" i="8" a="1"/>
  <c r="M40" i="8" s="1"/>
  <c r="O39" i="8"/>
  <c r="M39" i="8" a="1"/>
  <c r="M39" i="8" s="1"/>
  <c r="O38" i="8"/>
  <c r="M38" i="8" a="1"/>
  <c r="M38" i="8" s="1"/>
  <c r="O37" i="8"/>
  <c r="M37" i="8" a="1"/>
  <c r="M37" i="8" s="1"/>
  <c r="O36" i="8"/>
  <c r="M36" i="8" a="1"/>
  <c r="M36" i="8" s="1"/>
  <c r="O35" i="8"/>
  <c r="M35" i="8" a="1"/>
  <c r="M35" i="8" s="1"/>
  <c r="O34" i="8"/>
  <c r="M34" i="8" a="1"/>
  <c r="M34" i="8" s="1"/>
  <c r="O33" i="8"/>
  <c r="M33" i="8" a="1"/>
  <c r="M33" i="8" s="1"/>
  <c r="O32" i="8"/>
  <c r="M32" i="8" a="1"/>
  <c r="M32" i="8" s="1"/>
  <c r="O31" i="8"/>
  <c r="M31" i="8" a="1"/>
  <c r="M31" i="8" s="1"/>
  <c r="O30" i="8"/>
  <c r="M30" i="8" a="1"/>
  <c r="M30" i="8" s="1"/>
  <c r="O29" i="8"/>
  <c r="M29" i="8" a="1"/>
  <c r="M29" i="8" s="1"/>
  <c r="O28" i="8"/>
  <c r="M28" i="8" a="1"/>
  <c r="M28" i="8" s="1"/>
  <c r="O27" i="8"/>
  <c r="M27" i="8" a="1"/>
  <c r="M27" i="8" s="1"/>
  <c r="O26" i="8"/>
  <c r="M26" i="8" a="1"/>
  <c r="M26" i="8" s="1"/>
  <c r="O25" i="8"/>
  <c r="M25" i="8" a="1"/>
  <c r="M25" i="8" s="1"/>
  <c r="O24" i="8"/>
  <c r="M24" i="8" a="1"/>
  <c r="M24" i="8" s="1"/>
  <c r="O23" i="8"/>
  <c r="M23" i="8" a="1"/>
  <c r="M23" i="8" s="1"/>
  <c r="O22" i="8"/>
  <c r="M22" i="8" a="1"/>
  <c r="M22" i="8" s="1"/>
  <c r="O21" i="8"/>
  <c r="M21" i="8" a="1"/>
  <c r="M21" i="8" s="1"/>
  <c r="O20" i="8"/>
  <c r="M20" i="8" a="1"/>
  <c r="M20" i="8" s="1"/>
  <c r="O19" i="8"/>
  <c r="M19" i="8" a="1"/>
  <c r="M19" i="8" s="1"/>
  <c r="O18" i="8"/>
  <c r="M18" i="8" a="1"/>
  <c r="M18" i="8" s="1"/>
  <c r="O17" i="8"/>
  <c r="M17" i="8" a="1"/>
  <c r="M17" i="8" s="1"/>
  <c r="O16" i="8"/>
  <c r="M16" i="8" a="1"/>
  <c r="M16" i="8" s="1"/>
  <c r="O15" i="8"/>
  <c r="M15" i="8" a="1"/>
  <c r="M15" i="8" s="1"/>
  <c r="O14" i="8"/>
  <c r="M14" i="8" a="1"/>
  <c r="M14" i="8" s="1"/>
  <c r="O13" i="8"/>
  <c r="M13" i="8" a="1"/>
  <c r="M13" i="8" s="1"/>
  <c r="O12" i="8"/>
  <c r="M12" i="8" a="1"/>
  <c r="M12" i="8" s="1"/>
  <c r="O11" i="8"/>
  <c r="M11" i="8" a="1"/>
  <c r="M11" i="8" s="1"/>
  <c r="O10" i="8"/>
  <c r="M10" i="8" a="1"/>
  <c r="M10" i="8" s="1"/>
  <c r="O9" i="8"/>
  <c r="M9" i="8" a="1"/>
  <c r="M9" i="8" s="1"/>
  <c r="O8" i="8"/>
  <c r="M8" i="8" a="1"/>
  <c r="M8" i="8" s="1"/>
  <c r="O7" i="8"/>
  <c r="M7" i="8" a="1"/>
  <c r="M7" i="8" s="1"/>
  <c r="O6" i="8"/>
  <c r="M6" i="8" a="1"/>
  <c r="M6" i="8" s="1"/>
  <c r="O5" i="8"/>
  <c r="M5" i="8" a="1"/>
  <c r="M5" i="8" s="1"/>
  <c r="O4" i="8"/>
  <c r="O3" i="8"/>
  <c r="M3" i="8" a="1"/>
  <c r="M3" i="8" s="1"/>
  <c r="M1057" i="8" l="1" a="1"/>
  <c r="M1057" i="8" s="1"/>
  <c r="M1146" i="8" a="1"/>
  <c r="M1146" i="8" s="1"/>
  <c r="M546" i="8" a="1"/>
  <c r="M546" i="8" s="1"/>
  <c r="M1038" i="8" a="1"/>
  <c r="M1038" i="8" s="1"/>
  <c r="M1051" i="8" a="1"/>
  <c r="M1051" i="8" s="1"/>
  <c r="M1063" i="8" a="1"/>
  <c r="M1063" i="8" s="1"/>
  <c r="M1140" i="8" a="1"/>
  <c r="M1140" i="8" s="1"/>
  <c r="M547" i="8" a="1"/>
  <c r="M547" i="8" s="1"/>
  <c r="M868" i="8" a="1"/>
  <c r="M868" i="8" s="1"/>
  <c r="M1039" i="8" a="1"/>
  <c r="M1039" i="8" s="1"/>
  <c r="N1039" i="8" s="1"/>
  <c r="M1045" i="8" a="1"/>
  <c r="M1045" i="8" s="1"/>
  <c r="N1045" i="8" s="1"/>
  <c r="M1052" i="8" a="1"/>
  <c r="M1052" i="8" s="1"/>
  <c r="M1064" i="8" a="1"/>
  <c r="M1064" i="8" s="1"/>
  <c r="M1141" i="8" a="1"/>
  <c r="M1141" i="8" s="1"/>
  <c r="M1148" i="8" a="1"/>
  <c r="M1148" i="8" s="1"/>
  <c r="M1154" i="8" a="1"/>
  <c r="M1154" i="8" s="1"/>
  <c r="M1155" i="8" a="1"/>
  <c r="M1155" i="8" s="1"/>
  <c r="O1040" i="8"/>
  <c r="M1143" i="8" a="1"/>
  <c r="M1143" i="8" s="1"/>
  <c r="M1047" i="8" a="1"/>
  <c r="M1047" i="8" s="1"/>
  <c r="M1054" i="8" a="1"/>
  <c r="M1054" i="8" s="1"/>
  <c r="M1060" i="8" a="1"/>
  <c r="M1060" i="8" s="1"/>
  <c r="M1114" i="8" a="1"/>
  <c r="M1114" i="8" s="1"/>
  <c r="M1137" i="8" a="1"/>
  <c r="M1137" i="8" s="1"/>
  <c r="M1113" i="8" a="1"/>
  <c r="M1113" i="8" s="1"/>
  <c r="O869" i="8"/>
  <c r="M963" i="8" a="1"/>
  <c r="M963" i="8" s="1"/>
  <c r="N361" i="8" s="1"/>
  <c r="M1034" i="8" a="1"/>
  <c r="M1034" i="8" s="1"/>
  <c r="O1149" i="8"/>
  <c r="M1041" i="8" a="1"/>
  <c r="M1041" i="8" s="1"/>
  <c r="M1042" i="8" a="1"/>
  <c r="M1042" i="8" s="1"/>
  <c r="M871" i="8" a="1"/>
  <c r="M871" i="8" s="1"/>
  <c r="M965" i="8" a="1"/>
  <c r="M965" i="8" s="1"/>
  <c r="M1036" i="8" a="1"/>
  <c r="M1036" i="8" s="1"/>
  <c r="M1049" i="8" a="1"/>
  <c r="M1049" i="8" s="1"/>
  <c r="M1145" i="8" a="1"/>
  <c r="M1145" i="8" s="1"/>
  <c r="M1151" i="8" a="1"/>
  <c r="M1151" i="8" s="1"/>
  <c r="M1173" i="8" a="1"/>
  <c r="M1173" i="8" s="1"/>
  <c r="N77" i="8"/>
  <c r="N150" i="8"/>
  <c r="N16" i="8"/>
  <c r="N1155" i="8"/>
  <c r="N998" i="8"/>
  <c r="N600" i="8"/>
  <c r="N986" i="8"/>
  <c r="N663" i="8"/>
  <c r="N362" i="8"/>
  <c r="N313" i="8"/>
  <c r="N335" i="8"/>
  <c r="N476" i="8"/>
  <c r="N263" i="8"/>
  <c r="N349" i="8"/>
  <c r="N575" i="8"/>
  <c r="N235" i="8"/>
  <c r="N563" i="8"/>
  <c r="N104" i="8"/>
  <c r="N56" i="8"/>
  <c r="N473" i="8"/>
  <c r="N539" i="8"/>
  <c r="N470" i="8"/>
  <c r="N546" i="8"/>
  <c r="N460" i="8"/>
  <c r="N884" i="8"/>
  <c r="N736" i="8"/>
  <c r="N595" i="8"/>
  <c r="N672" i="8"/>
  <c r="N745" i="8"/>
  <c r="N966" i="8"/>
  <c r="N994" i="8"/>
  <c r="N938" i="8"/>
  <c r="N974" i="8"/>
  <c r="N841" i="8"/>
  <c r="N847" i="8"/>
  <c r="N842" i="8"/>
  <c r="N927" i="8"/>
  <c r="N1073" i="8"/>
  <c r="N1087" i="8"/>
  <c r="N843" i="8"/>
  <c r="N1195" i="8"/>
  <c r="N1201" i="8"/>
  <c r="N987" i="8"/>
  <c r="N1028" i="8"/>
  <c r="N1203" i="8"/>
  <c r="N988" i="8"/>
  <c r="N1011" i="8"/>
  <c r="N1109" i="8"/>
  <c r="N1072" i="8"/>
  <c r="N1126" i="8"/>
  <c r="N1179" i="8"/>
  <c r="N1185" i="8"/>
  <c r="N1067" i="8"/>
  <c r="N1105" i="8"/>
  <c r="N1111" i="8"/>
  <c r="N1173" i="8"/>
  <c r="N1156" i="8"/>
  <c r="N1169" i="8"/>
  <c r="D3" i="5"/>
  <c r="N594" i="8" l="1"/>
  <c r="N240" i="8"/>
  <c r="N1147" i="8"/>
  <c r="N992" i="8"/>
  <c r="N1136" i="8"/>
  <c r="N1076" i="8"/>
  <c r="N991" i="8"/>
  <c r="N926" i="8"/>
  <c r="N1047" i="8"/>
  <c r="N1202" i="8"/>
  <c r="N1088" i="8"/>
  <c r="N1124" i="8"/>
  <c r="N761" i="8"/>
  <c r="N749" i="8"/>
  <c r="N853" i="8"/>
  <c r="N597" i="8"/>
  <c r="N429" i="8"/>
  <c r="N458" i="8"/>
  <c r="N622" i="8"/>
  <c r="N505" i="8"/>
  <c r="N310" i="8"/>
  <c r="N340" i="8"/>
  <c r="N357" i="8"/>
  <c r="N20" i="8"/>
  <c r="N171" i="8"/>
  <c r="N246" i="8"/>
  <c r="N276" i="8"/>
  <c r="N192" i="8"/>
  <c r="N409" i="8"/>
  <c r="N427" i="8"/>
  <c r="N721" i="8"/>
  <c r="N497" i="8"/>
  <c r="N667" i="8"/>
  <c r="N707" i="8"/>
  <c r="N1172" i="8"/>
  <c r="N130" i="8"/>
  <c r="N121" i="8"/>
  <c r="N49" i="8"/>
  <c r="N1118" i="8"/>
  <c r="N1097" i="8"/>
  <c r="N1135" i="8"/>
  <c r="N1104" i="8"/>
  <c r="N948" i="8"/>
  <c r="N1096" i="8"/>
  <c r="N480" i="8"/>
  <c r="N145" i="8"/>
  <c r="N871" i="8"/>
  <c r="N1099" i="8"/>
  <c r="N374" i="8"/>
  <c r="N1007" i="8"/>
  <c r="N158" i="8"/>
  <c r="N682" i="8"/>
  <c r="N414" i="8"/>
  <c r="N695" i="8"/>
  <c r="N449" i="8"/>
  <c r="N333" i="8"/>
  <c r="N466" i="8"/>
  <c r="N932" i="8"/>
  <c r="N918" i="8"/>
  <c r="N1031" i="8"/>
  <c r="N995" i="8"/>
  <c r="N1008" i="8"/>
  <c r="N972" i="8"/>
  <c r="N1120" i="8"/>
  <c r="N1048" i="8"/>
  <c r="N1006" i="8"/>
  <c r="N1005" i="8"/>
  <c r="N899" i="8"/>
  <c r="N1037" i="8"/>
  <c r="N1090" i="8"/>
  <c r="N935" i="8"/>
  <c r="N786" i="8"/>
  <c r="N743" i="8"/>
  <c r="N1139" i="8"/>
  <c r="N827" i="8"/>
  <c r="N980" i="8"/>
  <c r="N381" i="8"/>
  <c r="N307" i="8"/>
  <c r="N533" i="8"/>
  <c r="N431" i="8"/>
  <c r="N292" i="8"/>
  <c r="N327" i="8"/>
  <c r="N351" i="8"/>
  <c r="N448" i="8"/>
  <c r="N166" i="8"/>
  <c r="N212" i="8"/>
  <c r="N245" i="8"/>
  <c r="N518" i="8"/>
  <c r="N442" i="8"/>
  <c r="N439" i="8"/>
  <c r="N734" i="8"/>
  <c r="N529" i="8"/>
  <c r="N714" i="8"/>
  <c r="N737" i="8"/>
  <c r="N909" i="8"/>
  <c r="N169" i="8"/>
  <c r="N43" i="8"/>
  <c r="N83" i="8"/>
  <c r="N1148" i="8"/>
  <c r="N388" i="8"/>
  <c r="N29" i="8"/>
  <c r="N829" i="8"/>
  <c r="N967" i="8"/>
  <c r="N1198" i="8"/>
  <c r="N1071" i="8"/>
  <c r="N1044" i="8"/>
  <c r="N901" i="8"/>
  <c r="N977" i="8"/>
  <c r="N878" i="8"/>
  <c r="N883" i="8"/>
  <c r="N1062" i="8"/>
  <c r="N1078" i="8"/>
  <c r="N780" i="8"/>
  <c r="N719" i="8"/>
  <c r="N802" i="8"/>
  <c r="N753" i="8"/>
  <c r="N973" i="8"/>
  <c r="N295" i="8"/>
  <c r="N609" i="8"/>
  <c r="N507" i="8"/>
  <c r="N729" i="8"/>
  <c r="N226" i="8"/>
  <c r="N297" i="8"/>
  <c r="N326" i="8"/>
  <c r="N350" i="8"/>
  <c r="N155" i="8"/>
  <c r="N194" i="8"/>
  <c r="N176" i="8"/>
  <c r="N475" i="8"/>
  <c r="N592" i="8"/>
  <c r="N545" i="8"/>
  <c r="N704" i="8"/>
  <c r="N596" i="8"/>
  <c r="N744" i="8"/>
  <c r="N793" i="8"/>
  <c r="N941" i="8"/>
  <c r="N22" i="8"/>
  <c r="N160" i="8"/>
  <c r="N443" i="8"/>
  <c r="N855" i="8"/>
  <c r="N947" i="8"/>
  <c r="N866" i="8"/>
  <c r="N800" i="8"/>
  <c r="N1052" i="8"/>
  <c r="N912" i="8"/>
  <c r="N762" i="8"/>
  <c r="N713" i="8"/>
  <c r="N772" i="8"/>
  <c r="N573" i="8"/>
  <c r="N838" i="8"/>
  <c r="N231" i="8"/>
  <c r="N589" i="8"/>
  <c r="N469" i="8"/>
  <c r="N670" i="8"/>
  <c r="N168" i="8"/>
  <c r="N260" i="8"/>
  <c r="N201" i="8"/>
  <c r="N344" i="8"/>
  <c r="N567" i="8"/>
  <c r="N170" i="8"/>
  <c r="N52" i="8"/>
  <c r="N444" i="8"/>
  <c r="N185" i="8"/>
  <c r="N264" i="8"/>
  <c r="N710" i="8"/>
  <c r="N774" i="8"/>
  <c r="N925" i="8"/>
  <c r="N879" i="8"/>
  <c r="N954" i="8"/>
  <c r="N314" i="8"/>
  <c r="N113" i="8"/>
  <c r="N126" i="8"/>
  <c r="N860" i="8"/>
  <c r="N1002" i="8"/>
  <c r="N1001" i="8"/>
  <c r="N811" i="8"/>
  <c r="N756" i="8"/>
  <c r="N671" i="8"/>
  <c r="N766" i="8"/>
  <c r="N955" i="8"/>
  <c r="N831" i="8"/>
  <c r="N655" i="8"/>
  <c r="N540" i="8"/>
  <c r="N601" i="8"/>
  <c r="N537" i="8"/>
  <c r="N157" i="8"/>
  <c r="N208" i="8"/>
  <c r="N378" i="8"/>
  <c r="N338" i="8"/>
  <c r="N204" i="8"/>
  <c r="N491" i="8"/>
  <c r="N3" i="8"/>
  <c r="N353" i="8"/>
  <c r="N232" i="8"/>
  <c r="N345" i="8"/>
  <c r="N746" i="8"/>
  <c r="N798" i="8"/>
  <c r="N892" i="8"/>
  <c r="N893" i="8"/>
  <c r="N1013" i="8"/>
  <c r="N7" i="8"/>
  <c r="N67" i="8"/>
  <c r="N58" i="8"/>
  <c r="N311" i="8"/>
  <c r="N375" i="8"/>
  <c r="N1134" i="8"/>
  <c r="N703" i="8"/>
  <c r="N868" i="8"/>
  <c r="N1183" i="8"/>
  <c r="N569" i="8"/>
  <c r="N722" i="8"/>
  <c r="N618" i="8"/>
  <c r="N675" i="8"/>
  <c r="N929" i="8"/>
  <c r="N397" i="8"/>
  <c r="N657" i="8"/>
  <c r="N408" i="8"/>
  <c r="N370" i="8"/>
  <c r="N472" i="8"/>
  <c r="N200" i="8"/>
  <c r="N217" i="8"/>
  <c r="N205" i="8"/>
  <c r="N468" i="8"/>
  <c r="N459" i="8"/>
  <c r="N400" i="8"/>
  <c r="N687" i="8"/>
  <c r="N1074" i="8"/>
  <c r="N752" i="8"/>
  <c r="N634" i="8"/>
  <c r="N1171" i="8"/>
  <c r="N1042" i="8"/>
  <c r="N54" i="8"/>
  <c r="N45" i="8"/>
  <c r="N213" i="8"/>
  <c r="N683" i="8"/>
  <c r="N382" i="8"/>
  <c r="N1055" i="8"/>
  <c r="N1027" i="8"/>
  <c r="N598" i="8"/>
  <c r="N140" i="8"/>
  <c r="N944" i="8"/>
  <c r="N905" i="8"/>
  <c r="N34" i="8"/>
  <c r="N18" i="8"/>
  <c r="N35" i="8"/>
  <c r="N71" i="8"/>
  <c r="N733" i="8"/>
  <c r="N465" i="8"/>
  <c r="N293" i="8"/>
  <c r="N1019" i="8"/>
  <c r="N1051" i="8"/>
  <c r="N610" i="8"/>
  <c r="N78" i="8"/>
  <c r="N796" i="8"/>
  <c r="N1194" i="8"/>
  <c r="N1029" i="8"/>
  <c r="N585" i="8"/>
  <c r="N369" i="8"/>
  <c r="N261" i="8"/>
  <c r="N923" i="8"/>
  <c r="N288" i="8"/>
  <c r="N102" i="8"/>
  <c r="N21" i="8"/>
  <c r="N215" i="8"/>
  <c r="N1200" i="8"/>
  <c r="N1033" i="8"/>
  <c r="N904" i="8"/>
  <c r="N323" i="8"/>
  <c r="N274" i="8"/>
  <c r="N1103" i="8"/>
  <c r="N659" i="8"/>
  <c r="N303" i="8"/>
  <c r="N665" i="8"/>
  <c r="N971" i="8"/>
  <c r="N890" i="8"/>
  <c r="N560" i="8"/>
  <c r="N602" i="8"/>
  <c r="N769" i="8"/>
  <c r="N574" i="8"/>
  <c r="N334" i="8"/>
  <c r="N291" i="8"/>
  <c r="N302" i="8"/>
  <c r="N193" i="8"/>
  <c r="N48" i="8"/>
  <c r="N410" i="8"/>
  <c r="N221" i="8"/>
  <c r="N220" i="8"/>
  <c r="N599" i="8"/>
  <c r="N358" i="8"/>
  <c r="N809" i="8"/>
  <c r="N684" i="8"/>
  <c r="N854" i="8"/>
  <c r="N961" i="8"/>
  <c r="N937" i="8"/>
  <c r="N87" i="8"/>
  <c r="N209" i="8"/>
  <c r="N565" i="8"/>
  <c r="N224" i="8"/>
  <c r="N804" i="8"/>
  <c r="N1190" i="8"/>
  <c r="N983" i="8"/>
  <c r="N679" i="8"/>
  <c r="N790" i="8"/>
  <c r="N206" i="8"/>
  <c r="N795" i="8"/>
  <c r="N906" i="8"/>
  <c r="N732" i="8"/>
  <c r="N259" i="8"/>
  <c r="N885" i="8"/>
  <c r="N921" i="8"/>
  <c r="N1014" i="8"/>
  <c r="N624" i="8"/>
  <c r="N566" i="8"/>
  <c r="N1197" i="8"/>
  <c r="N1114" i="8"/>
  <c r="N1175" i="8"/>
  <c r="N872" i="8"/>
  <c r="N823" i="8"/>
  <c r="N828" i="8"/>
  <c r="N876" i="8"/>
  <c r="N993" i="8"/>
  <c r="N581" i="8"/>
  <c r="N708" i="8"/>
  <c r="N1021" i="8"/>
  <c r="N814" i="8"/>
  <c r="N1059" i="8"/>
  <c r="N516" i="8"/>
  <c r="N552" i="8"/>
  <c r="N501" i="8"/>
  <c r="N686" i="8"/>
  <c r="N568" i="8"/>
  <c r="N304" i="8"/>
  <c r="N272" i="8"/>
  <c r="N207" i="8"/>
  <c r="N144" i="8"/>
  <c r="N781" i="8"/>
  <c r="N453" i="8"/>
  <c r="N210" i="8"/>
  <c r="N174" i="8"/>
  <c r="N421" i="8"/>
  <c r="N870" i="8"/>
  <c r="N478" i="8"/>
  <c r="N718" i="8"/>
  <c r="N647" i="8"/>
  <c r="N1041" i="8"/>
  <c r="N1054" i="8"/>
  <c r="N61" i="8"/>
  <c r="N4" i="8"/>
  <c r="N450" i="8"/>
  <c r="N110" i="8"/>
  <c r="N59" i="8"/>
  <c r="N889" i="8"/>
  <c r="N990" i="8"/>
  <c r="N1110" i="8"/>
  <c r="N363" i="8"/>
  <c r="N764" i="8"/>
  <c r="N1144" i="8"/>
  <c r="N897" i="8"/>
  <c r="N578" i="8"/>
  <c r="N233" i="8"/>
  <c r="N461" i="8"/>
  <c r="N1020" i="8"/>
  <c r="N835" i="8"/>
  <c r="N661" i="8"/>
  <c r="N777" i="8"/>
  <c r="N1193" i="8"/>
  <c r="N1187" i="8"/>
  <c r="N1191" i="8"/>
  <c r="N1060" i="8"/>
  <c r="N1152" i="8"/>
  <c r="N813" i="8"/>
  <c r="N812" i="8"/>
  <c r="N822" i="8"/>
  <c r="N864" i="8"/>
  <c r="N936" i="8"/>
  <c r="N709" i="8"/>
  <c r="N702" i="8"/>
  <c r="N895" i="8"/>
  <c r="N783" i="8"/>
  <c r="N819" i="8"/>
  <c r="N826" i="8"/>
  <c r="N521" i="8"/>
  <c r="N482" i="8"/>
  <c r="N556" i="8"/>
  <c r="N547" i="8"/>
  <c r="N273" i="8"/>
  <c r="N156" i="8"/>
  <c r="N178" i="8"/>
  <c r="N455" i="8"/>
  <c r="N432" i="8"/>
  <c r="N366" i="8"/>
  <c r="N175" i="8"/>
  <c r="N143" i="8"/>
  <c r="N406" i="8"/>
  <c r="N413" i="8"/>
  <c r="N606" i="8"/>
  <c r="N765" i="8"/>
  <c r="N724" i="8"/>
  <c r="N1140" i="8"/>
  <c r="N1058" i="8"/>
  <c r="N129" i="8"/>
  <c r="N11" i="8"/>
  <c r="N874" i="8"/>
  <c r="N508" i="8"/>
  <c r="N693" i="8"/>
  <c r="N1035" i="8"/>
  <c r="N773" i="8"/>
  <c r="N619" i="8"/>
  <c r="N416" i="8"/>
  <c r="N728" i="8"/>
  <c r="N970" i="8"/>
  <c r="N673" i="8"/>
  <c r="N770" i="8"/>
  <c r="N136" i="8"/>
  <c r="N277" i="8"/>
  <c r="N1205" i="8"/>
  <c r="N840" i="8"/>
  <c r="N726" i="8"/>
  <c r="N577" i="8"/>
  <c r="N1199" i="8"/>
  <c r="N1186" i="8"/>
  <c r="N1174" i="8"/>
  <c r="N1132" i="8"/>
  <c r="N1178" i="8"/>
  <c r="N1149" i="8"/>
  <c r="N1138" i="8"/>
  <c r="N1164" i="8"/>
  <c r="N792" i="8"/>
  <c r="N1189" i="8"/>
  <c r="N1069" i="8"/>
  <c r="N856" i="8"/>
  <c r="N654" i="8"/>
  <c r="N660" i="8"/>
  <c r="N815" i="8"/>
  <c r="N688" i="8"/>
  <c r="N638" i="8"/>
  <c r="N611" i="8"/>
  <c r="N623" i="8"/>
  <c r="N315" i="8"/>
  <c r="N787" i="8"/>
  <c r="N424" i="8"/>
  <c r="N60" i="8"/>
  <c r="N36" i="8"/>
  <c r="N172" i="8"/>
  <c r="N419" i="8"/>
  <c r="N386" i="8"/>
  <c r="N354" i="8"/>
  <c r="N305" i="8"/>
  <c r="N100" i="8"/>
  <c r="N763" i="8"/>
  <c r="N452" i="8"/>
  <c r="N755" i="8"/>
  <c r="N951" i="8"/>
  <c r="N741" i="8"/>
  <c r="N881" i="8"/>
  <c r="N985" i="8"/>
  <c r="N6" i="8"/>
  <c r="N111" i="8"/>
  <c r="N1043" i="8"/>
  <c r="N788" i="8"/>
  <c r="N365" i="8"/>
  <c r="N1112" i="8"/>
  <c r="N1003" i="8"/>
  <c r="N698" i="8"/>
  <c r="N420" i="8"/>
  <c r="N517" i="8"/>
  <c r="N996" i="8"/>
  <c r="N919" i="8"/>
  <c r="N615" i="8"/>
  <c r="N364" i="8"/>
  <c r="N299" i="8"/>
  <c r="N797" i="8"/>
  <c r="N1181" i="8"/>
  <c r="N1116" i="8"/>
  <c r="N1095" i="8"/>
  <c r="N1128" i="8"/>
  <c r="N1151" i="8"/>
  <c r="N1150" i="8"/>
  <c r="N839" i="8"/>
  <c r="N1137" i="8"/>
  <c r="N590" i="8"/>
  <c r="N642" i="8"/>
  <c r="N778" i="8"/>
  <c r="N1133" i="8"/>
  <c r="N632" i="8"/>
  <c r="N484" i="8"/>
  <c r="N483" i="8"/>
  <c r="N706" i="8"/>
  <c r="N548" i="8"/>
  <c r="N436" i="8"/>
  <c r="N435" i="8"/>
  <c r="N239" i="8"/>
  <c r="N40" i="8"/>
  <c r="N331" i="8"/>
  <c r="N258" i="8"/>
  <c r="N336" i="8"/>
  <c r="N256" i="8"/>
  <c r="N37" i="8"/>
  <c r="N433" i="8"/>
  <c r="N446" i="8"/>
  <c r="N862" i="8"/>
  <c r="N633" i="8"/>
  <c r="N758" i="8"/>
  <c r="N913" i="8"/>
  <c r="N55" i="8"/>
  <c r="N383" i="8"/>
  <c r="N401" i="8"/>
  <c r="N617" i="8"/>
  <c r="N1024" i="8"/>
  <c r="N1177" i="8"/>
  <c r="N750" i="8"/>
  <c r="N389" i="8"/>
  <c r="N1068" i="8"/>
  <c r="N1056" i="8"/>
  <c r="N605" i="8"/>
  <c r="N72" i="8"/>
  <c r="N810" i="8"/>
  <c r="N1130" i="8"/>
  <c r="N1142" i="8"/>
  <c r="N1154" i="8"/>
  <c r="N1157" i="8"/>
  <c r="N1122" i="8"/>
  <c r="N1141" i="8"/>
  <c r="N1145" i="8"/>
  <c r="N1089" i="8"/>
  <c r="N1032" i="8"/>
  <c r="N1101" i="8"/>
  <c r="N1018" i="8"/>
  <c r="N1070" i="8"/>
  <c r="N821" i="8"/>
  <c r="N1102" i="8"/>
  <c r="N561" i="8"/>
  <c r="N963" i="8"/>
  <c r="N760" i="8"/>
  <c r="N930" i="8"/>
  <c r="N621" i="8"/>
  <c r="N441" i="8"/>
  <c r="N464" i="8"/>
  <c r="N699" i="8"/>
  <c r="N511" i="8"/>
  <c r="N316" i="8"/>
  <c r="N428" i="8"/>
  <c r="N730" i="8"/>
  <c r="N342" i="8"/>
  <c r="N253" i="8"/>
  <c r="N252" i="8"/>
  <c r="N300" i="8"/>
  <c r="N244" i="8"/>
  <c r="N377" i="8"/>
  <c r="N494" i="8"/>
  <c r="N503" i="8"/>
  <c r="N803" i="8"/>
  <c r="N650" i="8"/>
  <c r="N690" i="8"/>
  <c r="N989" i="8"/>
  <c r="N8" i="8"/>
  <c r="N39" i="8"/>
  <c r="N493" i="8"/>
  <c r="N161" i="8"/>
  <c r="N271" i="8"/>
  <c r="N536" i="8"/>
  <c r="N68" i="8"/>
  <c r="N112" i="8"/>
  <c r="N229" i="8"/>
  <c r="N199" i="8"/>
  <c r="N312" i="8"/>
  <c r="N216" i="8"/>
  <c r="N164" i="8"/>
  <c r="N437" i="8"/>
  <c r="N197" i="8"/>
  <c r="N485" i="8"/>
  <c r="N543" i="8"/>
  <c r="N526" i="8"/>
  <c r="N393" i="8"/>
  <c r="N376" i="8"/>
  <c r="N960" i="8"/>
  <c r="N510" i="8"/>
  <c r="N738" i="8"/>
  <c r="N956" i="8"/>
  <c r="N680" i="8"/>
  <c r="N651" i="8"/>
  <c r="N775" i="8"/>
  <c r="N849" i="8"/>
  <c r="N1184" i="8"/>
  <c r="N958" i="8"/>
  <c r="N946" i="8"/>
  <c r="N47" i="8"/>
  <c r="N322" i="8"/>
  <c r="N81" i="8"/>
  <c r="N280" i="8"/>
  <c r="N65" i="8"/>
  <c r="N103" i="8"/>
  <c r="N139" i="8"/>
  <c r="N137" i="8"/>
  <c r="N880" i="8"/>
  <c r="N652" i="8"/>
  <c r="N982" i="8"/>
  <c r="N716" i="8"/>
  <c r="N557" i="8"/>
  <c r="N579" i="8"/>
  <c r="N359" i="8"/>
  <c r="N572" i="8"/>
  <c r="N700" i="8"/>
  <c r="N653" i="8"/>
  <c r="N513" i="8"/>
  <c r="N195" i="8"/>
  <c r="N425" i="8"/>
  <c r="N580" i="8"/>
  <c r="N237" i="8"/>
  <c r="N346" i="8"/>
  <c r="N309" i="8"/>
  <c r="N321" i="8"/>
  <c r="N434" i="8"/>
  <c r="N486" i="8"/>
  <c r="N108" i="8"/>
  <c r="N247" i="8"/>
  <c r="N471" i="8"/>
  <c r="N44" i="8"/>
  <c r="N82" i="8"/>
  <c r="N223" i="8"/>
  <c r="N182" i="8"/>
  <c r="N306" i="8"/>
  <c r="N181" i="8"/>
  <c r="N76" i="8"/>
  <c r="N390" i="8"/>
  <c r="N180" i="8"/>
  <c r="N504" i="8"/>
  <c r="N454" i="8"/>
  <c r="N417" i="8"/>
  <c r="N422" i="8"/>
  <c r="N399" i="8"/>
  <c r="N587" i="8"/>
  <c r="N550" i="8"/>
  <c r="N768" i="8"/>
  <c r="N620" i="8"/>
  <c r="N697" i="8"/>
  <c r="N664" i="8"/>
  <c r="N656" i="8"/>
  <c r="N1163" i="8"/>
  <c r="N949" i="8"/>
  <c r="N962" i="8"/>
  <c r="N1050" i="8"/>
  <c r="N99" i="8"/>
  <c r="N75" i="8"/>
  <c r="N33" i="8"/>
  <c r="N146" i="8"/>
  <c r="N10" i="8"/>
  <c r="N89" i="8"/>
  <c r="N133" i="8"/>
  <c r="N109" i="8"/>
  <c r="N541" i="8"/>
  <c r="N551" i="8"/>
  <c r="N488" i="8"/>
  <c r="N1026" i="8"/>
  <c r="N614" i="8"/>
  <c r="N645" i="8"/>
  <c r="N554" i="8"/>
  <c r="N163" i="8"/>
  <c r="N285" i="8"/>
  <c r="N214" i="8"/>
  <c r="N284" i="8"/>
  <c r="N339" i="8"/>
  <c r="N394" i="8"/>
  <c r="N198" i="8"/>
  <c r="N218" i="8"/>
  <c r="N368" i="8"/>
  <c r="N86" i="8"/>
  <c r="N535" i="8"/>
  <c r="N188" i="8"/>
  <c r="N512" i="8"/>
  <c r="N269" i="8"/>
  <c r="N423" i="8"/>
  <c r="N250" i="8"/>
  <c r="N317" i="8"/>
  <c r="N134" i="8"/>
  <c r="N202" i="8"/>
  <c r="N626" i="8"/>
  <c r="N463" i="8"/>
  <c r="N943" i="8"/>
  <c r="N509" i="8"/>
  <c r="N789" i="8"/>
  <c r="N785" i="8"/>
  <c r="N837" i="8"/>
  <c r="N735" i="8"/>
  <c r="N791" i="8"/>
  <c r="N818" i="8"/>
  <c r="N720" i="8"/>
  <c r="N1196" i="8"/>
  <c r="N945" i="8"/>
  <c r="N1192" i="8"/>
  <c r="N1180" i="8"/>
  <c r="N352" i="8"/>
  <c r="N138" i="8"/>
  <c r="N106" i="8"/>
  <c r="N5" i="8"/>
  <c r="N184" i="8"/>
  <c r="N348" i="8"/>
  <c r="N117" i="8"/>
  <c r="N27" i="8"/>
  <c r="N1023" i="8"/>
  <c r="N999" i="8"/>
  <c r="N1182" i="8"/>
  <c r="N968" i="8"/>
  <c r="N914" i="8"/>
  <c r="N900" i="8"/>
  <c r="N1100" i="8"/>
  <c r="N975" i="8"/>
  <c r="N852" i="8"/>
  <c r="N858" i="8"/>
  <c r="N931" i="8"/>
  <c r="N1081" i="8"/>
  <c r="N637" i="8"/>
  <c r="N696" i="8"/>
  <c r="N1176" i="8"/>
  <c r="N1046" i="8"/>
  <c r="N742" i="8"/>
  <c r="N894" i="8"/>
  <c r="N723" i="8"/>
  <c r="N1010" i="8"/>
  <c r="N820" i="8"/>
  <c r="N747" i="8"/>
  <c r="N636" i="8"/>
  <c r="N515" i="8"/>
  <c r="N534" i="8"/>
  <c r="N457" i="8"/>
  <c r="N588" i="8"/>
  <c r="N532" i="8"/>
  <c r="N524" i="8"/>
  <c r="N530" i="8"/>
  <c r="N148" i="8"/>
  <c r="N255" i="8"/>
  <c r="N196" i="8"/>
  <c r="N254" i="8"/>
  <c r="N248" i="8"/>
  <c r="N332" i="8"/>
  <c r="N555" i="8"/>
  <c r="N141" i="8"/>
  <c r="N325" i="8"/>
  <c r="N499" i="8"/>
  <c r="N418" i="8"/>
  <c r="N92" i="8"/>
  <c r="N257" i="8"/>
  <c r="N228" i="8"/>
  <c r="N403" i="8"/>
  <c r="N238" i="8"/>
  <c r="N153" i="8"/>
  <c r="N90" i="8"/>
  <c r="N249" i="8"/>
  <c r="N462" i="8"/>
  <c r="N571" i="8"/>
  <c r="N294" i="8"/>
  <c r="N727" i="8"/>
  <c r="N1040" i="8"/>
  <c r="N888" i="8"/>
  <c r="N1106" i="8"/>
  <c r="N782" i="8"/>
  <c r="N801" i="8"/>
  <c r="N934" i="8"/>
  <c r="N754" i="8"/>
  <c r="N1017" i="8"/>
  <c r="N950" i="8"/>
  <c r="N1057" i="8"/>
  <c r="N123" i="8"/>
  <c r="N243" i="8"/>
  <c r="N125" i="8"/>
  <c r="N42" i="8"/>
  <c r="N127" i="8"/>
  <c r="N152" i="8"/>
  <c r="N177" i="8"/>
  <c r="N9" i="8"/>
  <c r="N1168" i="8"/>
  <c r="N1160" i="8"/>
  <c r="N1093" i="8"/>
  <c r="N1162" i="8"/>
  <c r="N984" i="8"/>
  <c r="N1131" i="8"/>
  <c r="N1000" i="8"/>
  <c r="N976" i="8"/>
  <c r="N1158" i="8"/>
  <c r="N907" i="8"/>
  <c r="N1064" i="8"/>
  <c r="N939" i="8"/>
  <c r="N846" i="8"/>
  <c r="N1188" i="8"/>
  <c r="N903" i="8"/>
  <c r="N1066" i="8"/>
  <c r="N631" i="8"/>
  <c r="N685" i="8"/>
  <c r="N1030" i="8"/>
  <c r="N952" i="8"/>
  <c r="N689" i="8"/>
  <c r="N834" i="8"/>
  <c r="N669" i="8"/>
  <c r="N965" i="8"/>
  <c r="N806" i="8"/>
  <c r="N649" i="8"/>
  <c r="N584" i="8"/>
  <c r="N739" i="8"/>
  <c r="N520" i="8"/>
  <c r="N451" i="8"/>
  <c r="N576" i="8"/>
  <c r="N487" i="8"/>
  <c r="N492" i="8"/>
  <c r="N498" i="8"/>
  <c r="N80" i="8"/>
  <c r="N191" i="8"/>
  <c r="N179" i="8"/>
  <c r="N225" i="8"/>
  <c r="N242" i="8"/>
  <c r="N320" i="8"/>
  <c r="N549" i="8"/>
  <c r="N132" i="8"/>
  <c r="N301" i="8"/>
  <c r="N440" i="8"/>
  <c r="N405" i="8"/>
  <c r="N262" i="8"/>
  <c r="N96" i="8"/>
  <c r="N222" i="8"/>
  <c r="N372" i="8"/>
  <c r="N227" i="8"/>
  <c r="N120" i="8"/>
  <c r="N85" i="8"/>
  <c r="N266" i="8"/>
  <c r="N627" i="8"/>
  <c r="N751" i="8"/>
  <c r="N324" i="8"/>
  <c r="N740" i="8"/>
  <c r="N712" i="8"/>
  <c r="N542" i="8"/>
  <c r="N832" i="8"/>
  <c r="N833" i="8"/>
  <c r="N604" i="8"/>
  <c r="N613" i="8"/>
  <c r="N771" i="8"/>
  <c r="N1065" i="8"/>
  <c r="N1049" i="8"/>
  <c r="N978" i="8"/>
  <c r="N1170" i="8"/>
  <c r="N115" i="8"/>
  <c r="N230" i="8"/>
  <c r="N147" i="8"/>
  <c r="N318" i="8"/>
  <c r="N91" i="8"/>
  <c r="N119" i="8"/>
  <c r="N151" i="8"/>
  <c r="N1080" i="8"/>
  <c r="N1127" i="8"/>
  <c r="N1161" i="8"/>
  <c r="N1115" i="8"/>
  <c r="N1166" i="8"/>
  <c r="N1165" i="8"/>
  <c r="N1143" i="8"/>
  <c r="N1034" i="8"/>
  <c r="N886" i="8"/>
  <c r="N861" i="8"/>
  <c r="N1038" i="8"/>
  <c r="N933" i="8"/>
  <c r="N805" i="8"/>
  <c r="N1117" i="8"/>
  <c r="N896" i="8"/>
  <c r="N959" i="8"/>
  <c r="N608" i="8"/>
  <c r="N678" i="8"/>
  <c r="N1022" i="8"/>
  <c r="N910" i="8"/>
  <c r="N641" i="8"/>
  <c r="N808" i="8"/>
  <c r="N628" i="8"/>
  <c r="N825" i="8"/>
  <c r="N523" i="8"/>
  <c r="N643" i="8"/>
  <c r="N559" i="8"/>
  <c r="N681" i="8"/>
  <c r="N514" i="8"/>
  <c r="N384" i="8"/>
  <c r="N564" i="8"/>
  <c r="N438" i="8"/>
  <c r="N479" i="8"/>
  <c r="N430" i="8"/>
  <c r="N70" i="8"/>
  <c r="N124" i="8"/>
  <c r="N162" i="8"/>
  <c r="N190" i="8"/>
  <c r="N236" i="8"/>
  <c r="N308" i="8"/>
  <c r="N500" i="8"/>
  <c r="N88" i="8"/>
  <c r="N289" i="8"/>
  <c r="N380" i="8"/>
  <c r="N392" i="8"/>
  <c r="N794" i="8"/>
  <c r="N1121" i="8"/>
  <c r="N211" i="8"/>
  <c r="N329" i="8"/>
  <c r="N203" i="8"/>
  <c r="N467" i="8"/>
  <c r="N46" i="8"/>
  <c r="N296" i="8"/>
  <c r="N646" i="8"/>
  <c r="N776" i="8"/>
  <c r="N341" i="8"/>
  <c r="N676" i="8"/>
  <c r="N629" i="8"/>
  <c r="N570" i="8"/>
  <c r="N845" i="8"/>
  <c r="N911" i="8"/>
  <c r="N668" i="8"/>
  <c r="N630" i="8"/>
  <c r="N784" i="8"/>
  <c r="N817" i="8"/>
  <c r="N1167" i="8"/>
  <c r="N1025" i="8"/>
  <c r="N1061" i="8"/>
  <c r="N94" i="8"/>
  <c r="N173" i="8"/>
  <c r="N135" i="8"/>
  <c r="N98" i="8"/>
  <c r="N66" i="8"/>
  <c r="N97" i="8"/>
  <c r="N118" i="8"/>
  <c r="M1207" i="8"/>
  <c r="N1207" i="8" s="1"/>
  <c r="N62" i="8"/>
  <c r="N154" i="8"/>
  <c r="N114" i="8"/>
  <c r="N38" i="8"/>
  <c r="N51" i="8"/>
  <c r="N31" i="8"/>
  <c r="N50" i="8"/>
  <c r="N1123" i="8"/>
  <c r="N1016" i="8"/>
  <c r="N882" i="8"/>
  <c r="N922" i="8"/>
  <c r="N964" i="8"/>
  <c r="N666" i="8"/>
  <c r="N816" i="8"/>
  <c r="N731" i="8"/>
  <c r="N1082" i="8"/>
  <c r="N759" i="8"/>
  <c r="N1159" i="8"/>
  <c r="N692" i="8"/>
  <c r="N447" i="8"/>
  <c r="N591" i="8"/>
  <c r="N528" i="8"/>
  <c r="N558" i="8"/>
  <c r="N412" i="8"/>
  <c r="N251" i="8"/>
  <c r="N519" i="8"/>
  <c r="N658" i="8"/>
  <c r="N415" i="8"/>
  <c r="N347" i="8"/>
  <c r="N705" i="8"/>
  <c r="N32" i="8"/>
  <c r="N544" i="8"/>
  <c r="N142" i="8"/>
  <c r="N167" i="8"/>
  <c r="N290" i="8"/>
  <c r="N426" i="8"/>
  <c r="N73" i="8"/>
  <c r="N241" i="8"/>
  <c r="N337" i="8"/>
  <c r="N367" i="8"/>
  <c r="N477" i="8"/>
  <c r="N404" i="8"/>
  <c r="N165" i="8"/>
  <c r="N287" i="8"/>
  <c r="N186" i="8"/>
  <c r="N402" i="8"/>
  <c r="N28" i="8"/>
  <c r="N330" i="8"/>
  <c r="N411" i="8"/>
  <c r="N281" i="8"/>
  <c r="N371" i="8"/>
  <c r="N586" i="8"/>
  <c r="N902" i="8"/>
  <c r="N474" i="8"/>
  <c r="N924" i="8"/>
  <c r="N1129" i="8"/>
  <c r="N920" i="8"/>
  <c r="N677" i="8"/>
  <c r="N807" i="8"/>
  <c r="N917" i="8"/>
  <c r="N1204" i="8"/>
  <c r="N1146" i="8"/>
  <c r="N149" i="8"/>
  <c r="N41" i="8"/>
  <c r="N122" i="8"/>
  <c r="N53" i="8"/>
  <c r="N25" i="8"/>
  <c r="N105" i="8"/>
  <c r="N24" i="8"/>
  <c r="N30" i="8"/>
  <c r="N848" i="8"/>
  <c r="N1004" i="8"/>
  <c r="N979" i="8"/>
  <c r="N1091" i="8"/>
  <c r="N1083" i="8"/>
  <c r="N1119" i="8"/>
  <c r="N836" i="8"/>
  <c r="N891" i="8"/>
  <c r="N1098" i="8"/>
  <c r="N869" i="8"/>
  <c r="N875" i="8"/>
  <c r="N908" i="8"/>
  <c r="N863" i="8"/>
  <c r="N625" i="8"/>
  <c r="N779" i="8"/>
  <c r="N725" i="8"/>
  <c r="N1075" i="8"/>
  <c r="N748" i="8"/>
  <c r="N1094" i="8"/>
  <c r="N662" i="8"/>
  <c r="N799" i="8"/>
  <c r="N553" i="8"/>
  <c r="N496" i="8"/>
  <c r="N502" i="8"/>
  <c r="N407" i="8"/>
  <c r="N187" i="8"/>
  <c r="N481" i="8"/>
  <c r="N593" i="8"/>
  <c r="N343" i="8"/>
  <c r="N283" i="8"/>
  <c r="N531" i="8"/>
  <c r="N717" i="8"/>
  <c r="N538" i="8"/>
  <c r="N84" i="8"/>
  <c r="N128" i="8"/>
  <c r="N278" i="8"/>
  <c r="N387" i="8"/>
  <c r="N63" i="8"/>
  <c r="N189" i="8"/>
  <c r="N319" i="8"/>
  <c r="N355" i="8"/>
  <c r="N379" i="8"/>
  <c r="N391" i="8"/>
  <c r="N159" i="8"/>
  <c r="N275" i="8"/>
  <c r="N639" i="8"/>
  <c r="N396" i="8"/>
  <c r="N19" i="8"/>
  <c r="N360" i="8"/>
  <c r="N582" i="8"/>
  <c r="N298" i="8"/>
  <c r="N527" i="8"/>
  <c r="N757" i="8"/>
  <c r="N612" i="8"/>
  <c r="N506" i="8"/>
  <c r="N1009" i="8"/>
  <c r="N603" i="8"/>
  <c r="N969" i="8"/>
  <c r="N694" i="8"/>
  <c r="N824" i="8"/>
  <c r="N953" i="8"/>
  <c r="N865" i="8"/>
  <c r="N857" i="8"/>
  <c r="N131" i="8"/>
  <c r="N14" i="8"/>
  <c r="N107" i="8"/>
  <c r="N26" i="8"/>
  <c r="N12" i="8"/>
  <c r="N15" i="8"/>
  <c r="N17" i="8"/>
  <c r="N23" i="8"/>
  <c r="N1125" i="8"/>
  <c r="N898" i="8"/>
  <c r="N1092" i="8"/>
  <c r="N1084" i="8"/>
  <c r="N1063" i="8"/>
  <c r="N942" i="8"/>
  <c r="N1107" i="8"/>
  <c r="N997" i="8"/>
  <c r="N1206" i="8"/>
  <c r="N1079" i="8"/>
  <c r="N1085" i="8"/>
  <c r="N1012" i="8"/>
  <c r="N1077" i="8"/>
  <c r="N1108" i="8"/>
  <c r="N1015" i="8"/>
  <c r="N928" i="8"/>
  <c r="N830" i="8"/>
  <c r="N1086" i="8"/>
  <c r="N940" i="8"/>
  <c r="N859" i="8"/>
  <c r="N1053" i="8"/>
  <c r="N851" i="8"/>
  <c r="N1153" i="8"/>
  <c r="N887" i="8"/>
  <c r="N844" i="8"/>
  <c r="N607" i="8"/>
  <c r="N767" i="8"/>
  <c r="N701" i="8"/>
  <c r="N916" i="8"/>
  <c r="N915" i="8"/>
  <c r="N981" i="8"/>
  <c r="N644" i="8"/>
  <c r="N715" i="8"/>
  <c r="N522" i="8"/>
  <c r="N490" i="8"/>
  <c r="N489" i="8"/>
  <c r="N398" i="8"/>
  <c r="N850" i="8"/>
  <c r="N456" i="8"/>
  <c r="N562" i="8"/>
  <c r="N279" i="8"/>
  <c r="N219" i="8"/>
  <c r="N495" i="8"/>
  <c r="N691" i="8"/>
  <c r="N395" i="8"/>
  <c r="N74" i="8"/>
  <c r="N64" i="8"/>
  <c r="N265" i="8"/>
  <c r="N356" i="8"/>
  <c r="N13" i="8"/>
  <c r="N183" i="8"/>
  <c r="N234" i="8"/>
  <c r="N270" i="8"/>
  <c r="N282" i="8"/>
  <c r="N385" i="8"/>
  <c r="N116" i="8"/>
  <c r="N268" i="8"/>
  <c r="N525" i="8"/>
  <c r="N286" i="8"/>
  <c r="N445" i="8"/>
  <c r="N373" i="8"/>
  <c r="N640" i="8"/>
  <c r="N328" i="8"/>
  <c r="N583" i="8"/>
  <c r="N674" i="8"/>
  <c r="N635" i="8"/>
  <c r="N648" i="8"/>
  <c r="N1036" i="8"/>
  <c r="N616" i="8"/>
  <c r="N1113" i="8"/>
  <c r="N711" i="8"/>
  <c r="N867" i="8"/>
  <c r="N957" i="8"/>
  <c r="N877" i="8"/>
  <c r="N873" i="8"/>
  <c r="N101" i="8"/>
  <c r="N69" i="8"/>
  <c r="N93" i="8"/>
  <c r="N267" i="8"/>
  <c r="N79" i="8"/>
  <c r="N95" i="8"/>
  <c r="N57" i="8"/>
  <c r="D4" i="5"/>
  <c r="D32" i="5" l="1"/>
  <c r="D16" i="5"/>
  <c r="D31" i="5"/>
  <c r="D15" i="5"/>
  <c r="D24" i="5"/>
  <c r="D23" i="5"/>
  <c r="D22" i="5"/>
  <c r="D21" i="5"/>
  <c r="D20" i="5"/>
  <c r="D5" i="5"/>
  <c r="D25" i="5"/>
  <c r="D19" i="5"/>
  <c r="D36" i="5"/>
  <c r="D18" i="5"/>
  <c r="D17" i="5"/>
  <c r="D13" i="5"/>
  <c r="D30" i="5"/>
  <c r="D29" i="5"/>
  <c r="D8" i="5"/>
  <c r="D35" i="5"/>
  <c r="D34" i="5"/>
  <c r="D14" i="5"/>
  <c r="D33" i="5"/>
  <c r="D12" i="5"/>
  <c r="D11" i="5"/>
  <c r="D26" i="5"/>
  <c r="D28" i="5"/>
  <c r="D10" i="5"/>
  <c r="D7" i="5"/>
  <c r="D27" i="5"/>
  <c r="D9" i="5"/>
  <c r="D6" i="5"/>
  <c r="D37" i="5" l="1"/>
  <c r="D70" i="5" l="1"/>
  <c r="D54" i="5"/>
  <c r="D53" i="5"/>
  <c r="D69" i="5"/>
  <c r="D68" i="5"/>
  <c r="D50" i="5"/>
  <c r="D67" i="5"/>
  <c r="D49" i="5"/>
  <c r="D71" i="5"/>
  <c r="D66" i="5"/>
  <c r="D48" i="5"/>
  <c r="D40" i="5"/>
  <c r="D52" i="5"/>
  <c r="D65" i="5"/>
  <c r="D47" i="5"/>
  <c r="D39" i="5"/>
  <c r="D64" i="5"/>
  <c r="D46" i="5"/>
  <c r="D38" i="5"/>
  <c r="D63" i="5"/>
  <c r="D45" i="5"/>
  <c r="D72" i="5"/>
  <c r="D62" i="5"/>
  <c r="D44" i="5"/>
  <c r="D43" i="5"/>
  <c r="D51" i="5"/>
  <c r="D61" i="5"/>
  <c r="D60" i="5"/>
  <c r="D42" i="5"/>
  <c r="D41" i="5"/>
  <c r="D59" i="5"/>
  <c r="D58" i="5"/>
  <c r="D57" i="5"/>
  <c r="D56" i="5"/>
  <c r="D73" i="5"/>
  <c r="D55" i="5"/>
  <c r="D74" i="5" l="1"/>
  <c r="D131" i="5" s="1"/>
  <c r="D3" i="6" l="1"/>
  <c r="D93" i="5"/>
  <c r="D111" i="5"/>
  <c r="D118" i="5"/>
  <c r="D123" i="5"/>
  <c r="D103" i="5"/>
  <c r="D75" i="5"/>
  <c r="D97" i="5"/>
  <c r="D104" i="5"/>
  <c r="D87" i="5"/>
  <c r="D76" i="5"/>
  <c r="D119" i="5"/>
  <c r="D105" i="5"/>
  <c r="D124" i="5"/>
  <c r="D81" i="5"/>
  <c r="D90" i="5"/>
  <c r="D113" i="5"/>
  <c r="D101" i="5"/>
  <c r="D112" i="5"/>
  <c r="D126" i="5"/>
  <c r="D108" i="5"/>
  <c r="D77" i="5"/>
  <c r="D120" i="5"/>
  <c r="D128" i="5"/>
  <c r="D80" i="5"/>
  <c r="D127" i="5"/>
  <c r="D95" i="5"/>
  <c r="D125" i="5"/>
  <c r="D82" i="5"/>
  <c r="D100" i="5"/>
  <c r="D89" i="5"/>
  <c r="D116" i="5"/>
  <c r="D84" i="5"/>
  <c r="D114" i="5"/>
  <c r="D106" i="5"/>
  <c r="D91" i="5"/>
  <c r="D88" i="5"/>
  <c r="D102" i="5"/>
  <c r="D98" i="5"/>
  <c r="D109" i="5"/>
  <c r="D107" i="5"/>
  <c r="D121" i="5"/>
  <c r="D130" i="5"/>
  <c r="D94" i="5"/>
  <c r="D129" i="5"/>
  <c r="D78" i="5"/>
  <c r="D85" i="5"/>
  <c r="D83" i="5"/>
  <c r="D99" i="5"/>
  <c r="D96" i="5"/>
  <c r="D92" i="5"/>
  <c r="D117" i="5"/>
  <c r="D122" i="5"/>
  <c r="D115" i="5"/>
  <c r="D110" i="5"/>
  <c r="D79" i="5"/>
  <c r="D86" i="5"/>
  <c r="D4" i="6" l="1"/>
  <c r="D5" i="6"/>
  <c r="D132" i="5"/>
  <c r="D164" i="5" s="1"/>
  <c r="D148" i="5"/>
  <c r="D152" i="5"/>
  <c r="D136" i="5"/>
  <c r="D145" i="5"/>
  <c r="D139" i="5"/>
  <c r="D149" i="5"/>
  <c r="D161" i="5"/>
  <c r="D163" i="5"/>
  <c r="D174" i="5"/>
  <c r="D166" i="5"/>
  <c r="D173" i="5"/>
  <c r="D138" i="5"/>
  <c r="D162" i="5"/>
  <c r="D171" i="5"/>
  <c r="D172" i="5"/>
  <c r="D137" i="5"/>
  <c r="D146" i="5"/>
  <c r="D156" i="5"/>
  <c r="D160" i="5"/>
  <c r="D170" i="5"/>
  <c r="D134" i="5"/>
  <c r="D167" i="5"/>
  <c r="D151" i="5"/>
  <c r="D159" i="5"/>
  <c r="D168" i="5"/>
  <c r="D155" i="5"/>
  <c r="D135" i="5"/>
  <c r="D133" i="5"/>
  <c r="D142" i="5"/>
  <c r="D158" i="5"/>
  <c r="D150" i="5"/>
  <c r="D169" i="5"/>
  <c r="D165" i="5"/>
  <c r="D140" i="5"/>
  <c r="D157" i="5"/>
  <c r="D144" i="5" l="1"/>
  <c r="D141" i="5"/>
  <c r="D147" i="5"/>
  <c r="D143" i="5"/>
  <c r="D153" i="5"/>
  <c r="D154" i="5"/>
  <c r="D6" i="6" l="1"/>
  <c r="D8" i="6" s="1"/>
  <c r="D7" i="6" l="1"/>
  <c r="D9" i="6" s="1"/>
  <c r="D11" i="6" l="1"/>
  <c r="D10" i="6"/>
  <c r="D12" i="6"/>
  <c r="D13" i="6"/>
  <c r="D15" i="6"/>
  <c r="D14" i="6"/>
  <c r="D175" i="5"/>
  <c r="D178" i="5" s="1"/>
  <c r="D177" i="5" l="1"/>
  <c r="D176" i="5"/>
  <c r="D179" i="5"/>
  <c r="D189" i="5" s="1"/>
  <c r="D197" i="5" l="1"/>
  <c r="D190" i="5"/>
  <c r="D180" i="5"/>
  <c r="D181" i="5"/>
  <c r="D187" i="5"/>
  <c r="D195" i="5"/>
  <c r="D196" i="5"/>
  <c r="D182" i="5"/>
  <c r="D198" i="5"/>
  <c r="D191" i="5"/>
  <c r="D183" i="5"/>
  <c r="D199" i="5"/>
  <c r="D184" i="5"/>
  <c r="D185" i="5"/>
  <c r="D193" i="5"/>
  <c r="D186" i="5"/>
  <c r="D192" i="5"/>
  <c r="D188" i="5"/>
  <c r="D194" i="5"/>
  <c r="D16" i="6" l="1"/>
  <c r="D200" i="5"/>
  <c r="D32" i="6" l="1"/>
  <c r="D35" i="6"/>
  <c r="D20" i="6"/>
  <c r="D36" i="6"/>
  <c r="D25" i="6"/>
  <c r="D28" i="6"/>
  <c r="D17" i="6"/>
  <c r="D21" i="6"/>
  <c r="D33" i="6"/>
  <c r="D22" i="6"/>
  <c r="D37" i="6"/>
  <c r="D29" i="6"/>
  <c r="D38" i="6"/>
  <c r="D18" i="6"/>
  <c r="D26" i="6"/>
  <c r="D34" i="6"/>
  <c r="D27" i="6"/>
  <c r="D24" i="6"/>
  <c r="D23" i="6"/>
  <c r="D39" i="6"/>
  <c r="D31" i="6"/>
  <c r="D19" i="6"/>
  <c r="D30" i="6"/>
  <c r="D201" i="5" l="1"/>
  <c r="D225" i="5" s="1"/>
  <c r="D226" i="5"/>
  <c r="D207" i="5"/>
  <c r="D202" i="5"/>
  <c r="D223" i="5"/>
  <c r="D210" i="5"/>
  <c r="D206" i="5"/>
  <c r="D228" i="5"/>
  <c r="D208" i="5"/>
  <c r="D203" i="5"/>
  <c r="D224" i="5"/>
  <c r="D221" i="5"/>
  <c r="D219" i="5"/>
  <c r="D213" i="5"/>
  <c r="D214" i="5"/>
  <c r="D209" i="5"/>
  <c r="D204" i="5"/>
  <c r="D212" i="5" l="1"/>
  <c r="D217" i="5"/>
  <c r="D222" i="5"/>
  <c r="D218" i="5"/>
  <c r="D216" i="5"/>
  <c r="D227" i="5"/>
  <c r="D229" i="5"/>
  <c r="D205" i="5"/>
  <c r="D211" i="5"/>
  <c r="D215" i="5"/>
  <c r="D220" i="5"/>
  <c r="D40" i="6" l="1"/>
  <c r="D230" i="5" l="1"/>
  <c r="D239" i="5" s="1"/>
  <c r="D41" i="6" l="1"/>
  <c r="D42" i="6" s="1"/>
  <c r="D232" i="5"/>
  <c r="D240" i="5"/>
  <c r="D243" i="5"/>
  <c r="D241" i="5"/>
  <c r="D233" i="5"/>
  <c r="D235" i="5"/>
  <c r="D236" i="5"/>
  <c r="D242" i="5"/>
  <c r="D231" i="5"/>
  <c r="D234" i="5"/>
  <c r="D237" i="5"/>
  <c r="D238" i="5"/>
  <c r="D244" i="5" s="1"/>
  <c r="D254" i="5" l="1"/>
  <c r="D255" i="5"/>
  <c r="D253" i="5"/>
  <c r="D262" i="5"/>
  <c r="D246" i="5"/>
  <c r="D258" i="5"/>
  <c r="D261" i="5"/>
  <c r="D245" i="5"/>
  <c r="D259" i="5"/>
  <c r="D256" i="5"/>
  <c r="D257" i="5"/>
  <c r="D260" i="5"/>
  <c r="D247" i="5"/>
  <c r="D263" i="5"/>
  <c r="D248" i="5"/>
  <c r="D264" i="5"/>
  <c r="D249" i="5"/>
  <c r="D265" i="5"/>
  <c r="D250" i="5"/>
  <c r="D251" i="5"/>
  <c r="D252" i="5"/>
  <c r="D43" i="6" l="1"/>
  <c r="D266" i="5"/>
  <c r="D269" i="5" s="1"/>
  <c r="D51" i="6" l="1"/>
  <c r="D46" i="6"/>
  <c r="D50" i="6"/>
  <c r="D47" i="6"/>
  <c r="D48" i="6"/>
  <c r="D49" i="6"/>
  <c r="D45" i="6"/>
  <c r="D44" i="6"/>
  <c r="D268" i="5"/>
  <c r="D270" i="5"/>
  <c r="D273" i="5"/>
  <c r="D272" i="5"/>
  <c r="D271" i="5"/>
  <c r="D267" i="5"/>
  <c r="D274" i="5" l="1"/>
  <c r="D275" i="5" s="1"/>
  <c r="D277" i="5"/>
  <c r="D276" i="5"/>
  <c r="D278" i="5" l="1"/>
  <c r="D280" i="5"/>
  <c r="D279" i="5"/>
  <c r="D281" i="5"/>
  <c r="D282" i="5" l="1"/>
  <c r="D291" i="5" s="1"/>
  <c r="D292" i="5" l="1"/>
  <c r="D294" i="5"/>
  <c r="D293" i="5"/>
  <c r="D295" i="5"/>
  <c r="D298" i="5"/>
  <c r="D297" i="5"/>
  <c r="D283" i="5"/>
  <c r="D296" i="5"/>
  <c r="D299" i="5"/>
  <c r="D286" i="5"/>
  <c r="D284" i="5"/>
  <c r="D289" i="5"/>
  <c r="D300" i="5"/>
  <c r="D287" i="5"/>
  <c r="D285" i="5"/>
  <c r="D288" i="5"/>
  <c r="D290" i="5"/>
  <c r="D301" i="5" l="1"/>
  <c r="D302" i="5" l="1"/>
  <c r="D305" i="5" s="1"/>
  <c r="D306" i="5" l="1"/>
  <c r="D303" i="5"/>
  <c r="D304" i="5"/>
  <c r="D52" i="6" l="1"/>
  <c r="D307" i="5"/>
  <c r="D53" i="6" l="1"/>
  <c r="D54" i="6"/>
  <c r="D55" i="6"/>
  <c r="D57" i="6" l="1"/>
  <c r="D56" i="6"/>
  <c r="D58" i="6" l="1"/>
  <c r="D63" i="6" s="1"/>
  <c r="D66" i="6" l="1"/>
  <c r="D61" i="6"/>
  <c r="D59" i="6"/>
  <c r="D67" i="6"/>
  <c r="D69" i="6"/>
  <c r="D60" i="6"/>
  <c r="D70" i="6"/>
  <c r="D73" i="6" s="1"/>
  <c r="D65" i="6"/>
  <c r="D68" i="6"/>
  <c r="D62" i="6"/>
  <c r="D64" i="6"/>
  <c r="D308" i="5"/>
  <c r="D71" i="6" l="1"/>
  <c r="D72" i="6"/>
  <c r="D74" i="6" l="1"/>
  <c r="D75" i="6" l="1"/>
  <c r="D76" i="6" s="1"/>
  <c r="D77" i="6" l="1"/>
  <c r="D78" i="6"/>
  <c r="D79" i="6" s="1"/>
  <c r="D82" i="6" s="1"/>
  <c r="D81" i="6" l="1"/>
  <c r="D80" i="6"/>
  <c r="D309" i="5" l="1"/>
  <c r="D310" i="5" s="1"/>
  <c r="D311" i="5" l="1"/>
  <c r="D83" i="6" l="1"/>
  <c r="D85" i="6" s="1"/>
  <c r="D84" i="6" l="1"/>
  <c r="D86" i="6"/>
  <c r="D87" i="6" s="1"/>
  <c r="D88" i="6" l="1"/>
  <c r="D89" i="6" s="1"/>
  <c r="D90" i="6" s="1"/>
  <c r="D91" i="6" s="1"/>
  <c r="D100" i="6" l="1"/>
  <c r="D94" i="6"/>
  <c r="D95" i="6"/>
  <c r="D97" i="6"/>
  <c r="D98" i="6"/>
  <c r="D96" i="6"/>
  <c r="D92" i="6"/>
  <c r="D93" i="6"/>
  <c r="D99" i="6"/>
  <c r="D101" i="6" l="1"/>
  <c r="D106" i="6" s="1"/>
  <c r="D108" i="6" l="1"/>
  <c r="D107" i="6"/>
  <c r="D102" i="6"/>
  <c r="D109" i="6" s="1"/>
  <c r="D116" i="6" s="1"/>
  <c r="D103" i="6"/>
  <c r="D104" i="6"/>
  <c r="D105" i="6"/>
  <c r="D115" i="6" l="1"/>
  <c r="D119" i="6"/>
  <c r="D118" i="6"/>
  <c r="D110" i="6"/>
  <c r="D112" i="6"/>
  <c r="D114" i="6"/>
  <c r="D113" i="6"/>
  <c r="D117" i="6"/>
  <c r="D111" i="6"/>
  <c r="D120" i="6" l="1"/>
  <c r="D123" i="6" s="1"/>
  <c r="D127" i="6"/>
  <c r="D125" i="6"/>
  <c r="D128" i="6"/>
  <c r="D124" i="6"/>
  <c r="D126" i="6"/>
  <c r="D122" i="6"/>
  <c r="D121" i="6"/>
  <c r="D129" i="6" s="1"/>
  <c r="D131" i="6" s="1"/>
  <c r="D130" i="6" l="1"/>
  <c r="D132" i="6" s="1"/>
  <c r="D134" i="6" s="1"/>
  <c r="D133" i="6" l="1"/>
  <c r="D135" i="6" s="1"/>
  <c r="D136" i="6" s="1"/>
  <c r="D137" i="6" s="1"/>
  <c r="D139" i="6" s="1"/>
  <c r="D138" i="6" l="1"/>
  <c r="D140" i="6"/>
  <c r="D141" i="6" s="1"/>
  <c r="D142" i="6" l="1"/>
  <c r="D146" i="6"/>
  <c r="D145" i="6"/>
  <c r="D144" i="6"/>
  <c r="D143" i="6"/>
  <c r="D312" i="5" l="1"/>
  <c r="D315" i="5" s="1"/>
  <c r="D147" i="6" l="1"/>
  <c r="D152" i="6" s="1"/>
  <c r="D316" i="5"/>
  <c r="D313" i="5"/>
  <c r="D314" i="5"/>
  <c r="D151" i="6" l="1"/>
  <c r="D149" i="6"/>
  <c r="D150" i="6"/>
  <c r="D148" i="6"/>
  <c r="D317" i="5"/>
  <c r="D318" i="5" s="1"/>
  <c r="D320" i="5" l="1"/>
  <c r="D321" i="5"/>
  <c r="D319" i="5"/>
  <c r="D334" i="5" l="1"/>
  <c r="D339" i="5"/>
  <c r="D338" i="5"/>
  <c r="D330" i="5"/>
  <c r="D322" i="5"/>
  <c r="D333" i="5"/>
  <c r="D337" i="5"/>
  <c r="D340" i="5"/>
  <c r="D331" i="5"/>
  <c r="D327" i="5"/>
  <c r="D328" i="5"/>
  <c r="D342" i="5"/>
  <c r="D323" i="5"/>
  <c r="D326" i="5"/>
  <c r="D332" i="5"/>
  <c r="D341" i="5"/>
  <c r="D325" i="5"/>
  <c r="D324" i="5"/>
  <c r="D335" i="5"/>
  <c r="D329" i="5"/>
  <c r="D336" i="5"/>
  <c r="D343" i="5" l="1"/>
  <c r="D346" i="5" l="1"/>
  <c r="D350" i="5"/>
  <c r="D348" i="5"/>
  <c r="D347" i="5"/>
  <c r="D345" i="5"/>
  <c r="D344" i="5"/>
  <c r="D351" i="5"/>
  <c r="D352" i="5"/>
  <c r="D353" i="5" s="1"/>
  <c r="D349" i="5"/>
  <c r="D356" i="5" l="1"/>
  <c r="D355" i="5"/>
  <c r="D354" i="5"/>
  <c r="D359" i="5"/>
  <c r="D358" i="5"/>
  <c r="D360" i="5"/>
  <c r="D361" i="5" s="1"/>
  <c r="D357" i="5"/>
  <c r="D364" i="5" l="1"/>
  <c r="D363" i="5"/>
  <c r="D362" i="5"/>
  <c r="D365" i="5"/>
  <c r="D366" i="5" s="1"/>
  <c r="D368" i="5" l="1"/>
  <c r="D369" i="5" s="1"/>
  <c r="D367" i="5"/>
  <c r="D380" i="5" l="1"/>
  <c r="D379" i="5"/>
  <c r="D378" i="5"/>
  <c r="D377" i="5"/>
  <c r="D381" i="5"/>
  <c r="D376" i="5"/>
  <c r="D375" i="5"/>
  <c r="D374" i="5"/>
  <c r="D373" i="5"/>
  <c r="D372" i="5"/>
  <c r="D371" i="5"/>
  <c r="D370" i="5"/>
  <c r="D382" i="5"/>
  <c r="D383" i="5" s="1"/>
  <c r="D386" i="5" l="1"/>
  <c r="D387" i="5" s="1"/>
  <c r="D388" i="5" s="1"/>
  <c r="D389" i="5" s="1"/>
  <c r="D384" i="5"/>
  <c r="D385" i="5"/>
  <c r="D390" i="5" l="1"/>
  <c r="D391" i="5"/>
  <c r="D392" i="5"/>
  <c r="D394" i="5"/>
  <c r="D393" i="5"/>
  <c r="D395" i="5" l="1"/>
  <c r="D396" i="5" s="1"/>
  <c r="D397" i="5" s="1"/>
  <c r="D398" i="5" s="1"/>
  <c r="D399" i="5" s="1"/>
  <c r="D400" i="5" s="1"/>
  <c r="D401" i="5" s="1"/>
  <c r="D402" i="5" s="1"/>
  <c r="D403" i="5" s="1"/>
  <c r="D414" i="5" l="1"/>
  <c r="D413" i="5"/>
  <c r="D411" i="5"/>
  <c r="D404" i="5"/>
  <c r="D405" i="5" s="1"/>
  <c r="D415" i="5" l="1"/>
  <c r="D412" i="5"/>
  <c r="D406" i="5"/>
  <c r="D409" i="5" l="1"/>
  <c r="D407" i="5"/>
  <c r="D408" i="5" s="1"/>
  <c r="D410" i="5" l="1"/>
  <c r="D153" i="6" l="1"/>
  <c r="D154" i="6" s="1"/>
  <c r="D155" i="6" s="1"/>
</calcChain>
</file>

<file path=xl/sharedStrings.xml><?xml version="1.0" encoding="utf-8"?>
<sst xmlns="http://schemas.openxmlformats.org/spreadsheetml/2006/main" count="18643" uniqueCount="620">
  <si>
    <t>序号</t>
    <phoneticPr fontId="2" type="noConversion"/>
  </si>
  <si>
    <t>牌号</t>
    <phoneticPr fontId="2" type="noConversion"/>
  </si>
  <si>
    <t>体系</t>
  </si>
  <si>
    <t>合金成分（重量比）</t>
    <phoneticPr fontId="2" type="noConversion"/>
  </si>
  <si>
    <t>制备</t>
    <phoneticPr fontId="2" type="noConversion"/>
  </si>
  <si>
    <t>加工工艺</t>
    <phoneticPr fontId="2" type="noConversion"/>
  </si>
  <si>
    <r>
      <t>热处理</t>
    </r>
    <r>
      <rPr>
        <b/>
        <sz val="11"/>
        <color rgb="FFFF0000"/>
        <rFont val="Times New Roman"/>
        <family val="1"/>
      </rPr>
      <t>1</t>
    </r>
    <r>
      <rPr>
        <b/>
        <sz val="11"/>
        <color rgb="FFFF0000"/>
        <rFont val="宋体"/>
        <family val="3"/>
        <charset val="134"/>
      </rPr>
      <t>（固溶/退火）</t>
    </r>
    <phoneticPr fontId="2" type="noConversion"/>
  </si>
  <si>
    <r>
      <t>热处理</t>
    </r>
    <r>
      <rPr>
        <b/>
        <sz val="11"/>
        <color rgb="FFFF0000"/>
        <rFont val="Times New Roman"/>
        <family val="1"/>
      </rPr>
      <t>2</t>
    </r>
    <r>
      <rPr>
        <b/>
        <sz val="11"/>
        <color rgb="FFFF0000"/>
        <rFont val="宋体"/>
        <family val="3"/>
        <charset val="134"/>
      </rPr>
      <t>（时效）</t>
    </r>
    <phoneticPr fontId="2" type="noConversion"/>
  </si>
  <si>
    <t>基础性能</t>
    <phoneticPr fontId="2" type="noConversion"/>
  </si>
  <si>
    <t>断裂韧性和抗应力腐蚀能力</t>
    <phoneticPr fontId="2" type="noConversion"/>
  </si>
  <si>
    <t>夏比冲击</t>
  </si>
  <si>
    <t>（其他）</t>
    <phoneticPr fontId="2" type="noConversion"/>
  </si>
  <si>
    <r>
      <t>reference_id (</t>
    </r>
    <r>
      <rPr>
        <b/>
        <sz val="11"/>
        <color rgb="FFFF0000"/>
        <rFont val="宋体"/>
        <family val="3"/>
        <charset val="134"/>
      </rPr>
      <t>文献数据标记</t>
    </r>
    <r>
      <rPr>
        <b/>
        <sz val="11"/>
        <color rgb="FFFF0000"/>
        <rFont val="Times New Roman"/>
        <family val="1"/>
      </rPr>
      <t>doi</t>
    </r>
    <r>
      <rPr>
        <b/>
        <sz val="11"/>
        <color rgb="FFFF0000"/>
        <rFont val="宋体"/>
        <family val="3"/>
        <charset val="134"/>
      </rPr>
      <t>；实验数据标记人员姓名</t>
    </r>
    <r>
      <rPr>
        <b/>
        <sz val="11"/>
        <color rgb="FFFF0000"/>
        <rFont val="Times New Roman"/>
        <family val="1"/>
      </rPr>
      <t>)</t>
    </r>
    <phoneticPr fontId="2" type="noConversion"/>
  </si>
  <si>
    <t>文献名称</t>
  </si>
  <si>
    <t>文献序号</t>
  </si>
  <si>
    <t>汇总信息人员姓名</t>
  </si>
  <si>
    <t xml:space="preserve"> Ti</t>
    <phoneticPr fontId="2" type="noConversion"/>
  </si>
  <si>
    <t>Al</t>
  </si>
  <si>
    <t>Zr</t>
  </si>
  <si>
    <t>Mo</t>
  </si>
  <si>
    <t>V</t>
  </si>
  <si>
    <t>Ta</t>
  </si>
  <si>
    <t>Nb</t>
  </si>
  <si>
    <t>Cr</t>
  </si>
  <si>
    <t>Fe</t>
  </si>
  <si>
    <t>Sn</t>
  </si>
  <si>
    <t>实验室纽扣锭1，工厂成品件2</t>
    <phoneticPr fontId="2" type="noConversion"/>
  </si>
  <si>
    <t>初始状态(轧1,锻2, 挤压3)</t>
    <phoneticPr fontId="2" type="noConversion"/>
  </si>
  <si>
    <t>变形温度</t>
  </si>
  <si>
    <t>变形量</t>
    <phoneticPr fontId="2" type="noConversion"/>
  </si>
  <si>
    <t>应变速率</t>
  </si>
  <si>
    <r>
      <t>温度</t>
    </r>
    <r>
      <rPr>
        <b/>
        <sz val="11"/>
        <color rgb="FFFF0000"/>
        <rFont val="Times New Roman"/>
        <family val="1"/>
      </rPr>
      <t>1 (℃)</t>
    </r>
  </si>
  <si>
    <r>
      <t>时间</t>
    </r>
    <r>
      <rPr>
        <b/>
        <sz val="11"/>
        <color rgb="FFFF0000"/>
        <rFont val="Times New Roman"/>
        <family val="1"/>
      </rPr>
      <t>1 (h)</t>
    </r>
  </si>
  <si>
    <r>
      <t>冷却方式</t>
    </r>
    <r>
      <rPr>
        <b/>
        <sz val="11"/>
        <color rgb="FFFF0000"/>
        <rFont val="Times New Roman"/>
        <family val="1"/>
      </rPr>
      <t>1(WQ=1, AC=2, FC=3)</t>
    </r>
  </si>
  <si>
    <r>
      <t>热处理</t>
    </r>
    <r>
      <rPr>
        <b/>
        <sz val="11"/>
        <color rgb="FFFF0000"/>
        <rFont val="Times New Roman"/>
        <family val="1"/>
      </rPr>
      <t>2 (℃)</t>
    </r>
  </si>
  <si>
    <r>
      <t>时间</t>
    </r>
    <r>
      <rPr>
        <b/>
        <sz val="11"/>
        <color rgb="FFFF0000"/>
        <rFont val="Times New Roman"/>
        <family val="1"/>
      </rPr>
      <t>2 (h)</t>
    </r>
  </si>
  <si>
    <r>
      <t>冷却方式</t>
    </r>
    <r>
      <rPr>
        <b/>
        <sz val="11"/>
        <color rgb="FFFF0000"/>
        <rFont val="Times New Roman"/>
        <family val="1"/>
      </rPr>
      <t>2 (WQ=1, AC=2, FC=3)</t>
    </r>
  </si>
  <si>
    <t>弹性模量（GPa）</t>
    <phoneticPr fontId="2" type="noConversion"/>
  </si>
  <si>
    <t>硬度（HV）</t>
    <phoneticPr fontId="2" type="noConversion"/>
  </si>
  <si>
    <r>
      <t>抗拉强度</t>
    </r>
    <r>
      <rPr>
        <b/>
        <sz val="11"/>
        <color rgb="FFFF0000"/>
        <rFont val="Times New Roman"/>
        <family val="1"/>
      </rPr>
      <t xml:space="preserve"> (MPa)</t>
    </r>
  </si>
  <si>
    <r>
      <t>屈服强度</t>
    </r>
    <r>
      <rPr>
        <b/>
        <sz val="11"/>
        <color rgb="FFFF0000"/>
        <rFont val="Times New Roman"/>
        <family val="1"/>
      </rPr>
      <t>(MPa)</t>
    </r>
  </si>
  <si>
    <r>
      <t>延伸率</t>
    </r>
    <r>
      <rPr>
        <b/>
        <sz val="11"/>
        <color rgb="FFFF0000"/>
        <rFont val="Times New Roman"/>
        <family val="1"/>
      </rPr>
      <t xml:space="preserve"> (%)</t>
    </r>
  </si>
  <si>
    <r>
      <t>均匀延伸率</t>
    </r>
    <r>
      <rPr>
        <b/>
        <sz val="11"/>
        <color rgb="FFFF0000"/>
        <rFont val="Times New Roman"/>
        <family val="1"/>
      </rPr>
      <t xml:space="preserve"> (%)</t>
    </r>
    <phoneticPr fontId="2" type="noConversion"/>
  </si>
  <si>
    <r>
      <t>断面收缩率</t>
    </r>
    <r>
      <rPr>
        <b/>
        <sz val="11"/>
        <color rgb="FFFF0000"/>
        <rFont val="Times New Roman"/>
        <family val="1"/>
      </rPr>
      <t>(%)</t>
    </r>
  </si>
  <si>
    <t>断裂韧性KIC（MPa.m1/2）</t>
    <phoneticPr fontId="2" type="noConversion"/>
  </si>
  <si>
    <t>应力腐蚀断裂韧性KISCC（MPa·m1/2）</t>
    <phoneticPr fontId="2" type="noConversion"/>
  </si>
  <si>
    <r>
      <t>夏比冲击吸收功</t>
    </r>
    <r>
      <rPr>
        <b/>
        <sz val="11"/>
        <color rgb="FFFF0000"/>
        <rFont val="Times New Roman"/>
        <family val="1"/>
      </rPr>
      <t>KU2</t>
    </r>
    <r>
      <rPr>
        <b/>
        <sz val="11"/>
        <color rgb="FFFF0000"/>
        <rFont val="宋体"/>
        <family val="3"/>
        <charset val="134"/>
      </rPr>
      <t>（</t>
    </r>
    <r>
      <rPr>
        <b/>
        <sz val="11"/>
        <color rgb="FFFF0000"/>
        <rFont val="Times New Roman"/>
        <family val="1"/>
      </rPr>
      <t>J</t>
    </r>
    <r>
      <rPr>
        <b/>
        <sz val="11"/>
        <color rgb="FFFF0000"/>
        <rFont val="宋体"/>
        <family val="3"/>
        <charset val="134"/>
      </rPr>
      <t>）</t>
    </r>
  </si>
  <si>
    <r>
      <t>夏比冲击韧性值</t>
    </r>
    <r>
      <rPr>
        <b/>
        <sz val="11"/>
        <color rgb="FFFF0000"/>
        <rFont val="Times New Roman"/>
        <family val="1"/>
      </rPr>
      <t>aku2</t>
    </r>
    <r>
      <rPr>
        <b/>
        <sz val="11"/>
        <color rgb="FFFF0000"/>
        <rFont val="宋体"/>
        <family val="3"/>
        <charset val="134"/>
      </rPr>
      <t>（</t>
    </r>
    <r>
      <rPr>
        <b/>
        <sz val="11"/>
        <color rgb="FFFF0000"/>
        <rFont val="Times New Roman"/>
        <family val="1"/>
      </rPr>
      <t>J/cm2</t>
    </r>
    <r>
      <rPr>
        <b/>
        <sz val="11"/>
        <color rgb="FFFF0000"/>
        <rFont val="宋体"/>
        <family val="3"/>
        <charset val="134"/>
      </rPr>
      <t>）</t>
    </r>
  </si>
  <si>
    <r>
      <t>夏比冲击吸收功</t>
    </r>
    <r>
      <rPr>
        <b/>
        <sz val="11"/>
        <color rgb="FFFF0000"/>
        <rFont val="Times New Roman"/>
        <family val="1"/>
      </rPr>
      <t>KV2</t>
    </r>
    <r>
      <rPr>
        <b/>
        <sz val="11"/>
        <color rgb="FFFF0000"/>
        <rFont val="宋体"/>
        <family val="3"/>
        <charset val="134"/>
      </rPr>
      <t>（</t>
    </r>
    <r>
      <rPr>
        <b/>
        <sz val="11"/>
        <color rgb="FFFF0000"/>
        <rFont val="Times New Roman"/>
        <family val="1"/>
      </rPr>
      <t>J</t>
    </r>
    <r>
      <rPr>
        <b/>
        <sz val="11"/>
        <color rgb="FFFF0000"/>
        <rFont val="宋体"/>
        <family val="3"/>
        <charset val="134"/>
      </rPr>
      <t>）</t>
    </r>
  </si>
  <si>
    <r>
      <t>夏比冲击韧性值</t>
    </r>
    <r>
      <rPr>
        <b/>
        <sz val="11"/>
        <color rgb="FFFF0000"/>
        <rFont val="Times New Roman"/>
        <family val="1"/>
      </rPr>
      <t>akV2</t>
    </r>
    <r>
      <rPr>
        <b/>
        <sz val="11"/>
        <color rgb="FFFF0000"/>
        <rFont val="宋体"/>
        <family val="3"/>
        <charset val="134"/>
      </rPr>
      <t>（</t>
    </r>
    <r>
      <rPr>
        <b/>
        <sz val="11"/>
        <color rgb="FFFF0000"/>
        <rFont val="Times New Roman"/>
        <family val="1"/>
      </rPr>
      <t>J/cm2</t>
    </r>
    <r>
      <rPr>
        <b/>
        <sz val="11"/>
        <color rgb="FFFF0000"/>
        <rFont val="宋体"/>
        <family val="3"/>
        <charset val="134"/>
      </rPr>
      <t>）</t>
    </r>
  </si>
  <si>
    <t>TC18</t>
    <phoneticPr fontId="2" type="noConversion"/>
  </si>
  <si>
    <t>Ti-Al-Mo-V-Cr-Fe</t>
  </si>
  <si>
    <t>10.14024/j.cnki.1004-244x.20240905.001</t>
    <phoneticPr fontId="2" type="noConversion"/>
  </si>
  <si>
    <r>
      <rPr>
        <sz val="11"/>
        <rFont val="等线"/>
        <family val="2"/>
        <charset val="134"/>
      </rPr>
      <t>热处理对</t>
    </r>
    <r>
      <rPr>
        <sz val="11"/>
        <rFont val="Times New Roman"/>
        <family val="1"/>
      </rPr>
      <t>TC18</t>
    </r>
    <r>
      <rPr>
        <sz val="11"/>
        <rFont val="等线"/>
        <family val="2"/>
        <charset val="134"/>
      </rPr>
      <t>钛合金组织定量分析及性能影响规律研究</t>
    </r>
    <phoneticPr fontId="2" type="noConversion"/>
  </si>
  <si>
    <r>
      <rPr>
        <sz val="11"/>
        <rFont val="宋体"/>
        <family val="1"/>
        <charset val="134"/>
      </rPr>
      <t>刘雨佳</t>
    </r>
    <phoneticPr fontId="2" type="noConversion"/>
  </si>
  <si>
    <r>
      <rPr>
        <sz val="11"/>
        <rFont val="等线"/>
        <family val="2"/>
        <charset val="134"/>
      </rPr>
      <t>热处理对</t>
    </r>
    <r>
      <rPr>
        <sz val="11"/>
        <rFont val="Times New Roman"/>
        <family val="1"/>
      </rPr>
      <t>TC18</t>
    </r>
    <r>
      <rPr>
        <sz val="11"/>
        <rFont val="等线"/>
        <family val="2"/>
        <charset val="134"/>
      </rPr>
      <t>钛合金组织定量分析及性能影响规律研究</t>
    </r>
  </si>
  <si>
    <t>Ti-Zr-Mo-Nb-Sn</t>
  </si>
  <si>
    <t>10.1016/S1003-6326(13)62829-0</t>
    <phoneticPr fontId="2" type="noConversion"/>
  </si>
  <si>
    <t>Design of new biomedical titanium alloy based on d-electron alloy design theory and JMatPro software</t>
    <phoneticPr fontId="2" type="noConversion"/>
  </si>
  <si>
    <r>
      <rPr>
        <sz val="11"/>
        <color rgb="FF000000"/>
        <rFont val="等线"/>
        <family val="2"/>
        <charset val="134"/>
      </rPr>
      <t>万鑫泉</t>
    </r>
    <phoneticPr fontId="2" type="noConversion"/>
  </si>
  <si>
    <t>Ti-Zr-Ta-Nb</t>
  </si>
  <si>
    <t>10.1016/j.jallcom.2019.06.049</t>
    <phoneticPr fontId="2" type="noConversion"/>
  </si>
  <si>
    <t>Tailoring the microstructure and mechanical properties of metastable Ti–29Nb–13Ta-4.6Zr alloy for self-expansible stent applications</t>
    <phoneticPr fontId="2" type="noConversion"/>
  </si>
  <si>
    <t>10.13289/j.issn.1009-6264.2023-0603</t>
    <phoneticPr fontId="2" type="noConversion"/>
  </si>
  <si>
    <r>
      <rPr>
        <sz val="11"/>
        <rFont val="等线"/>
        <family val="2"/>
        <charset val="134"/>
      </rPr>
      <t>时效温度对</t>
    </r>
    <r>
      <rPr>
        <sz val="11"/>
        <rFont val="Times New Roman"/>
        <family val="1"/>
      </rPr>
      <t>Ti-35Nb-5Ta-7Zr</t>
    </r>
    <r>
      <rPr>
        <sz val="11"/>
        <rFont val="等线"/>
        <family val="2"/>
        <charset val="134"/>
      </rPr>
      <t>合金</t>
    </r>
    <r>
      <rPr>
        <sz val="11"/>
        <rFont val="Times New Roman"/>
        <family val="1"/>
      </rPr>
      <t>α</t>
    </r>
    <r>
      <rPr>
        <sz val="11"/>
        <rFont val="等线"/>
        <family val="2"/>
        <charset val="134"/>
      </rPr>
      <t>相特征及力学性能和腐蚀行为的影响</t>
    </r>
    <phoneticPr fontId="2" type="noConversion"/>
  </si>
  <si>
    <r>
      <rPr>
        <sz val="11"/>
        <rFont val="等线"/>
        <family val="2"/>
        <charset val="134"/>
      </rPr>
      <t>时效温度对</t>
    </r>
    <r>
      <rPr>
        <sz val="11"/>
        <rFont val="Times New Roman"/>
        <family val="1"/>
      </rPr>
      <t>Ti-35Nb-5Ta-7Zr</t>
    </r>
    <r>
      <rPr>
        <sz val="11"/>
        <rFont val="等线"/>
        <family val="2"/>
        <charset val="134"/>
      </rPr>
      <t>合金</t>
    </r>
    <r>
      <rPr>
        <sz val="11"/>
        <rFont val="Times New Roman"/>
        <family val="1"/>
      </rPr>
      <t>α</t>
    </r>
    <r>
      <rPr>
        <sz val="11"/>
        <rFont val="等线"/>
        <family val="2"/>
        <charset val="134"/>
      </rPr>
      <t>相特征及力学性能和腐蚀行为的影响</t>
    </r>
  </si>
  <si>
    <t>10.1016/j.msea.2006.06.013</t>
    <phoneticPr fontId="2" type="noConversion"/>
  </si>
  <si>
    <t>Microstructural and mechanical characterization of biomedical Ti–Nb–Zr(–Ta) alloys</t>
  </si>
  <si>
    <t>10.3389/fmats.2020.00077</t>
    <phoneticPr fontId="2" type="noConversion"/>
  </si>
  <si>
    <t>Effect of Various Annealing Temperature on Microstructure and Properties of Metastable β-Type Ti-35Nb-2Ta-3Zr Alloy for Biomedical Applications</t>
  </si>
  <si>
    <t>10.3389/fmats.2020.00077</t>
  </si>
  <si>
    <t>Ti-Nb</t>
  </si>
  <si>
    <t>10.1016/j.jallcom.2009.07.006</t>
    <phoneticPr fontId="2" type="noConversion"/>
  </si>
  <si>
    <t>Influence of Zr content on phase transformation, microstructure and mechanical properties of Ti75−xNb25Zrx (x = 0–6) alloys</t>
  </si>
  <si>
    <t>10.1016/j.actamat.2006.01.019</t>
    <phoneticPr fontId="2" type="noConversion"/>
  </si>
  <si>
    <t>Martensitic transformation, shape memory effect and superelasticity of Ti–Nb binary alloys</t>
    <phoneticPr fontId="2" type="noConversion"/>
  </si>
  <si>
    <t>Martensitic transformation, shape memory effect and superelasticity of Ti–Nb binary alloys</t>
  </si>
  <si>
    <t>10.1007/s11665-022-06586-x</t>
    <phoneticPr fontId="2" type="noConversion"/>
  </si>
  <si>
    <t>Microstructure, Mechanical Properties, and Cytotoxicity of β-Type Ti-Nb-Cr Alloys Designed by Electron Paramete</t>
  </si>
  <si>
    <t>10.1016/j.msea.2015.11.005</t>
    <phoneticPr fontId="2" type="noConversion"/>
  </si>
  <si>
    <t>In-situ investigation of stress-induced martensitic transformation in Ti–Nb binary alloys with low Young's modulus</t>
  </si>
  <si>
    <t>\</t>
    <phoneticPr fontId="2" type="noConversion"/>
  </si>
  <si>
    <t>Partition of Nb element on microstructure, tensile and impact properties of a near α Ti–4Nb alloy</t>
  </si>
  <si>
    <t>常海峰</t>
  </si>
  <si>
    <t>Ti-Zr-Nb</t>
  </si>
  <si>
    <t>10.1016/j.msea.2005.05.050</t>
    <phoneticPr fontId="2" type="noConversion"/>
  </si>
  <si>
    <t>Shape memory characteristics of Ti–22Nb–(2–8)Zr(at.%) biomedical alloys</t>
    <phoneticPr fontId="2" type="noConversion"/>
  </si>
  <si>
    <t>Shape memory characteristics of Ti–22Nb–(2–9)Zr(at.%) biomedical alloys</t>
  </si>
  <si>
    <t>Shape memory characteristics of Ti–22Nb–(2–10)Zr(at.%) biomedical alloys</t>
  </si>
  <si>
    <t>Shape memory characteristics of Ti–22Nb–(2–11)Zr(at.%) biomedical alloys</t>
  </si>
  <si>
    <t>10.1016/j.jmbbm.2011.03.023</t>
    <phoneticPr fontId="2" type="noConversion"/>
  </si>
  <si>
    <t>The role of heat treatment on microstructure and mechanical properties of Ti–13Zr–13Nb alloy for biomedical load bearing applications</t>
  </si>
  <si>
    <t>10.1016/S0921-5093(97)00808-3</t>
    <phoneticPr fontId="2" type="noConversion"/>
  </si>
  <si>
    <t>Design and mechanical properties of new β type titanium alloys for implant materials</t>
  </si>
  <si>
    <t>10.1016/S0921-5093(97)00808-3</t>
  </si>
  <si>
    <t>10.1016/j.msea.2006.06.013</t>
  </si>
  <si>
    <t>Ti-Al-Zr-Mo-Nb-Cr</t>
  </si>
  <si>
    <t>10.12442/j.issn.1002-185X.20230791</t>
    <phoneticPr fontId="2" type="noConversion"/>
  </si>
  <si>
    <r>
      <rPr>
        <sz val="11"/>
        <rFont val="等线"/>
        <family val="2"/>
        <charset val="134"/>
      </rPr>
      <t>不同尺寸的</t>
    </r>
    <r>
      <rPr>
        <sz val="11"/>
        <rFont val="Times New Roman"/>
        <family val="1"/>
      </rPr>
      <t>α</t>
    </r>
    <r>
      <rPr>
        <sz val="11"/>
        <rFont val="等线"/>
        <family val="2"/>
        <charset val="134"/>
      </rPr>
      <t>相对亚稳</t>
    </r>
    <r>
      <rPr>
        <sz val="11"/>
        <rFont val="Times New Roman"/>
        <family val="1"/>
      </rPr>
      <t>β</t>
    </r>
    <r>
      <rPr>
        <sz val="11"/>
        <rFont val="等线"/>
        <family val="2"/>
        <charset val="134"/>
      </rPr>
      <t>钛合金</t>
    </r>
    <r>
      <rPr>
        <sz val="11"/>
        <rFont val="Times New Roman"/>
        <family val="1"/>
      </rPr>
      <t>Ti-5.5Cr-5Al-4Mo-3Nb-2Zr</t>
    </r>
    <r>
      <rPr>
        <sz val="11"/>
        <rFont val="等线"/>
        <family val="2"/>
        <charset val="134"/>
      </rPr>
      <t>拉伸性能的影响</t>
    </r>
    <phoneticPr fontId="2" type="noConversion"/>
  </si>
  <si>
    <t>Effect of microstructure on the tensile properties and impact toughness of TC21G titanium alloy</t>
  </si>
  <si>
    <r>
      <rPr>
        <sz val="11"/>
        <color theme="1"/>
        <rFont val="等线"/>
        <family val="2"/>
        <charset val="134"/>
      </rPr>
      <t>袁睿豪</t>
    </r>
    <phoneticPr fontId="2" type="noConversion"/>
  </si>
  <si>
    <t>/</t>
    <phoneticPr fontId="2" type="noConversion"/>
  </si>
  <si>
    <t>/</t>
  </si>
  <si>
    <t>收集于西工大硕博论文，未公开</t>
  </si>
  <si>
    <t>TC21</t>
    <phoneticPr fontId="2" type="noConversion"/>
  </si>
  <si>
    <t>Ti-Al-Zr-Mo-Nb-Cr-Sn</t>
  </si>
  <si>
    <t>10.15980/j.tzzz.2024.11.017</t>
    <phoneticPr fontId="2" type="noConversion"/>
  </si>
  <si>
    <r>
      <rPr>
        <sz val="11"/>
        <rFont val="等线"/>
        <family val="2"/>
        <charset val="134"/>
      </rPr>
      <t>固溶温度对</t>
    </r>
    <r>
      <rPr>
        <sz val="11"/>
        <rFont val="Times New Roman"/>
        <family val="1"/>
      </rPr>
      <t>TC21</t>
    </r>
    <r>
      <rPr>
        <sz val="11"/>
        <rFont val="等线"/>
        <family val="2"/>
        <charset val="134"/>
      </rPr>
      <t>钛合金微观组织与力学性能的影响</t>
    </r>
    <phoneticPr fontId="2" type="noConversion"/>
  </si>
  <si>
    <r>
      <rPr>
        <sz val="11"/>
        <rFont val="等线"/>
        <family val="2"/>
        <charset val="134"/>
      </rPr>
      <t>固溶时效对铸造</t>
    </r>
    <r>
      <rPr>
        <sz val="11"/>
        <rFont val="Times New Roman"/>
        <family val="1"/>
      </rPr>
      <t>Ti-6Al-2Sn-2Zr-2Cr-2Mo-2Nb</t>
    </r>
    <r>
      <rPr>
        <sz val="11"/>
        <rFont val="等线"/>
        <family val="2"/>
        <charset val="134"/>
      </rPr>
      <t>钛合金组织和性能的影响</t>
    </r>
    <phoneticPr fontId="2" type="noConversion"/>
  </si>
  <si>
    <r>
      <rPr>
        <sz val="11"/>
        <rFont val="等线"/>
        <family val="2"/>
        <charset val="134"/>
      </rPr>
      <t>固溶时效对铸造</t>
    </r>
    <r>
      <rPr>
        <sz val="11"/>
        <rFont val="Times New Roman"/>
        <family val="1"/>
      </rPr>
      <t>Ti-6Al-2Sn-2Zr-2Cr-2Mo-2Nb</t>
    </r>
    <r>
      <rPr>
        <sz val="11"/>
        <rFont val="等线"/>
        <family val="2"/>
        <charset val="134"/>
      </rPr>
      <t>钛合金组织和性能的影响</t>
    </r>
  </si>
  <si>
    <t>Study on the intrinsic factors determining impact toughness of TC21 alloy</t>
  </si>
  <si>
    <t>10.14158/j.cnki.1001-3814.20211806</t>
    <phoneticPr fontId="2" type="noConversion"/>
  </si>
  <si>
    <r>
      <rPr>
        <sz val="11"/>
        <rFont val="等线"/>
        <family val="2"/>
        <charset val="134"/>
      </rPr>
      <t>固溶温度对</t>
    </r>
    <r>
      <rPr>
        <sz val="11"/>
        <rFont val="Times New Roman"/>
        <family val="1"/>
      </rPr>
      <t>Ti-6Al-4V-4Mo</t>
    </r>
    <r>
      <rPr>
        <sz val="11"/>
        <rFont val="等线"/>
        <family val="2"/>
        <charset val="134"/>
      </rPr>
      <t>合金组织与力学性能的影响</t>
    </r>
    <phoneticPr fontId="2" type="noConversion"/>
  </si>
  <si>
    <t>/</t>
    <phoneticPr fontId="14" type="noConversion"/>
  </si>
  <si>
    <t>A compilation of experimental dataon the mechanical properties and microstructural features of Ti-alloys</t>
  </si>
  <si>
    <t>TB6</t>
    <phoneticPr fontId="2" type="noConversion"/>
  </si>
  <si>
    <t>Ti-Al-V-Fe</t>
  </si>
  <si>
    <t>10.14158/j.cnki.1001-3814.20220293</t>
    <phoneticPr fontId="2" type="noConversion"/>
  </si>
  <si>
    <r>
      <rPr>
        <sz val="11"/>
        <rFont val="等线"/>
        <family val="2"/>
        <charset val="134"/>
      </rPr>
      <t>热处理工艺对</t>
    </r>
    <r>
      <rPr>
        <sz val="11"/>
        <rFont val="Times New Roman"/>
        <family val="1"/>
      </rPr>
      <t>TB6</t>
    </r>
    <r>
      <rPr>
        <sz val="11"/>
        <rFont val="等线"/>
        <family val="2"/>
        <charset val="134"/>
      </rPr>
      <t>钛合金棒材微观组织和力学性能的影响</t>
    </r>
    <phoneticPr fontId="2" type="noConversion"/>
  </si>
  <si>
    <t>Study on the Hot Processing Parameters-Impact Toughness Correlation of Ti-6Al-4V Alloy</t>
  </si>
  <si>
    <t xml:space="preserve">Impact toughness and deformation modes of Ti–6Al–4V alloy with different microstructures </t>
  </si>
  <si>
    <t>Effect of microstructure on impact fracture mechanism of a high-strength Ti-5Al-7.5V-0.5Si-0.25Fe-0.2O alloy</t>
  </si>
  <si>
    <t>Microstructural evolution and mechanical properties of powder metallurgy Ti–6Al–4V alloy based on heat response</t>
  </si>
  <si>
    <t>Ti-Ta</t>
  </si>
  <si>
    <t>10.1016/j.msea.2004.05.084</t>
    <phoneticPr fontId="2" type="noConversion"/>
  </si>
  <si>
    <r>
      <t>Decomposition of martensite α</t>
    </r>
    <r>
      <rPr>
        <sz val="11"/>
        <rFont val="等线"/>
        <family val="2"/>
        <charset val="134"/>
      </rPr>
      <t>″</t>
    </r>
    <r>
      <rPr>
        <sz val="11"/>
        <rFont val="Times New Roman"/>
        <family val="1"/>
      </rPr>
      <t xml:space="preserve"> during aging treatments and resulting mechanical properties of Ti−Ta alloys</t>
    </r>
  </si>
  <si>
    <t>Ti-Mo</t>
  </si>
  <si>
    <t>10.1002/adem.201300281</t>
    <phoneticPr fontId="2" type="noConversion"/>
  </si>
  <si>
    <t>Effect of Solution Treatment Time on Structure and Mechanical Properties of Fast-Cooled Ti–7.5Mo Alloy</t>
  </si>
  <si>
    <t>10.1016/j.actbio.2012.02.004</t>
    <phoneticPr fontId="2" type="noConversion"/>
  </si>
  <si>
    <t>Beta type Ti–Mo alloys with changeable Young’s modulus for spinal fixation applications</t>
    <phoneticPr fontId="2" type="noConversion"/>
  </si>
  <si>
    <t>Enhancement of impact toughness of β-type Ti–Mo alloy by {332}&lt;113&gt; twinning</t>
  </si>
  <si>
    <t>Ti-Cr-Sn</t>
  </si>
  <si>
    <t>10.1016/j.scriptamat.2015.11.020</t>
    <phoneticPr fontId="2" type="noConversion"/>
  </si>
  <si>
    <t>A β-titanium alloy with extra high strain-hardening rate: Design and mechanical properties</t>
    <phoneticPr fontId="2" type="noConversion"/>
  </si>
  <si>
    <t>Coupling effect of loading mode and temperature on the deformation behaviors of TWIP β Ti alloy: From superior tensile strength-ductility synergy to low Charpy impact toughness</t>
  </si>
  <si>
    <t>10.1016/j.scriptamat.2018.10.043</t>
    <phoneticPr fontId="2" type="noConversion"/>
  </si>
  <si>
    <t>ω phase strengthened 1.2GPa metastable β titanium alloy with high ductility</t>
  </si>
  <si>
    <t>10.1016/j.scriptamat.2018.10.043</t>
  </si>
  <si>
    <t>Ti-Zr-Nb-Sn</t>
  </si>
  <si>
    <t>10.1016/j.jmst.2017.04.017</t>
    <phoneticPr fontId="2" type="noConversion"/>
  </si>
  <si>
    <t>Microstructure, texture evolution and mechanical properties of cold rolled Ti-32.5Nb-6.8Zr-2.7Sn biomedical beta titanium alloy</t>
    <phoneticPr fontId="2" type="noConversion"/>
  </si>
  <si>
    <t>10.1016/j.actamat.2015.01.039</t>
    <phoneticPr fontId="2" type="noConversion"/>
  </si>
  <si>
    <t>Characterization of the martensitic transformation in the superelastic Ti–24Nb–4Zr–8Sn alloy by in situ synchrotron X-ray diffraction and dynamic mechanical analysis</t>
  </si>
  <si>
    <t>Ti-Al-Zr-Mo-V-Cr</t>
  </si>
  <si>
    <t>1002-185X(2023)01-0238-07</t>
    <phoneticPr fontId="2" type="noConversion"/>
  </si>
  <si>
    <r>
      <rPr>
        <sz val="11"/>
        <rFont val="等线"/>
        <family val="2"/>
        <charset val="134"/>
      </rPr>
      <t>冷轧及热处理对一种亚稳</t>
    </r>
    <r>
      <rPr>
        <sz val="11"/>
        <rFont val="Times New Roman"/>
        <family val="1"/>
      </rPr>
      <t>β</t>
    </r>
    <r>
      <rPr>
        <sz val="11"/>
        <rFont val="等线"/>
        <family val="2"/>
        <charset val="134"/>
      </rPr>
      <t>型钛合金组织及性能的影响</t>
    </r>
    <phoneticPr fontId="2" type="noConversion"/>
  </si>
  <si>
    <t>Impact Toughness of As-Built and Heat-Treated Near-β Ti–5Al–5Mo–5V–3Cr–1Zr Alloys Fabricated by Selective Laser Melting and Electron Beam Melting</t>
  </si>
  <si>
    <t>Tensile performance and impact toughness of Ti-55531 alloy with multilevel lamellar microstructure</t>
  </si>
  <si>
    <t>收集于西工大硕博论文，未公开</t>
    <phoneticPr fontId="2" type="noConversion"/>
  </si>
  <si>
    <t>周伟</t>
    <phoneticPr fontId="2" type="noConversion"/>
  </si>
  <si>
    <t>张闫</t>
    <phoneticPr fontId="2" type="noConversion"/>
  </si>
  <si>
    <t>Ti-Mo-Nb</t>
  </si>
  <si>
    <t xml:space="preserve">10.1590/1516-1439.329614 </t>
    <phoneticPr fontId="2" type="noConversion"/>
  </si>
  <si>
    <t>Mechanical Characterization of Ti–12mo–13nb Alloy for Biomedical Application Hot Swaged and Aged</t>
    <phoneticPr fontId="2" type="noConversion"/>
  </si>
  <si>
    <t>10.1590/1980-5373-MR-2017-0637</t>
    <phoneticPr fontId="2" type="noConversion"/>
  </si>
  <si>
    <t>Microstructure and Mechanical Properties of Ti-12Mo-8Nb Alloy Hot Swaged and Treated for Orthopedic Applications</t>
  </si>
  <si>
    <t>Ti-Zr-Mo-Nb</t>
  </si>
  <si>
    <t>10.1016/j.msec.2015.12.076</t>
    <phoneticPr fontId="2" type="noConversion"/>
  </si>
  <si>
    <t>Development of a new β Ti alloy with low modulus and favorable plasticity for implant material</t>
    <phoneticPr fontId="2" type="noConversion"/>
  </si>
  <si>
    <t>Ti-Mo-Nb-Sn</t>
  </si>
  <si>
    <t>10.1007/s11661-012-1324-0</t>
    <phoneticPr fontId="2" type="noConversion"/>
  </si>
  <si>
    <t>A Novel Metastable Ti-25Nb-2Mo-4Sn Alloy with High Strength and Low Young’s Modulus</t>
  </si>
  <si>
    <t>10.1016/j.actbio.2012.02.010</t>
    <phoneticPr fontId="2" type="noConversion"/>
  </si>
  <si>
    <t>Optimization of Cr content of metastable β-type Ti–Cr alloys with changeable Young’s modulus for spinal fixation applications</t>
  </si>
  <si>
    <t>Ti-Zr-Mo</t>
  </si>
  <si>
    <t>10.1016/j.jmbbm.2011.06.020</t>
    <phoneticPr fontId="2" type="noConversion"/>
  </si>
  <si>
    <t>Relationship between various deformation-induced products and mechanical properties in metastable Ti–30Zr–Mo alloys for biomedical applications</t>
  </si>
  <si>
    <t>Ti-Nb-Fe-Sn</t>
  </si>
  <si>
    <t>10.1007/s10853-022-06984-5</t>
    <phoneticPr fontId="2" type="noConversion"/>
  </si>
  <si>
    <t>Microstructure, mechanical properties, and cytotoxicity of low Young’s modulus Ti–Nb–Fe–Sn alloys</t>
  </si>
  <si>
    <t>10.1016/j.jallcom.2024.175752</t>
    <phoneticPr fontId="2" type="noConversion"/>
  </si>
  <si>
    <t>Mechanical properties and corrosion resistance improvement of TiAlSnMo alloys via Mo addition</t>
    <phoneticPr fontId="2" type="noConversion"/>
  </si>
  <si>
    <t>铸态</t>
    <phoneticPr fontId="2" type="noConversion"/>
  </si>
  <si>
    <t>A compilation of experimental dataon the mechanical properties and microstructural features of Ti-alloys</t>
    <phoneticPr fontId="14" type="noConversion"/>
  </si>
  <si>
    <t>10.1016/j.jallcom.2024.175752</t>
  </si>
  <si>
    <t>Ti-Al-Zr-V</t>
  </si>
  <si>
    <t>10.1007/s41230-023-2071-0</t>
    <phoneticPr fontId="2" type="noConversion"/>
  </si>
  <si>
    <t>High-strength Ti-Al-V-Zr cast alloys designed using α and β cluster formulas</t>
    <phoneticPr fontId="2" type="noConversion"/>
  </si>
  <si>
    <t>882.3±2.6</t>
  </si>
  <si>
    <t>788.3±3.3</t>
  </si>
  <si>
    <t>12.8±0.7</t>
  </si>
  <si>
    <t>12.6±3.8</t>
  </si>
  <si>
    <t>Influence of annealing on the microstructure and Charpy impact toughness of wire arc additive manufactured Ti5111 alloy</t>
  </si>
  <si>
    <t>853.6±10.2</t>
  </si>
  <si>
    <t>740.0±13.1</t>
  </si>
  <si>
    <t>11.2±1.5</t>
  </si>
  <si>
    <t>29.7±5.1</t>
  </si>
  <si>
    <t>836.0±2.9</t>
  </si>
  <si>
    <t>711.7±3.3</t>
  </si>
  <si>
    <t>14.1±0.5</t>
  </si>
  <si>
    <t>35.5±3.3</t>
  </si>
  <si>
    <t>Ti-Al-Zr-Mo-Nb-Fe</t>
  </si>
  <si>
    <t>Research on the related between microstructures and impact toughness of Ti80 alloy</t>
  </si>
  <si>
    <t>Twinning-induced high impact toughness of titanium alloy at cryogenic temperature</t>
  </si>
  <si>
    <t>Ti-Al-Zr-Mo-V</t>
  </si>
  <si>
    <t>Drastic improvement in elongation and impact toughness of Ti–Al–V–Mo–Zr alloy tube via three-step heat treatment</t>
  </si>
  <si>
    <t>Ti-Al-V</t>
  </si>
  <si>
    <t>Study of low-temperature impact deformation behavior of Ti–6Al–4V alloy</t>
  </si>
  <si>
    <t>Al-Zr-Mo-V-Cr-Fe</t>
  </si>
  <si>
    <t>5.18-5.24</t>
  </si>
  <si>
    <t>2.74-2.78</t>
  </si>
  <si>
    <t>1154±10</t>
  </si>
  <si>
    <t>16.9±0.8</t>
  </si>
  <si>
    <t>Relationships between microstructure and mechanical properties of Ti-5Al-5Mo-5V-3Cr-1Zr alloy</t>
  </si>
  <si>
    <t>1158±8</t>
  </si>
  <si>
    <t>17.3±0.6</t>
  </si>
  <si>
    <t>1156±10</t>
  </si>
  <si>
    <t>15.7±0.7</t>
  </si>
  <si>
    <t>1150±8</t>
  </si>
  <si>
    <t>14.9±0.9</t>
  </si>
  <si>
    <t>1176±8</t>
  </si>
  <si>
    <t>13.8±0.5</t>
  </si>
  <si>
    <t>1037±12</t>
  </si>
  <si>
    <t>13.8±1.0</t>
  </si>
  <si>
    <t>1357±10</t>
  </si>
  <si>
    <t>13.1±1.0</t>
  </si>
  <si>
    <t>1311±12</t>
  </si>
  <si>
    <t>15.7±0.8</t>
  </si>
  <si>
    <t>1311±15</t>
  </si>
  <si>
    <t>16.7±0.8</t>
  </si>
  <si>
    <t>1342±10</t>
  </si>
  <si>
    <t>14.0±1.0</t>
  </si>
  <si>
    <t>1365±10</t>
  </si>
  <si>
    <t>11.6±0.7</t>
  </si>
  <si>
    <t>1356±15</t>
  </si>
  <si>
    <t>9.4±0.7</t>
  </si>
  <si>
    <t>Ti-Al</t>
  </si>
  <si>
    <t>Toughening effects of Mo and Nb addition on impact toughness and crack resistance of titanium alloys</t>
  </si>
  <si>
    <t>Effects of oxygen content on Charpy impact properties and crack resistance of α titanium alloys</t>
  </si>
  <si>
    <t>Strengthening effects of Al element on strength and impact toughness in titanium alloy</t>
  </si>
  <si>
    <t>Ti-Al-Nb</t>
  </si>
  <si>
    <t>A compilation of experimental dataon the mechanical properties and microstructural features of Ti-alloys</t>
    <phoneticPr fontId="2" type="noConversion"/>
  </si>
  <si>
    <t>Ti</t>
  </si>
  <si>
    <t>Al-Zr-Mo-V</t>
  </si>
  <si>
    <t>0.5-0.8</t>
  </si>
  <si>
    <r>
      <t>Crack propagation during Charpy impact toughness testing of Ti</t>
    </r>
    <r>
      <rPr>
        <sz val="11"/>
        <color theme="1"/>
        <rFont val="等线"/>
        <family val="3"/>
        <charset val="134"/>
      </rPr>
      <t>−</t>
    </r>
    <r>
      <rPr>
        <sz val="11"/>
        <color theme="1"/>
        <rFont val="宋体"/>
        <family val="3"/>
        <charset val="134"/>
      </rPr>
      <t>Al</t>
    </r>
    <r>
      <rPr>
        <sz val="11"/>
        <color theme="1"/>
        <rFont val="等线"/>
        <family val="3"/>
        <charset val="134"/>
      </rPr>
      <t>−</t>
    </r>
    <r>
      <rPr>
        <sz val="11"/>
        <color theme="1"/>
        <rFont val="宋体"/>
        <family val="3"/>
        <charset val="134"/>
      </rPr>
      <t>V</t>
    </r>
    <r>
      <rPr>
        <sz val="11"/>
        <color theme="1"/>
        <rFont val="等线"/>
        <family val="3"/>
        <charset val="134"/>
      </rPr>
      <t>−</t>
    </r>
    <r>
      <rPr>
        <sz val="11"/>
        <color theme="1"/>
        <rFont val="宋体"/>
        <family val="3"/>
        <charset val="134"/>
      </rPr>
      <t>Mo</t>
    </r>
    <r>
      <rPr>
        <sz val="11"/>
        <color theme="1"/>
        <rFont val="等线"/>
        <family val="3"/>
        <charset val="134"/>
      </rPr>
      <t>−</t>
    </r>
    <r>
      <rPr>
        <sz val="11"/>
        <color theme="1"/>
        <rFont val="宋体"/>
        <family val="3"/>
        <charset val="134"/>
      </rPr>
      <t>Zr alloy tubes containing equiaxed and lamellar microstructures</t>
    </r>
  </si>
  <si>
    <t>Effect of annealing temperature on the notch impact toughness of a laser melting deposited titanium alloy Ti–4Al–1.5Mn</t>
  </si>
  <si>
    <t>Ti-Al-V-Nb</t>
  </si>
  <si>
    <t>Effect of annealing temperature on the microstructures and impact toughness of Ti-6Al-4V-0.5Ni-0.5Nb titanium alloy plates</t>
  </si>
  <si>
    <t>Effect of annealing temperature on microstructures and mechanical properties of a hot-rolled Ti-6Al-4V-0.5Ni-0.5Nb alloy for offshore applications</t>
  </si>
  <si>
    <t>Ti-Al-Mo-Cr</t>
  </si>
  <si>
    <t>Comparative research on Charpy impact behaviors of a novel TRIP Ti alloy with single β and α + β dual phase</t>
  </si>
  <si>
    <t>Ti-Al-Zr-Mo-V-Cr-Fe</t>
  </si>
  <si>
    <t>Effect of Annealing Temperature on the Strength and Toughness of Ti-55531 Titanium Alloy After Multiple Heat Treatment</t>
  </si>
  <si>
    <t>Influence of Heat Treatment on Microstructure and Mechanical Characteristics of the Titanium Alloy Ti-5Al-5 V-2Mo-Cr with Metastable β-Phase</t>
  </si>
  <si>
    <t>Ti-5.5Al-5V-5Mo-5Cr-1Fe-1Zr</t>
  </si>
  <si>
    <t>Ti-Al-Zr-Mo-Cr-Fe-Sn</t>
  </si>
  <si>
    <t>Microstructure Evolution and Mechanical Properties of Linear Friction Welded Ti-5Al-2Sn-2Zr-4Mo-4Cr (Ti17)Titanium Alloy Joints</t>
  </si>
  <si>
    <t>Effect of microstructure evolution of the lamellar alpha on impact toughness in a two-phase titanium alloy</t>
  </si>
  <si>
    <t>Research on the microstructural evolution mechanism and impact toughness of Ti-17 alloy with an initial basket-weave microstructure</t>
  </si>
  <si>
    <t>Ti-Al-Zr-Mo-Nb</t>
  </si>
  <si>
    <t>Grain misorientation induced low-temperature impact toughness deterioration and its deformation mechanism of Ti6321 titanium alloy</t>
  </si>
  <si>
    <t>Low-temperature impact toughness and deformation mechanism of CT20 titanium alloy</t>
  </si>
  <si>
    <t>Microstructure tailoring and impact toughness of a newly developed high strength Ti-5Al-3Mo-3V-2Cr-2Zr-1Nb-1Fe alloy</t>
  </si>
  <si>
    <t>Ti-Al-Zr-Mo</t>
  </si>
  <si>
    <t>High impact toughness of CT20 alloy induced by multi-factor coupling</t>
  </si>
  <si>
    <t>Microstructure and mechanical properties of friction welds of an α+β titanium alloy</t>
  </si>
  <si>
    <t>Al-V-Fe</t>
  </si>
  <si>
    <t>&lt;0.30</t>
  </si>
  <si>
    <t>Effect of heat treatment on microstructures and properties of vacuum laser welding Ti–6Al–4V titanium alloy</t>
  </si>
  <si>
    <t>Ti-Al-Mo-V-Sn</t>
  </si>
  <si>
    <t>Dot-dash grain boundary α: A new strategy for improving impact toughness of dual-phase Ti-652 alloy</t>
  </si>
  <si>
    <t>Al-Zr-Mo-Nb-Cr-Sn</t>
  </si>
  <si>
    <t>Microstructures and mechanical properties of a titanium alloy thick plate joint after electron beam welding plus solution-aging</t>
  </si>
  <si>
    <t>Ti-Al-Zr-Mo-V-Cr-Sn</t>
  </si>
  <si>
    <t>Microstructure and mechanical properties of a newly developed Ti-6Al-2Mo-2Sn-2Zr-2Cr-2V alloy fabricated by laser directed energy deposition</t>
  </si>
  <si>
    <t>Ti-Al-Zr-Mo-Sn</t>
  </si>
  <si>
    <t>Effect of germanium and silicon additions on the mechanical properties of a near-α titanium alloy</t>
  </si>
  <si>
    <t>Mechanical behavior and impact toughness of the ultrafine-grained VT8M-1 alloy</t>
  </si>
  <si>
    <t>Study on the microstructure and impact toughness of TC11 titanium alloy by a novel electromagnetic shocking treatment</t>
  </si>
  <si>
    <t>Ti-Al-Zr-V-Fe</t>
  </si>
  <si>
    <t>Mechanical behavior and impact toughness of the ultrafine-grained Grade 5 Ti alloy processed by ECAP</t>
  </si>
  <si>
    <t>OC</t>
    <phoneticPr fontId="2" type="noConversion"/>
  </si>
  <si>
    <t>Ti-Nb-Fe</t>
  </si>
  <si>
    <t>Ti-Al-Mo</t>
  </si>
  <si>
    <t>Ti-Mo-Fe</t>
  </si>
  <si>
    <t>Al-Mo-Cr</t>
  </si>
  <si>
    <t>Charpy impact behaviors of metastable β-Ti alloys: Transformation induce plasticity versus twining induce plasticity</t>
  </si>
  <si>
    <t>Cr-Sn</t>
  </si>
  <si>
    <t>Ti-Al-Zr-Cr</t>
  </si>
  <si>
    <t>Ti-Mo-Sn</t>
  </si>
  <si>
    <t>Ti-Nb-Sn</t>
  </si>
  <si>
    <t>Ti-Mo-Ta-Nb-Sn</t>
  </si>
  <si>
    <t>Ti-Zr-Mo-Ta-Nb-Sn</t>
  </si>
  <si>
    <t>Ti-Zr-Ta-Nb-Sn</t>
  </si>
  <si>
    <t>Ti-Zr</t>
  </si>
  <si>
    <t>Ti-Mo-Ta</t>
  </si>
  <si>
    <t>Ti-Ta-Nb</t>
  </si>
  <si>
    <t>Ti-Mo-Ta-Nb</t>
  </si>
  <si>
    <t>Ti-Ta-Nb-Sn</t>
  </si>
  <si>
    <t>Ti-Zr-Mo-Sn</t>
  </si>
  <si>
    <t>Ti-Nb-Cr-Fe</t>
  </si>
  <si>
    <t>Ti-Zr-Nb-Fe</t>
  </si>
  <si>
    <t>Ti-Ta-Fe</t>
  </si>
  <si>
    <t>Ti-Fe</t>
  </si>
  <si>
    <t>Ti-Zr-Cr-Fe</t>
  </si>
  <si>
    <t>Ti-Zr-Mo-Fe</t>
  </si>
  <si>
    <t>Ti-Al-Zr</t>
  </si>
  <si>
    <t>Ti-Zr-Ta-Nb-Fe</t>
  </si>
  <si>
    <t>Ti-Zr-Mo-Ta-Nb</t>
  </si>
  <si>
    <t>Ti-Zr-V-Ta-Nb</t>
  </si>
  <si>
    <t>Ta+Nb</t>
    <phoneticPr fontId="14" type="noConversion"/>
  </si>
  <si>
    <t>C</t>
    <phoneticPr fontId="14" type="noConversion"/>
  </si>
  <si>
    <t>Si</t>
    <phoneticPr fontId="14" type="noConversion"/>
  </si>
  <si>
    <t>N</t>
    <phoneticPr fontId="14" type="noConversion"/>
  </si>
  <si>
    <t>初始状态(铸1,锻2, 挤压3)</t>
    <phoneticPr fontId="2" type="noConversion"/>
  </si>
  <si>
    <t>蠕变寿命（lg）</t>
    <phoneticPr fontId="14" type="noConversion"/>
  </si>
  <si>
    <t>IMI834</t>
  </si>
  <si>
    <t>Ti60_1#</t>
  </si>
  <si>
    <t>Ti60_4#</t>
  </si>
  <si>
    <t>DMR834HF 1</t>
  </si>
  <si>
    <t>DMR834HF 2</t>
  </si>
  <si>
    <t>DMR834HF 3</t>
  </si>
  <si>
    <t>DMR834HF 4</t>
  </si>
  <si>
    <t>DMR834HF 5</t>
  </si>
  <si>
    <t>DMR834LF 1</t>
  </si>
  <si>
    <t>DMR834LF 2</t>
  </si>
  <si>
    <t>DMR834LF 3</t>
  </si>
  <si>
    <t>DMR834LF 4</t>
  </si>
  <si>
    <t>DMR834LF 5</t>
  </si>
  <si>
    <t>Timetal834 1</t>
  </si>
  <si>
    <t>Timetal834 2</t>
  </si>
  <si>
    <t>Timetal834 3</t>
  </si>
  <si>
    <t>Timetal834 4</t>
  </si>
  <si>
    <t>Timetal834 5</t>
  </si>
  <si>
    <t>TC4</t>
  </si>
  <si>
    <t>TC4-2</t>
  </si>
  <si>
    <t>TC4-3</t>
  </si>
  <si>
    <t>TC4-4</t>
  </si>
  <si>
    <t>Timetal834-5a</t>
  </si>
  <si>
    <t>OC</t>
    <phoneticPr fontId="14" type="noConversion"/>
  </si>
  <si>
    <t>Timetal834-12a</t>
  </si>
  <si>
    <t>Timetal834-24a</t>
  </si>
  <si>
    <t>Timetal834-40a</t>
  </si>
  <si>
    <t>无</t>
  </si>
  <si>
    <t>石欣逾</t>
    <phoneticPr fontId="2" type="noConversion"/>
  </si>
  <si>
    <t>Research on the related between microstructures and impact toughness of Ti81 alloy</t>
  </si>
  <si>
    <t>Research on the related between microstructures and impact toughness of Ti82 alloy</t>
  </si>
  <si>
    <t>2+3</t>
    <phoneticPr fontId="2" type="noConversion"/>
  </si>
  <si>
    <t>Enhancement of impact toughness of β-type Ti–Mo alloy by {332}&lt;114&gt; twinning</t>
  </si>
  <si>
    <t>无</t>
    <phoneticPr fontId="2" type="noConversion"/>
  </si>
  <si>
    <t>Crack propagation during Charpy impact toughness testing of Ti Al VMo Zralloy tubes containing equiaxed and lamellar microstructures</t>
  </si>
  <si>
    <t>Tensile performance and impact toughness of Ti-55532 alloy with multilevel lamellar microstructure</t>
  </si>
  <si>
    <t>Tensile performance and impact toughness of Ti-55533 alloy with multilevel lamellar microstructure</t>
  </si>
  <si>
    <t>Impact toughness and deformation modes of Ti–6Al–5V alloy with different microstructures</t>
  </si>
  <si>
    <t>Impact toughness and deformation modes of Ti–6Al–6V alloy with different microstructures</t>
  </si>
  <si>
    <t>Impact toughness and deformation modes of Ti–6Al–7V alloy with different microstructures</t>
  </si>
  <si>
    <t>Relationships between microstructure and mechanical properties of Ti-5Al-5Mo-5V-3Cr-2Zr alloy</t>
  </si>
  <si>
    <t>Relationships between microstructure and mechanical properties of Ti-5Al-5Mo-5V-3Cr-3Zr alloy</t>
  </si>
  <si>
    <t>Relationships between microstructure and mechanical properties of Ti-5Al-5Mo-5V-3Cr-4Zr alloy</t>
  </si>
  <si>
    <t>Relationships between microstructure and mechanical properties of Ti-5Al-5Mo-5V-3Cr-5Zr alloy</t>
  </si>
  <si>
    <t>Relationships between microstructure and mechanical properties of Ti-5Al-5Mo-5V-3Cr-6Zr alloy</t>
  </si>
  <si>
    <t>Relationships between microstructure and mechanical properties of Ti-5Al-5Mo-5V-3Cr-7Zr alloy</t>
  </si>
  <si>
    <t>Relationships between microstructure and mechanical properties of Ti-5Al-5Mo-5V-3Cr-8Zr alloy</t>
  </si>
  <si>
    <t>Relationships between microstructure and mechanical properties of Ti-5Al-5Mo-5V-3Cr-9Zr alloy</t>
  </si>
  <si>
    <t>Relationships between microstructure and mechanical properties of Ti-5Al-5Mo-5V-3Cr-10Zr alloy</t>
  </si>
  <si>
    <t>Relationships between microstructure and mechanical properties of Ti-5Al-5Mo-5V-3Cr-11Zr alloy</t>
  </si>
  <si>
    <t>Relationships between microstructure and mechanical properties of Ti-5Al-5Mo-5V-3Cr-12Zr alloy</t>
  </si>
  <si>
    <t>Effect of Annealing Temperature on the Strength and Toughness of Ti-55532 Titanium Alloy After Multiple Heat Treatment</t>
  </si>
  <si>
    <t>Effect of Annealing Temperature on the Strength and Toughness of Ti-55533 Titanium Alloy After Multiple Heat Treatment</t>
  </si>
  <si>
    <t>Partition of Nb element on microstructure, tensile and impact properties of a near α Ti–5Nb alloy</t>
  </si>
  <si>
    <t>Partition of Nb element on microstructure, tensile and impact properties of a near α Ti–6Nb alloy</t>
  </si>
  <si>
    <t>High impact toughness of CT21 alloy induced by multi-factor coupling</t>
  </si>
  <si>
    <t>High impact toughness of CT22 alloy induced by multi-factor coupling</t>
  </si>
  <si>
    <t>核对人员姓名</t>
    <phoneticPr fontId="2" type="noConversion"/>
  </si>
  <si>
    <t>备注</t>
    <phoneticPr fontId="2" type="noConversion"/>
  </si>
  <si>
    <t>体系</t>
    <phoneticPr fontId="2" type="noConversion"/>
  </si>
  <si>
    <t>首次出现行数</t>
    <phoneticPr fontId="2" type="noConversion"/>
  </si>
  <si>
    <t>组元数</t>
    <phoneticPr fontId="2" type="noConversion"/>
  </si>
  <si>
    <t>初始状态(铸0,轧1,锻2, 挤压3)</t>
    <phoneticPr fontId="2" type="noConversion"/>
  </si>
  <si>
    <r>
      <t>冷却方式</t>
    </r>
    <r>
      <rPr>
        <b/>
        <sz val="11"/>
        <color rgb="FFFF0000"/>
        <rFont val="Times New Roman"/>
        <family val="1"/>
      </rPr>
      <t>1(WQ=1, AC=2, FC=3,FC+AC=4)</t>
    </r>
    <phoneticPr fontId="2" type="noConversion"/>
  </si>
  <si>
    <t>10.1016/j.matpr.2020.05.315</t>
  </si>
  <si>
    <t>Effect of Nb content on the microstructure and mechanical properties of binary Ti-Nb alloys</t>
  </si>
  <si>
    <t>石欣逾</t>
  </si>
  <si>
    <t>10.1016/j.matpr.2020.05.316</t>
  </si>
  <si>
    <t>10.1016/j.matchar.2021.111122</t>
  </si>
  <si>
    <t>The roles of oxygen content on microstructural transformation, mechanical properties and corrosion resistance of Ti-Nb-based biomedical alloys with different &lt;a6&gt;&lt;c2&gt; stabilities</t>
  </si>
  <si>
    <t>10.1016/j.matchar.2021.111123</t>
  </si>
  <si>
    <t>The roles of oxygen content on microstructural transformation, mechanical properties and corrosion resistance of Ti-Nb-based biomedical alloys with different &lt;a6&gt;&lt;c3&gt; stabilities</t>
  </si>
  <si>
    <t>10.1016/j.matchar.2021.111124</t>
  </si>
  <si>
    <t>The roles of oxygen content on microstructural transformation, mechanical properties and corrosion resistance of Ti-Nb-based biomedical alloys with different &lt;a6&gt;&lt;c4&gt; stabilities</t>
  </si>
  <si>
    <r>
      <rPr>
        <sz val="11"/>
        <color theme="1"/>
        <rFont val="等线"/>
        <family val="2"/>
        <charset val="134"/>
      </rPr>
      <t>万鑫泉</t>
    </r>
    <phoneticPr fontId="2" type="noConversion"/>
  </si>
  <si>
    <t>10.1016/j.jallcom.2007.10.054</t>
  </si>
  <si>
    <t>A comparison of tensile properties and corrosion behavior of cast Ti&lt;a8&gt;C7.5Mo with c.p. Ti, Ti&lt;a8&gt;C15Mo and Ti&lt;a8&gt;C6Al&lt;a8&gt;C4V alloys</t>
  </si>
  <si>
    <t>10.1016/j.jallcom.2007.10.055</t>
  </si>
  <si>
    <t>A comparison of tensile properties and corrosion behavior of cast Ti&lt;a8&gt;C7.5Mo with c.p. Ti, Ti&lt;a8&gt;C15Mo and Ti&lt;a8&gt;C6Al&lt;a8&gt;C5V alloys</t>
  </si>
  <si>
    <t>10.1016/j.jmst.2023.01.061</t>
  </si>
  <si>
    <t>Superelastic metastable Ti-Mo-Sn alloys with high elastic admissible strain for potential bio-implant applications</t>
  </si>
  <si>
    <t>10.1016/j.mtcomm.2021.102347</t>
  </si>
  <si>
    <t>The effect of molybdenum content on the microstructural evolution and tensile properties of as-cast Ti-Mo alloys</t>
  </si>
  <si>
    <t>10.1016/j.mtcomm.2021.102348</t>
  </si>
  <si>
    <t>10.1016/j.mtcomm.2021.102349</t>
  </si>
  <si>
    <t>10.1016/j.mtcomm.2021.102350</t>
  </si>
  <si>
    <t xml:space="preserve"> </t>
  </si>
  <si>
    <t>10.1016/j.actbio.2012.02.004</t>
  </si>
  <si>
    <t>Beta type Ti&lt;a8&gt;CMo alloys with changeable Young&lt;a1&gt;&lt;af&gt;s modulus for spinal fixation applications</t>
  </si>
  <si>
    <t>10.1016/j.actbio.2012.02.005</t>
  </si>
  <si>
    <t>Beta type Ti&lt;a8&gt;CMo alloys with changeable Young&lt;a2&gt;&lt;af&gt;s modulus for spinal fixation applications</t>
  </si>
  <si>
    <t>10.1016/j.actbio.2012.02.006</t>
  </si>
  <si>
    <t>Beta type Ti&lt;a8&gt;CMo alloys with changeable Young&lt;a3&gt;&lt;af&gt;s modulus for spinal fixation applications</t>
  </si>
  <si>
    <t>10.1016/j.actbio.2012.02.007</t>
  </si>
  <si>
    <t>Beta type Ti&lt;a8&gt;CMo alloys with changeable Young&lt;a4&gt;&lt;af&gt;s modulus for spinal fixation applications</t>
  </si>
  <si>
    <t>10.1016/j.matlet.2010.11.006</t>
  </si>
  <si>
    <t>Self-adjustment of Young's modulus in biomedical titanium alloys during orthopaedic operation</t>
  </si>
  <si>
    <t>10.1016/j.actbio.2012.02.010</t>
  </si>
  <si>
    <t>Optimization of Cr content of metastable &lt;a6&gt;&lt;c2&gt;-type Ti&lt;a8&gt;CCr alloys with changeable Young&lt;a1&gt;&lt;af&gt;s modulus for spinal fixation applications</t>
  </si>
  <si>
    <t>10.1016/j.actbio.2012.02.011</t>
  </si>
  <si>
    <t>Optimization of Cr content of metastable &lt;a6&gt;&lt;c2&gt;-type Ti&lt;a8&gt;CCr alloys with changeable Young&lt;a2&gt;&lt;af&gt;s modulus for spinal fixation applications</t>
  </si>
  <si>
    <t>10.1016/j.actbio.2012.02.012</t>
  </si>
  <si>
    <t>Optimization of Cr content of metastable &lt;a6&gt;&lt;c2&gt;-type Ti&lt;a8&gt;CCr alloys with changeable Young&lt;a3&gt;&lt;af&gt;s modulus for spinal fixation applications</t>
  </si>
  <si>
    <t>10.1016/j.actbio.2012.02.013</t>
  </si>
  <si>
    <t>Optimization of Cr content of metastable &lt;a6&gt;&lt;c2&gt;-type Ti&lt;a8&gt;CCr alloys with changeable Young&lt;a4&gt;&lt;af&gt;s modulus for spinal fixation applications</t>
  </si>
  <si>
    <t>10.1016/j.actbio.2012.02.014</t>
  </si>
  <si>
    <t>Optimization of Cr content of metastable &lt;a6&gt;&lt;c2&gt;-type Ti&lt;a8&gt;CCr alloys with changeable Young&lt;a5&gt;&lt;af&gt;s modulus for spinal fixation applications</t>
  </si>
  <si>
    <t>删除，研究氧含量变化对性能的影响</t>
    <phoneticPr fontId="2" type="noConversion"/>
  </si>
  <si>
    <t>Strengthening effects of Al element on strength and impact toughness in titanium alloy</t>
    <phoneticPr fontId="2" type="noConversion"/>
  </si>
  <si>
    <t>TNZ</t>
  </si>
  <si>
    <t>10.1016/j.jmrt.2019.12.062</t>
  </si>
  <si>
    <t>Cold rolling deformation and annealing behavior of a &lt;a6&gt;&lt;c2&gt;-type Ti&lt;a8&gt;C34Nb&lt;a8&gt;C25Zr titanium alloy for biomedical applications</t>
  </si>
  <si>
    <t>10.1016/j.jmrt.2019.12.063</t>
  </si>
  <si>
    <t>Cold rolling deformation and annealing behavior of a &lt;a6&gt;&lt;c2&gt;-type Ti&lt;a8&gt;C34Nb&lt;a8&gt;C26Zr titanium alloy for biomedical applications</t>
  </si>
  <si>
    <t>10.1016/j.jmrt.2019.12.064</t>
  </si>
  <si>
    <t>Cold rolling deformation and annealing behavior of a &lt;a6&gt;&lt;c2&gt;-type Ti&lt;a8&gt;C34Nb&lt;a8&gt;C27Zr titanium alloy for biomedical applications</t>
  </si>
  <si>
    <t>10.1016/j.jmrt.2019.12.065</t>
  </si>
  <si>
    <t>Cold rolling deformation and annealing behavior of a &lt;a6&gt;&lt;c2&gt;-type Ti&lt;a8&gt;C34Nb&lt;a8&gt;C28Zr titanium alloy for biomedical applications</t>
  </si>
  <si>
    <t>10.1016/j.jmrt.2019.12.066</t>
  </si>
  <si>
    <t>Cold rolling deformation and annealing behavior of a &lt;a6&gt;&lt;c2&gt;-type Ti&lt;a8&gt;C34Nb&lt;a8&gt;C29Zr titanium alloy for biomedical applications</t>
  </si>
  <si>
    <t>10.1016/j.jmrt.2019.12.067</t>
  </si>
  <si>
    <t>Cold rolling deformation and annealing behavior of a &lt;a6&gt;&lt;c2&gt;-type Ti&lt;a8&gt;C34Nb&lt;a8&gt;C30Zr titanium alloy for biomedical applications</t>
  </si>
  <si>
    <t>\</t>
  </si>
  <si>
    <r>
      <t xml:space="preserve">Coupling effect of loading mode and temperature on the deformation behaviors of TWIP 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 xml:space="preserve"> Ti alloy: From superior tensile strength-ductility synergy to low Charpy impact toughness</t>
    </r>
    <phoneticPr fontId="2" type="noConversion"/>
  </si>
  <si>
    <t>293k</t>
    <phoneticPr fontId="2" type="noConversion"/>
  </si>
  <si>
    <t>10.1007/s10853-022-06984-5</t>
  </si>
  <si>
    <t>Relationship between various deformation-induced products and mechanical properties in metastable Ti&lt;a8&gt;C30Zr&lt;a11&gt;CMo alloys for biomedical applications</t>
  </si>
  <si>
    <t>Mechanical properties and corrosion resistance improvement of TiAlSnMo alloys via Mo addition - ScienceDirect</t>
  </si>
  <si>
    <t>10.2320/matertrans.46.1070</t>
  </si>
  <si>
    <t>Beta TiNbSn Alloys with Low Young&lt;a1&gt;&lt;af&gt;s Modulus and High Strength</t>
  </si>
  <si>
    <t>10.2320/matertrans.46.1071</t>
  </si>
  <si>
    <t>Beta TiNbSn Alloys with Low Young&lt;a2&gt;&lt;af&gt;s Modulus and High Strength</t>
  </si>
  <si>
    <t>10.2320/matertrans.46.1072</t>
  </si>
  <si>
    <t>Beta TiNbSn Alloys with Low Young&lt;a3&gt;&lt;af&gt;s Modulus and High Strength</t>
  </si>
  <si>
    <t>10.2320/matertrans.46.1073</t>
  </si>
  <si>
    <t>Beta TiNbSn Alloys with Low Young&lt;a4&gt;&lt;af&gt;s Modulus and High Strength</t>
  </si>
  <si>
    <t>10.2320/matertrans.46.1074</t>
  </si>
  <si>
    <t>Beta TiNbSn Alloys with Low Young&lt;a5&gt;&lt;af&gt;s Modulus and High Strength</t>
  </si>
  <si>
    <t>10.2320/matertrans.46.1075</t>
  </si>
  <si>
    <t>Beta TiNbSn Alloys with Low Young&lt;a6&gt;&lt;af&gt;s Modulus and High Strength</t>
  </si>
  <si>
    <t>10.1016/j.matdes.2017.04.014</t>
  </si>
  <si>
    <t>Controlled nanoscale precipitation to enhance the mechanical and biological performances of a metastable &lt;a6&gt;&lt;c2&gt; Ti-Nb-Sn alloy for orthopedic applications</t>
  </si>
  <si>
    <t>10.1016/j.matdes.2017.04.015</t>
  </si>
  <si>
    <t>Controlled nanoscale precipitation to enhance the mechanical and biological performances of a metastable &lt;a6&gt;&lt;c3&gt; Ti-Nb-Sn alloy for orthopedic applications</t>
  </si>
  <si>
    <t>10.1016/j.matdes.2017.04.016</t>
  </si>
  <si>
    <t>Controlled nanoscale precipitation to enhance the mechanical and biological performances of a metastable &lt;a6&gt;&lt;c4&gt; Ti-Nb-Sn alloy for orthopedic applications</t>
  </si>
  <si>
    <t>10.1016/j.jallcom.2007.10.056</t>
  </si>
  <si>
    <t>A comparison of tensile properties and corrosion behavior of cast Ti&lt;a8&gt;C7.5Mo with c.p. Ti, Ti&lt;a8&gt;C15Mo and Ti&lt;a8&gt;C6Al&lt;a8&gt;C6V alloys</t>
  </si>
  <si>
    <t>10.1016/j.jmst.2023.01.062</t>
  </si>
  <si>
    <t>10.1016/j.jmst.2023.01.063</t>
  </si>
  <si>
    <t>10.1016/j.jmst.2023.01.064</t>
  </si>
  <si>
    <t>10.1016/j.jmst.2023.01.065</t>
  </si>
  <si>
    <t>10.1016/j.jmst.2023.01.066</t>
  </si>
  <si>
    <t>10.1016/j.jmst.2023.01.067</t>
  </si>
  <si>
    <t>10.1016/j.msea.2021.141741</t>
  </si>
  <si>
    <t>Effect of Nb on microstructure and mechanical properties of Ti-xNb-4Zr&lt;a8&gt;C8Sn alloys</t>
  </si>
  <si>
    <t>10.1016/S0921-5093(97)00806-X</t>
  </si>
  <si>
    <t>Mechanical properties of biomedical titanium alloys</t>
  </si>
  <si>
    <t>10.1016/S0921-5093(97)00807-X</t>
  </si>
  <si>
    <t>10.1016/j.msea.2006.11.022</t>
  </si>
  <si>
    <t>α′ Martensite Ti–V–Sn alloys with low Young's modulus and high strength</t>
  </si>
  <si>
    <t>10.1016/j.msea.2006.11.023</t>
  </si>
  <si>
    <t>10.1016/j.msea.2006.11.024</t>
  </si>
  <si>
    <t>10.1016/j.msea.2006.11.025</t>
  </si>
  <si>
    <r>
      <t xml:space="preserve">Enhancement of impact toughness of 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>-type Ti–Mo alloy by {332}&lt;113&gt; twinning</t>
    </r>
    <phoneticPr fontId="2" type="noConversion"/>
  </si>
  <si>
    <t xml:space="preserve">Impact toughness and deformation modes of Ti–6Al–4V alloy with different microstructures </t>
    <phoneticPr fontId="2" type="noConversion"/>
  </si>
  <si>
    <r>
      <t xml:space="preserve">FC to 700 </t>
    </r>
    <r>
      <rPr>
        <sz val="14"/>
        <color rgb="FF111111"/>
        <rFont val="Segoe UI Symbol"/>
        <family val="2"/>
      </rPr>
      <t>◦</t>
    </r>
    <r>
      <rPr>
        <sz val="14"/>
        <color rgb="FF111111"/>
        <rFont val="Arial"/>
        <family val="2"/>
      </rPr>
      <t>C and then AC to RT</t>
    </r>
    <phoneticPr fontId="2" type="noConversion"/>
  </si>
  <si>
    <t>Effect of microstructure on impact fracture mechanism of a high-strength Ti-5Al-7.5V-0.5Si-0.25Fe-0.2O alloy</t>
    <phoneticPr fontId="2" type="noConversion"/>
  </si>
  <si>
    <t>68?</t>
  </si>
  <si>
    <t>752?</t>
  </si>
  <si>
    <t>10.1016/j.msea.2021.141742</t>
  </si>
  <si>
    <t>Effect of Nb on microstructure and mechanical properties of Ti-xNb-4Zr&lt;a8&gt;C9Sn alloys</t>
  </si>
  <si>
    <t>63?</t>
  </si>
  <si>
    <t>735?</t>
  </si>
  <si>
    <t>410?</t>
  </si>
  <si>
    <t>10.1016/j.msea.2021.141743</t>
  </si>
  <si>
    <t>Effect of Nb on microstructure and mechanical properties of Ti-xNb-4Zr&lt;a8&gt;C10Sn alloys</t>
  </si>
  <si>
    <t>45?</t>
  </si>
  <si>
    <t>674?</t>
  </si>
  <si>
    <t>200?</t>
  </si>
  <si>
    <t>12.9?</t>
  </si>
  <si>
    <t>10.1016/j.msea.2021.141744</t>
  </si>
  <si>
    <t>Effect of Nb on microstructure and mechanical properties of Ti-xNb-4Zr&lt;a8&gt;C11Sn alloys</t>
  </si>
  <si>
    <t>60?</t>
  </si>
  <si>
    <t>570?</t>
  </si>
  <si>
    <t>10.1016/j.msea.2021.141745</t>
  </si>
  <si>
    <t>Effect of Nb on microstructure and mechanical properties of Ti-xNb-4Zr&lt;a8&gt;C12Sn alloys</t>
  </si>
  <si>
    <t>69?</t>
  </si>
  <si>
    <t>557?</t>
  </si>
  <si>
    <t>10.1016/j.msea.2021.141746</t>
  </si>
  <si>
    <t>Effect of Nb on microstructure and mechanical properties of Ti-xNb-4Zr&lt;a8&gt;C13Sn alloys</t>
  </si>
  <si>
    <t>TNZS</t>
  </si>
  <si>
    <t>10.1016/j.jmst.2017.04.017</t>
  </si>
  <si>
    <t>Microstructure, texture evolution and mechanical properties of cold rolled Ti-32.5Nb-6.8Zr-2.7Sn biomedical beta titanium alloy</t>
  </si>
  <si>
    <t>10.1016/j.jmst.2017.04.018</t>
  </si>
  <si>
    <t>Microstructure, texture evolution and mechanical properties of cold rolled Ti-32.5Nb-6.8Zr-2.8Sn biomedical beta titanium alloy</t>
  </si>
  <si>
    <t>10.1016/j.jmst.2017.04.019</t>
  </si>
  <si>
    <t>Microstructure, texture evolution and mechanical properties of cold rolled Ti-32.5Nb-6.8Zr-2.9Sn biomedical beta titanium alloy</t>
  </si>
  <si>
    <t>10.1016/j.msec.2015.12.076</t>
  </si>
  <si>
    <t>Development of a new &lt;a6&gt;&lt;c2&gt; Ti alloy with low modulus and favorable plasticity for implant material</t>
  </si>
  <si>
    <t>10.1016/j.msec.2015.12.077</t>
  </si>
  <si>
    <t>Development of a new &lt;a6&gt;&lt;c3&gt; Ti alloy with low modulus and favorable plasticity for implant material</t>
  </si>
  <si>
    <t>10.1007/s10853-022-06984-6</t>
  </si>
  <si>
    <t>Relationship between various deformation-induced products and mechanical properties in metastable Ti&lt;a8&gt;C30Zr&lt;a12&gt;CMo alloys for biomedical applications</t>
  </si>
  <si>
    <t>10.1007/s10853-022-06984-7</t>
  </si>
  <si>
    <t>Relationship between various deformation-induced products and mechanical properties in metastable Ti&lt;a8&gt;C30Zr&lt;a13&gt;CMo alloys for biomedical applications</t>
  </si>
  <si>
    <t>10.1007/s10853-022-06984-8</t>
  </si>
  <si>
    <t>Relationship between various deformation-induced products and mechanical properties in metastable Ti&lt;a8&gt;C30Zr&lt;a14&gt;CMo alloys for biomedical applications</t>
  </si>
  <si>
    <t>10.1007/s10853-022-06984-9</t>
  </si>
  <si>
    <t>Relationship between various deformation-induced products and mechanical properties in metastable Ti&lt;a8&gt;C30Zr&lt;a15&gt;CMo alloys for biomedical applications</t>
  </si>
  <si>
    <t>10.1016/j.jallcom.2024.175753</t>
  </si>
  <si>
    <t>10.1016/j.jallcom.2024.175754</t>
  </si>
  <si>
    <t>10.1016/j.jallcom.2024.175755</t>
  </si>
  <si>
    <t>10.1007/s41230-023-2071-0</t>
  </si>
  <si>
    <t>High-strength Ti-Al-V-Zr cast alloys designed using α and β cluster formulas | China Foundry (springer.com)</t>
  </si>
  <si>
    <t>10.1007/s41230-023-2071-1</t>
  </si>
  <si>
    <t>10.1007/s41230-023-2071-2</t>
  </si>
  <si>
    <t>10.1007/s41230-023-2071-3</t>
  </si>
  <si>
    <t>10.1007/s41230-023-2071-4</t>
  </si>
  <si>
    <t>10.1007/s41230-023-2071-5</t>
  </si>
  <si>
    <t>10.1007/s41230-023-2071-6</t>
  </si>
  <si>
    <t>10.1016/j.jmbbm.2011.06.020</t>
  </si>
  <si>
    <t>Relationship between various deformation-induced products and mechanical properties in metastable Ti&lt;a8&gt;C30Zr&lt;a8&gt;CMo alloys for biomedical applications</t>
  </si>
  <si>
    <t>10.1016/j.jmbbm.2011.06.021</t>
  </si>
  <si>
    <t>Relationship between various deformation-induced products and mechanical properties in metastable Ti&lt;a8&gt;C30Zr&lt;a9&gt;CMo alloys for biomedical applications</t>
  </si>
  <si>
    <t>10.1016/j.jmbbm.2011.06.022</t>
  </si>
  <si>
    <t>Relationship between various deformation-induced products and mechanical properties in metastable Ti&lt;a8&gt;C30Zr&lt;a10&gt;CMo alloys for biomedical applications</t>
  </si>
  <si>
    <t>ct20</t>
  </si>
  <si>
    <r>
      <t xml:space="preserve">Charpy impact behaviors of metastable 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>-Ti alloys: Transformation induce plasticity versus twining induce plasticity</t>
    </r>
    <phoneticPr fontId="2" type="noConversion"/>
  </si>
  <si>
    <r>
      <t xml:space="preserve">Comparative research on Charpy impact behaviors of a novel TRIP Ti alloy with single 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 xml:space="preserve"> and </t>
    </r>
    <r>
      <rPr>
        <sz val="11"/>
        <color theme="1"/>
        <rFont val="Calibri"/>
        <family val="3"/>
        <charset val="161"/>
      </rPr>
      <t>α</t>
    </r>
    <r>
      <rPr>
        <sz val="11"/>
        <color theme="1"/>
        <rFont val="宋体"/>
        <family val="3"/>
        <charset val="134"/>
      </rPr>
      <t xml:space="preserve"> + 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 xml:space="preserve"> dual phase</t>
    </r>
    <phoneticPr fontId="2" type="noConversion"/>
  </si>
  <si>
    <t>10.1016/j.msea.2017.01.047</t>
  </si>
  <si>
    <t>Effects of Nb and Zr on structural stabilities of Ti-Mo-Sn-based alloys with low modulus</t>
  </si>
  <si>
    <t>10.1016/j.msea.2017.01.048</t>
  </si>
  <si>
    <t>10.1016/j.msea.2017.01.049</t>
  </si>
  <si>
    <t>10.1016/j.msea.2017.01.050</t>
  </si>
  <si>
    <t>10.1016/j.msea.2017.01.051</t>
  </si>
  <si>
    <t>10.1016/j.msea.2017.01.052</t>
  </si>
  <si>
    <t>10.1016/j.msea.2013.03.032</t>
  </si>
  <si>
    <t>Effects of cold deformation on microstructure and mechanical properties of Ti-35Nb-9Zr-6Mo-4Sn alloy for biomedical applications</t>
  </si>
  <si>
    <t>热锻</t>
    <phoneticPr fontId="2" type="noConversion"/>
  </si>
  <si>
    <t>10.1016/j.msea.2013.03.033</t>
  </si>
  <si>
    <t>Effects of cold deformation on microstructure and mechanical properties of Ti-35Nb-9Zr-6Mo-5Sn alloy for biomedical applications</t>
  </si>
  <si>
    <t>冷轧变形量对合金性能的影响</t>
    <phoneticPr fontId="2" type="noConversion"/>
  </si>
  <si>
    <t>10.1016/j.msea.2013.03.034</t>
  </si>
  <si>
    <t>Effects of cold deformation on microstructure and mechanical properties of Ti-35Nb-9Zr-6Mo-6Sn alloy for biomedical applications</t>
  </si>
  <si>
    <t>10.1016/j.msea.2013.03.035</t>
  </si>
  <si>
    <t>Effects of cold deformation on microstructure and mechanical properties of Ti-35Nb-9Zr-6Mo-7Sn alloy for biomedical applications</t>
  </si>
  <si>
    <t>10.1016/j.msea.2013.03.036</t>
  </si>
  <si>
    <t>Effects of cold deformation on microstructure and mechanical properties of Ti-35Nb-9Zr-6Mo-8Sn alloy for biomedical applications</t>
  </si>
  <si>
    <t>10.1016/j.jallcom.2007.10.057</t>
  </si>
  <si>
    <t>Effect of solution temperature on microstructures and tensile properties of high strength Ti&lt;a8&gt;C6Cr&lt;a8&gt;C5Mo&lt;a8&gt;C5V&lt;a8&gt;C4Al alloy</t>
  </si>
  <si>
    <t>10.1016/j.jallcom.2007.10.058</t>
  </si>
  <si>
    <t>Effect of solution temperature on microstructures and tensile properties of high strength Ti&lt;a8&gt;C6Cr&lt;a8&gt;C5Mo&lt;a8&gt;C5V&lt;a8&gt;C5Al alloy</t>
  </si>
  <si>
    <t>10.1016/j.jallcom.2007.10.059</t>
  </si>
  <si>
    <t>Effect of solution temperature on microstructures and tensile properties of high strength Ti&lt;a8&gt;C6Cr&lt;a8&gt;C5Mo&lt;a8&gt;C5V&lt;a8&gt;C6Al alloy</t>
  </si>
  <si>
    <t>10.1016/j.jallcom.2007.10.060</t>
  </si>
  <si>
    <t>Effect of solution temperature on microstructures and tensile properties of high strength Ti&lt;a8&gt;C6Cr&lt;a8&gt;C5Mo&lt;a8&gt;C5V&lt;a8&gt;C7Al alloy</t>
  </si>
  <si>
    <t>10.1016/j.jallcom.2007.10.061</t>
  </si>
  <si>
    <t>Effect of solution temperature on microstructures and tensile properties of high strength Ti&lt;a8&gt;C6Cr&lt;a8&gt;C5Mo&lt;a8&gt;C5V&lt;a8&gt;C8Al alloy</t>
  </si>
  <si>
    <t>10.1016/j.jallcom.2007.10.062</t>
  </si>
  <si>
    <t>Effect of solution temperature on microstructures and tensile properties of high strength Ti&lt;a8&gt;C6Cr&lt;a8&gt;C5Mo&lt;a8&gt;C5V&lt;a8&gt;C9Al alloy</t>
  </si>
  <si>
    <t>10.1016/j.jallcom.2007.10.063</t>
  </si>
  <si>
    <t>Effect of solution temperature on microstructures and tensile properties of high strength Ti&lt;a8&gt;C6Cr&lt;a8&gt;C5Mo&lt;a8&gt;C5V&lt;a8&gt;C10Al alloy</t>
  </si>
  <si>
    <t>10.1016/j.jallcom.2007.10.064</t>
  </si>
  <si>
    <t>Effect of solution temperature on microstructures and tensile properties of high strength Ti&lt;a8&gt;C6Cr&lt;a8&gt;C5Mo&lt;a8&gt;C5V&lt;a8&gt;C11Al alloy</t>
  </si>
  <si>
    <t>10.1016/j.jallcom.2007.10.065</t>
  </si>
  <si>
    <t>Effect of solution temperature on microstructures and tensile properties of high strength Ti&lt;a8&gt;C6Cr&lt;a8&gt;C5Mo&lt;a8&gt;C5V&lt;a8&gt;C12Al alloy</t>
  </si>
  <si>
    <t>10.1016/j.jallcom.2007.10.066</t>
  </si>
  <si>
    <t>Effect of solution temperature on microstructures and tensile properties of high strength Ti&lt;a8&gt;C6Cr&lt;a8&gt;C5Mo&lt;a8&gt;C5V&lt;a8&gt;C13Al alloy</t>
  </si>
  <si>
    <t>10.1016/j.jallcom.2007.10.067</t>
  </si>
  <si>
    <t>Effect of solution temperature on microstructures and tensile properties of high strength Ti&lt;a8&gt;C6Cr&lt;a8&gt;C5Mo&lt;a8&gt;C5V&lt;a8&gt;C14Al alloy</t>
  </si>
  <si>
    <t>10.1016/j.jallcom.2007.10.068</t>
  </si>
  <si>
    <t>Effect of solution temperature on microstructures and tensile properties of high strength Ti&lt;a8&gt;C6Cr&lt;a8&gt;C5Mo&lt;a8&gt;C5V&lt;a8&gt;C15Al alloy</t>
  </si>
  <si>
    <t>10.1016/j.jallcom.2007.10.069</t>
  </si>
  <si>
    <t>Effect of solution temperature on microstructures and tensile properties of high strength Ti&lt;a8&gt;C6Cr&lt;a8&gt;C5Mo&lt;a8&gt;C5V&lt;a8&gt;C16Al alloy</t>
  </si>
  <si>
    <t>10.1016/j.jallcom.2007.10.070</t>
  </si>
  <si>
    <t>Effect of solution temperature on microstructures and tensile properties of high strength Ti&lt;a8&gt;C6Cr&lt;a8&gt;C5Mo&lt;a8&gt;C5V&lt;a8&gt;C17Al alloy</t>
  </si>
  <si>
    <t>10.1016/j.jallcom.2007.10.071</t>
  </si>
  <si>
    <t>Effect of solution temperature on microstructures and tensile properties of high strength Ti&lt;a8&gt;C6Cr&lt;a8&gt;C5Mo&lt;a8&gt;C5V&lt;a8&gt;C18Al alloy</t>
  </si>
  <si>
    <t>10.1016/j.jallcom.2007.10.072</t>
  </si>
  <si>
    <t>Effect of solution temperature on microstructures and tensile properties of high strength Ti&lt;a8&gt;C6Cr&lt;a8&gt;C5Mo&lt;a8&gt;C5V&lt;a8&gt;C19Al alloy</t>
  </si>
  <si>
    <t>10.1016/j.jallcom.2007.10.073</t>
  </si>
  <si>
    <t>Effect of solution temperature on microstructures and tensile properties of high strength Ti&lt;a8&gt;C6Cr&lt;a8&gt;C5Mo&lt;a8&gt;C5V&lt;a8&gt;C20Al alloy</t>
  </si>
  <si>
    <t>10.1016/j.jallcom.2007.10.074</t>
  </si>
  <si>
    <t>Effect of solution temperature on microstructures and tensile properties of high strength Ti&lt;a8&gt;C6Cr&lt;a8&gt;C5Mo&lt;a8&gt;C5V&lt;a8&gt;C21Al alloy</t>
  </si>
  <si>
    <t>10.1016/j.jallcom.2007.10.075</t>
  </si>
  <si>
    <t>Effect of solution temperature on microstructures and tensile properties of high strength Ti&lt;a8&gt;C6Cr&lt;a8&gt;C5Mo&lt;a8&gt;C5V&lt;a8&gt;C22Al alloy</t>
  </si>
  <si>
    <t>10.1016/j.jallcom.2007.10.076</t>
  </si>
  <si>
    <t>Effect of solution temperature on microstructures and tensile properties of high strength Ti&lt;a8&gt;C6Cr&lt;a8&gt;C5Mo&lt;a8&gt;C5V&lt;a8&gt;C23Al alloy</t>
  </si>
  <si>
    <t xml:space="preserve">Ti-652 </t>
  </si>
  <si>
    <r>
      <t xml:space="preserve">Dot-dash grain boundary </t>
    </r>
    <r>
      <rPr>
        <sz val="11"/>
        <color theme="1"/>
        <rFont val="Calibri"/>
        <family val="3"/>
        <charset val="161"/>
      </rPr>
      <t>α</t>
    </r>
    <r>
      <rPr>
        <sz val="11"/>
        <color theme="1"/>
        <rFont val="宋体"/>
        <family val="3"/>
        <charset val="134"/>
      </rPr>
      <t>: A new strategy for improving impact toughness of dual-phase Ti-652 alloy</t>
    </r>
    <phoneticPr fontId="2" type="noConversion"/>
  </si>
  <si>
    <t>0.3Si</t>
    <phoneticPr fontId="2" type="noConversion"/>
  </si>
  <si>
    <t>Mechanical behavior and impact toughness of the ultrafine-grained VT8M-1 alloy</t>
    <phoneticPr fontId="2" type="noConversion"/>
  </si>
  <si>
    <t>冲击韧性是KCV</t>
    <phoneticPr fontId="2" type="noConversion"/>
  </si>
  <si>
    <t>Mechanical behavior and impact toughness of the ultrafine-grained Grade 5 Ti alloy processed by ECAP</t>
    <phoneticPr fontId="2" type="noConversion"/>
  </si>
  <si>
    <t>0.039Si</t>
    <phoneticPr fontId="2" type="noConversion"/>
  </si>
  <si>
    <t>先挤压再锻造，热加工得到粗晶和细晶</t>
    <phoneticPr fontId="2" type="noConversion"/>
  </si>
  <si>
    <t>coated cooling </t>
  </si>
  <si>
    <t>增材制造</t>
    <phoneticPr fontId="2" type="noConversion"/>
  </si>
  <si>
    <t>Research on the related between microstructures and impact toughness of Ti80 alloy</t>
    <phoneticPr fontId="2" type="noConversion"/>
  </si>
  <si>
    <t>增加两条数据</t>
    <phoneticPr fontId="2" type="noConversion"/>
  </si>
  <si>
    <t>Study on the intrinsic factors determining impact toughness of TC21 alloy</t>
    <phoneticPr fontId="2" type="noConversion"/>
  </si>
  <si>
    <t>Ti-55531</t>
  </si>
  <si>
    <t>Relationships between microstructure and mechanical properties of Ti-5Al-5Mo-5V-3Cr-1Zr alloy</t>
    <phoneticPr fontId="2" type="noConversion"/>
  </si>
  <si>
    <t>退火炉冷至580</t>
    <phoneticPr fontId="2" type="noConversion"/>
  </si>
  <si>
    <t>三段式热处理：在855℃固溶处理30 min，然后分别在700、730和760℃退火30 min，最后在600℃时效6 h</t>
  </si>
  <si>
    <r>
      <t xml:space="preserve">Influence of Heat Treatment on Microstructure and Mechanical Characteristics of the Titanium Alloy Ti-5Al-5 V-2Mo-Cr with Metastable </t>
    </r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>-Phase</t>
    </r>
    <phoneticPr fontId="2" type="noConversion"/>
  </si>
  <si>
    <t>750℃/1 h退火，然后在炉中加热至800℃和860℃，水淬</t>
    <phoneticPr fontId="2" type="noConversion"/>
  </si>
  <si>
    <t>Ti-5321</t>
  </si>
  <si>
    <t>Microstructure tailoring and impact toughness of a newly developed high strength Ti-5Al-3Mo-3V-2Cr-2Zr-1Nb-1Fe alloy</t>
    <phoneticPr fontId="2" type="noConversion"/>
  </si>
  <si>
    <t>furnace cooling (0.1 ◦C/s) to 570 ◦C</t>
  </si>
  <si>
    <r>
      <t xml:space="preserve">furnace cooling (0.01 </t>
    </r>
    <r>
      <rPr>
        <sz val="11"/>
        <color theme="1"/>
        <rFont val="Segoe UI Symbol"/>
        <family val="1"/>
      </rPr>
      <t>◦</t>
    </r>
    <r>
      <rPr>
        <sz val="11"/>
        <color theme="1"/>
        <rFont val="宋体"/>
        <family val="3"/>
        <charset val="134"/>
      </rPr>
      <t xml:space="preserve">C/s) to 700 </t>
    </r>
    <r>
      <rPr>
        <sz val="11"/>
        <color theme="1"/>
        <rFont val="Segoe UI Symbol"/>
        <family val="1"/>
      </rPr>
      <t>◦</t>
    </r>
    <r>
      <rPr>
        <sz val="11"/>
        <color theme="1"/>
        <rFont val="宋体"/>
        <family val="3"/>
        <charset val="134"/>
      </rPr>
      <t>C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</si>
</sst>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3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FF0000"/>
      <name val="Times New Roman"/>
      <family val="1"/>
    </font>
    <font>
      <sz val="11"/>
      <name val="等线"/>
      <family val="3"/>
      <charset val="134"/>
      <scheme val="minor"/>
    </font>
    <font>
      <sz val="11"/>
      <name val="Times New Roman"/>
      <family val="1"/>
    </font>
    <font>
      <sz val="11"/>
      <name val="Times New Roman"/>
      <family val="2"/>
      <charset val="134"/>
    </font>
    <font>
      <sz val="11"/>
      <name val="等线"/>
      <family val="2"/>
      <charset val="134"/>
    </font>
    <font>
      <sz val="11"/>
      <name val="宋体"/>
      <family val="1"/>
      <charset val="134"/>
    </font>
    <font>
      <sz val="11"/>
      <color rgb="FF000000"/>
      <name val="Times New Roman"/>
      <family val="1"/>
    </font>
    <font>
      <sz val="11"/>
      <color rgb="FF000000"/>
      <name val="等线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1"/>
      <name val="等线"/>
      <family val="3"/>
      <charset val="134"/>
    </font>
    <font>
      <sz val="11"/>
      <color rgb="FF8B8B8B"/>
      <name val="Segoe UI"/>
      <family val="2"/>
    </font>
    <font>
      <sz val="11"/>
      <color rgb="FF49494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404040"/>
      <name val="Courier New"/>
      <family val="3"/>
    </font>
    <font>
      <sz val="11"/>
      <color rgb="FFC00000"/>
      <name val="等线"/>
      <family val="2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Segoe UI"/>
      <family val="2"/>
    </font>
    <font>
      <sz val="11"/>
      <color rgb="FFFF0000"/>
      <name val="Courier New"/>
      <family val="3"/>
    </font>
    <font>
      <sz val="11"/>
      <color rgb="FFFF0000"/>
      <name val="Times New Roman"/>
      <family val="1"/>
    </font>
    <font>
      <sz val="11"/>
      <color theme="1"/>
      <name val="Calibri"/>
      <family val="3"/>
      <charset val="161"/>
    </font>
    <font>
      <sz val="14"/>
      <color rgb="FF111111"/>
      <name val="Arial"/>
      <family val="2"/>
    </font>
    <font>
      <sz val="14"/>
      <color rgb="FF111111"/>
      <name val="Segoe UI Symbol"/>
      <family val="2"/>
    </font>
    <font>
      <sz val="11"/>
      <color rgb="FFC00000"/>
      <name val="Times New Roman"/>
      <family val="1"/>
    </font>
    <font>
      <sz val="11"/>
      <color theme="1"/>
      <name val="Segoe UI Symbol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fill" vertical="center"/>
    </xf>
    <xf numFmtId="0" fontId="0" fillId="0" borderId="0" xfId="0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5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0" fillId="5" borderId="0" xfId="0" applyFill="1">
      <alignment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3" fillId="5" borderId="5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fill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fill" vertical="center"/>
    </xf>
    <xf numFmtId="0" fontId="13" fillId="2" borderId="5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176" fontId="12" fillId="0" borderId="6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0" fillId="0" borderId="20" xfId="0" applyBorder="1">
      <alignment vertical="center"/>
    </xf>
    <xf numFmtId="176" fontId="12" fillId="0" borderId="13" xfId="0" applyNumberFormat="1" applyFont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16" fillId="5" borderId="6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/>
    <xf numFmtId="0" fontId="3" fillId="0" borderId="2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fill" vertical="center"/>
    </xf>
    <xf numFmtId="0" fontId="20" fillId="0" borderId="0" xfId="0" applyFont="1">
      <alignment vertical="center"/>
    </xf>
    <xf numFmtId="0" fontId="26" fillId="0" borderId="0" xfId="0" applyFo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>
      <alignment vertical="center"/>
    </xf>
    <xf numFmtId="0" fontId="13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>
      <alignment vertical="center"/>
    </xf>
    <xf numFmtId="0" fontId="7" fillId="0" borderId="13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12" fillId="0" borderId="14" xfId="0" applyFont="1" applyBorder="1" applyAlignment="1">
      <alignment horizontal="fill" vertical="center"/>
    </xf>
    <xf numFmtId="0" fontId="12" fillId="0" borderId="5" xfId="0" applyFont="1" applyBorder="1" applyAlignment="1">
      <alignment horizontal="fill" vertical="center"/>
    </xf>
    <xf numFmtId="0" fontId="28" fillId="0" borderId="13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22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2" fillId="0" borderId="23" xfId="0" applyFont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A472-9720-4BA3-96E2-A0710C0A96CE}">
  <dimension ref="A1:BI1207"/>
  <sheetViews>
    <sheetView tabSelected="1" workbookViewId="0">
      <pane ySplit="2" topLeftCell="A3" activePane="bottomLeft" state="frozen"/>
      <selection pane="bottomLeft" activeCell="M4" sqref="M4"/>
    </sheetView>
  </sheetViews>
  <sheetFormatPr defaultColWidth="9.125" defaultRowHeight="14.25"/>
  <cols>
    <col min="13" max="13" width="15.125" customWidth="1"/>
    <col min="41" max="41" width="15.125" customWidth="1"/>
  </cols>
  <sheetData>
    <row r="1" spans="1:61" ht="39.950000000000003" customHeight="1">
      <c r="A1" s="169" t="s">
        <v>0</v>
      </c>
      <c r="B1" s="179" t="s">
        <v>1</v>
      </c>
      <c r="C1" s="174" t="s">
        <v>3</v>
      </c>
      <c r="D1" s="175"/>
      <c r="E1" s="175"/>
      <c r="F1" s="175"/>
      <c r="G1" s="175"/>
      <c r="H1" s="175"/>
      <c r="I1" s="175"/>
      <c r="J1" s="175"/>
      <c r="K1" s="175"/>
      <c r="L1" s="176"/>
      <c r="M1" s="89"/>
      <c r="N1" s="89"/>
      <c r="O1" s="89"/>
      <c r="P1" s="2" t="s">
        <v>4</v>
      </c>
      <c r="Q1" s="172" t="s">
        <v>5</v>
      </c>
      <c r="R1" s="170"/>
      <c r="S1" s="170"/>
      <c r="T1" s="174" t="s">
        <v>6</v>
      </c>
      <c r="U1" s="175"/>
      <c r="V1" s="176"/>
      <c r="W1" s="174" t="s">
        <v>7</v>
      </c>
      <c r="X1" s="175"/>
      <c r="Y1" s="176"/>
      <c r="Z1" s="172" t="s">
        <v>8</v>
      </c>
      <c r="AA1" s="170"/>
      <c r="AB1" s="170"/>
      <c r="AC1" s="170"/>
      <c r="AD1" s="170"/>
      <c r="AE1" s="170"/>
      <c r="AF1" s="173"/>
      <c r="AG1" s="172" t="s">
        <v>9</v>
      </c>
      <c r="AH1" s="173"/>
      <c r="AI1" s="174" t="s">
        <v>10</v>
      </c>
      <c r="AJ1" s="175"/>
      <c r="AK1" s="175"/>
      <c r="AL1" s="176"/>
      <c r="AM1" s="2" t="s">
        <v>11</v>
      </c>
      <c r="AN1" s="177" t="s">
        <v>12</v>
      </c>
      <c r="AO1" s="167" t="s">
        <v>13</v>
      </c>
      <c r="AP1" s="167" t="s">
        <v>14</v>
      </c>
      <c r="AQ1" s="167" t="s">
        <v>15</v>
      </c>
      <c r="AR1" s="169" t="s">
        <v>0</v>
      </c>
      <c r="AS1" s="167" t="s">
        <v>365</v>
      </c>
      <c r="AT1" s="171" t="s">
        <v>366</v>
      </c>
    </row>
    <row r="2" spans="1:61" s="5" customFormat="1" ht="39.950000000000003" customHeight="1">
      <c r="A2" s="170"/>
      <c r="B2" s="173"/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367</v>
      </c>
      <c r="N2" s="2" t="s">
        <v>368</v>
      </c>
      <c r="O2" s="2" t="s">
        <v>369</v>
      </c>
      <c r="P2" s="2" t="s">
        <v>26</v>
      </c>
      <c r="Q2" s="2" t="s">
        <v>370</v>
      </c>
      <c r="R2" s="2" t="s">
        <v>28</v>
      </c>
      <c r="S2" s="2" t="s">
        <v>29</v>
      </c>
      <c r="T2" s="2" t="s">
        <v>31</v>
      </c>
      <c r="U2" s="2" t="s">
        <v>32</v>
      </c>
      <c r="V2" s="2" t="s">
        <v>371</v>
      </c>
      <c r="W2" s="2" t="s">
        <v>34</v>
      </c>
      <c r="X2" s="2" t="s">
        <v>35</v>
      </c>
      <c r="Y2" s="2" t="s">
        <v>36</v>
      </c>
      <c r="Z2" s="1" t="s">
        <v>37</v>
      </c>
      <c r="AA2" s="1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1" t="s">
        <v>44</v>
      </c>
      <c r="AH2" s="2" t="s">
        <v>45</v>
      </c>
      <c r="AI2" s="2" t="s">
        <v>46</v>
      </c>
      <c r="AJ2" s="2" t="s">
        <v>47</v>
      </c>
      <c r="AK2" s="2" t="s">
        <v>48</v>
      </c>
      <c r="AL2" s="2" t="s">
        <v>49</v>
      </c>
      <c r="AM2" s="2"/>
      <c r="AN2" s="178"/>
      <c r="AO2" s="168"/>
      <c r="AP2" s="168"/>
      <c r="AQ2" s="168"/>
      <c r="AR2" s="170"/>
      <c r="AS2" s="168"/>
      <c r="AT2" s="171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61" s="6" customFormat="1" ht="19.5" customHeight="1">
      <c r="A3" s="10">
        <v>55</v>
      </c>
      <c r="B3" s="10"/>
      <c r="C3" s="10">
        <v>99.837000000000003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74" t="str">
        <f t="array" ref="M3">_xlfn.TEXTJOIN("-", TRUE, IF(C3:L3&gt;0, $C$2:$L$2, ""))</f>
        <v xml:space="preserve"> Ti</v>
      </c>
      <c r="N3" s="90">
        <f t="shared" ref="N3:N66" si="0">IF(COUNTIF(M$3:M$1206, M3)&gt;1, MATCH(M3, M:M, 0), "")</f>
        <v>3</v>
      </c>
      <c r="O3" s="91">
        <f t="shared" ref="O3:O66" si="1">COUNTIF(C3:L3, "&lt;&gt;0")</f>
        <v>1</v>
      </c>
      <c r="P3" s="10" t="s">
        <v>81</v>
      </c>
      <c r="Q3" s="10" t="s">
        <v>81</v>
      </c>
      <c r="R3" s="10" t="s">
        <v>81</v>
      </c>
      <c r="S3" s="10" t="s">
        <v>81</v>
      </c>
      <c r="T3" s="10">
        <v>800</v>
      </c>
      <c r="U3" s="10">
        <v>1</v>
      </c>
      <c r="V3" s="10" t="s">
        <v>81</v>
      </c>
      <c r="W3" s="10">
        <v>0</v>
      </c>
      <c r="X3" s="10">
        <v>0</v>
      </c>
      <c r="Y3" s="10">
        <v>0</v>
      </c>
      <c r="Z3" s="10"/>
      <c r="AA3" s="10"/>
      <c r="AB3" s="10">
        <v>500</v>
      </c>
      <c r="AC3" s="10"/>
      <c r="AD3" s="10"/>
      <c r="AE3" s="10"/>
      <c r="AF3" s="10"/>
      <c r="AG3" s="10"/>
      <c r="AH3" s="10"/>
      <c r="AI3" s="10"/>
      <c r="AJ3" s="10"/>
      <c r="AK3" s="10">
        <v>62.65</v>
      </c>
      <c r="AL3" s="10"/>
      <c r="AM3" s="10"/>
      <c r="AN3" s="11"/>
      <c r="AO3" s="11" t="s">
        <v>229</v>
      </c>
      <c r="AP3" s="10">
        <v>10</v>
      </c>
      <c r="AQ3" s="10" t="s">
        <v>83</v>
      </c>
      <c r="AR3" s="10">
        <v>55</v>
      </c>
      <c r="AS3" s="16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s="6" customFormat="1" ht="20.100000000000001" customHeight="1">
      <c r="A4" s="10">
        <v>56</v>
      </c>
      <c r="B4" s="10"/>
      <c r="C4" s="10">
        <v>99.972999999999999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74" t="str">
        <f t="array" ref="M4">_xlfn.TEXTJOIN("-", TRUE, IF(C4:L4&gt;0, $C$2:$L$2, ""))</f>
        <v xml:space="preserve"> Ti</v>
      </c>
      <c r="N4" s="90">
        <f t="shared" si="0"/>
        <v>3</v>
      </c>
      <c r="O4" s="91">
        <f t="shared" si="1"/>
        <v>1</v>
      </c>
      <c r="P4" s="10" t="s">
        <v>81</v>
      </c>
      <c r="Q4" s="10" t="s">
        <v>81</v>
      </c>
      <c r="R4" s="10" t="s">
        <v>81</v>
      </c>
      <c r="S4" s="10" t="s">
        <v>81</v>
      </c>
      <c r="T4" s="10">
        <v>800</v>
      </c>
      <c r="U4" s="10">
        <v>1</v>
      </c>
      <c r="V4" s="10" t="s">
        <v>81</v>
      </c>
      <c r="W4" s="10">
        <v>0</v>
      </c>
      <c r="X4" s="10">
        <v>0</v>
      </c>
      <c r="Y4" s="10">
        <v>0</v>
      </c>
      <c r="Z4" s="10"/>
      <c r="AA4" s="10"/>
      <c r="AB4" s="10">
        <v>257</v>
      </c>
      <c r="AC4" s="10"/>
      <c r="AD4" s="10"/>
      <c r="AE4" s="10"/>
      <c r="AF4" s="10"/>
      <c r="AG4" s="10"/>
      <c r="AH4" s="10"/>
      <c r="AI4" s="10"/>
      <c r="AJ4" s="10"/>
      <c r="AK4" s="10">
        <v>253.5</v>
      </c>
      <c r="AL4" s="10"/>
      <c r="AM4" s="10"/>
      <c r="AN4" s="11"/>
      <c r="AO4" s="11" t="s">
        <v>229</v>
      </c>
      <c r="AP4" s="10">
        <v>10</v>
      </c>
      <c r="AQ4" s="10" t="s">
        <v>83</v>
      </c>
      <c r="AR4" s="10">
        <v>56</v>
      </c>
      <c r="AS4" s="16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s="6" customFormat="1" ht="20.100000000000001" customHeight="1">
      <c r="A5" s="10">
        <v>81</v>
      </c>
      <c r="B5" s="10"/>
      <c r="C5" s="10">
        <v>99.971000000000004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74" t="str">
        <f t="array" ref="M5">_xlfn.TEXTJOIN("-", TRUE, IF(C5:L5&gt;0, $C$2:$L$2, ""))</f>
        <v xml:space="preserve"> Ti</v>
      </c>
      <c r="N5" s="90">
        <f t="shared" si="0"/>
        <v>3</v>
      </c>
      <c r="O5" s="91">
        <f t="shared" si="1"/>
        <v>1</v>
      </c>
      <c r="P5" s="10">
        <v>2</v>
      </c>
      <c r="Q5" s="10">
        <v>2</v>
      </c>
      <c r="R5" s="10">
        <v>1150</v>
      </c>
      <c r="S5" s="10">
        <v>70</v>
      </c>
      <c r="T5" s="10">
        <v>800</v>
      </c>
      <c r="U5" s="10">
        <v>1</v>
      </c>
      <c r="V5" s="10">
        <v>2</v>
      </c>
      <c r="W5" s="10">
        <v>0</v>
      </c>
      <c r="X5" s="10">
        <v>0</v>
      </c>
      <c r="Y5" s="10">
        <v>0</v>
      </c>
      <c r="Z5" s="10"/>
      <c r="AA5" s="10"/>
      <c r="AB5" s="10">
        <v>260</v>
      </c>
      <c r="AC5" s="10"/>
      <c r="AD5" s="10">
        <v>71.5</v>
      </c>
      <c r="AE5" s="10"/>
      <c r="AF5" s="10"/>
      <c r="AG5" s="10"/>
      <c r="AH5" s="10"/>
      <c r="AI5" s="10"/>
      <c r="AJ5" s="10"/>
      <c r="AK5" s="10">
        <v>2550</v>
      </c>
      <c r="AL5" s="10"/>
      <c r="AM5" s="10"/>
      <c r="AN5" s="11"/>
      <c r="AO5" s="11" t="s">
        <v>230</v>
      </c>
      <c r="AP5" s="10">
        <v>18</v>
      </c>
      <c r="AQ5" s="10" t="s">
        <v>83</v>
      </c>
      <c r="AR5" s="11" t="s">
        <v>230</v>
      </c>
      <c r="AS5" s="10" t="s">
        <v>151</v>
      </c>
      <c r="AT5" s="11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s="6" customFormat="1" ht="16.5">
      <c r="A6" s="7">
        <v>41</v>
      </c>
      <c r="C6" s="8">
        <v>60.72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39.28</v>
      </c>
      <c r="J6" s="8">
        <v>0</v>
      </c>
      <c r="K6" s="8">
        <v>0</v>
      </c>
      <c r="L6" s="8">
        <v>0</v>
      </c>
      <c r="M6" s="74" t="str">
        <f t="array" ref="M6">_xlfn.TEXTJOIN("-", TRUE, IF(C6:L6&gt;0, $C$2:$L$2, ""))</f>
        <v xml:space="preserve"> Ti-Nb</v>
      </c>
      <c r="N6" s="90">
        <f t="shared" si="0"/>
        <v>6</v>
      </c>
      <c r="O6" s="91">
        <f t="shared" si="1"/>
        <v>2</v>
      </c>
      <c r="P6" s="8">
        <v>2</v>
      </c>
      <c r="Q6" s="8">
        <v>0</v>
      </c>
      <c r="R6" s="8">
        <v>0</v>
      </c>
      <c r="S6" s="8">
        <v>0</v>
      </c>
      <c r="T6" s="8">
        <v>850</v>
      </c>
      <c r="U6" s="8">
        <v>1</v>
      </c>
      <c r="V6" s="8">
        <v>1</v>
      </c>
      <c r="W6" s="8">
        <v>0</v>
      </c>
      <c r="X6" s="8">
        <v>0</v>
      </c>
      <c r="Y6" s="8">
        <v>0</v>
      </c>
      <c r="AB6" s="8">
        <v>581.4</v>
      </c>
      <c r="AD6" s="8">
        <v>22.32</v>
      </c>
      <c r="AN6" s="6" t="s">
        <v>72</v>
      </c>
      <c r="AO6" s="6" t="s">
        <v>73</v>
      </c>
      <c r="AP6" s="6">
        <v>4</v>
      </c>
      <c r="AQ6" s="7" t="s">
        <v>54</v>
      </c>
      <c r="AR6" s="7">
        <v>41</v>
      </c>
    </row>
    <row r="7" spans="1:61" s="6" customFormat="1" ht="16.5">
      <c r="A7" s="7">
        <v>91</v>
      </c>
      <c r="C7" s="8">
        <v>59.45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40.549999999999997</v>
      </c>
      <c r="J7" s="8">
        <v>0</v>
      </c>
      <c r="K7" s="8">
        <v>0</v>
      </c>
      <c r="L7" s="8">
        <v>0</v>
      </c>
      <c r="M7" s="74" t="str">
        <f t="array" ref="M7">_xlfn.TEXTJOIN("-", TRUE, IF(C7:L7&gt;0, $C$2:$L$2, ""))</f>
        <v xml:space="preserve"> Ti-Nb</v>
      </c>
      <c r="N7" s="90">
        <f t="shared" si="0"/>
        <v>6</v>
      </c>
      <c r="O7" s="91">
        <f t="shared" si="1"/>
        <v>2</v>
      </c>
      <c r="P7" s="8">
        <v>1</v>
      </c>
      <c r="Q7" s="8">
        <v>1</v>
      </c>
      <c r="R7" s="8">
        <v>20</v>
      </c>
      <c r="S7" s="8">
        <v>99</v>
      </c>
      <c r="T7" s="8">
        <v>900</v>
      </c>
      <c r="U7" s="8">
        <v>0.5</v>
      </c>
      <c r="V7" s="8">
        <v>1</v>
      </c>
      <c r="W7" s="8">
        <v>0</v>
      </c>
      <c r="X7" s="8">
        <v>0</v>
      </c>
      <c r="Y7" s="8">
        <v>0</v>
      </c>
      <c r="AB7" s="8">
        <v>352</v>
      </c>
      <c r="AC7" s="8"/>
      <c r="AD7" s="8">
        <v>9.08</v>
      </c>
      <c r="AN7" s="6" t="s">
        <v>74</v>
      </c>
      <c r="AO7" s="6" t="s">
        <v>75</v>
      </c>
      <c r="AP7" s="6">
        <v>13</v>
      </c>
      <c r="AQ7" s="7" t="s">
        <v>54</v>
      </c>
      <c r="AR7" s="7">
        <v>91</v>
      </c>
    </row>
    <row r="8" spans="1:61" s="6" customFormat="1" ht="16.5">
      <c r="A8" s="7">
        <v>92</v>
      </c>
      <c r="C8" s="8">
        <v>59.45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40.549999999999997</v>
      </c>
      <c r="J8" s="8">
        <v>0</v>
      </c>
      <c r="K8" s="8">
        <v>0</v>
      </c>
      <c r="L8" s="8">
        <v>0</v>
      </c>
      <c r="M8" s="74" t="str">
        <f t="array" ref="M8">_xlfn.TEXTJOIN("-", TRUE, IF(C8:L8&gt;0, $C$2:$L$2, ""))</f>
        <v xml:space="preserve"> Ti-Nb</v>
      </c>
      <c r="N8" s="90">
        <f t="shared" si="0"/>
        <v>6</v>
      </c>
      <c r="O8" s="91">
        <f t="shared" si="1"/>
        <v>2</v>
      </c>
      <c r="P8" s="8">
        <v>1</v>
      </c>
      <c r="Q8" s="8">
        <v>1</v>
      </c>
      <c r="R8" s="8">
        <v>20</v>
      </c>
      <c r="S8" s="8">
        <v>99</v>
      </c>
      <c r="T8" s="8">
        <v>900</v>
      </c>
      <c r="U8" s="8">
        <v>0.5</v>
      </c>
      <c r="V8" s="8">
        <v>1</v>
      </c>
      <c r="W8" s="8">
        <v>200</v>
      </c>
      <c r="X8" s="8">
        <v>1</v>
      </c>
      <c r="Y8" s="8">
        <v>1</v>
      </c>
      <c r="AB8" s="8">
        <v>392</v>
      </c>
      <c r="AC8" s="8"/>
      <c r="AD8" s="8">
        <v>8.07</v>
      </c>
      <c r="AN8" s="6" t="s">
        <v>74</v>
      </c>
      <c r="AO8" s="6" t="s">
        <v>76</v>
      </c>
      <c r="AP8" s="6">
        <v>13</v>
      </c>
      <c r="AQ8" s="7" t="s">
        <v>54</v>
      </c>
      <c r="AR8" s="7">
        <v>92</v>
      </c>
    </row>
    <row r="9" spans="1:61" s="6" customFormat="1" ht="16.5">
      <c r="A9" s="7">
        <v>93</v>
      </c>
      <c r="C9" s="8">
        <v>59.45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40.549999999999997</v>
      </c>
      <c r="J9" s="8">
        <v>0</v>
      </c>
      <c r="K9" s="8">
        <v>0</v>
      </c>
      <c r="L9" s="8">
        <v>0</v>
      </c>
      <c r="M9" s="74" t="str">
        <f t="array" ref="M9">_xlfn.TEXTJOIN("-", TRUE, IF(C9:L9&gt;0, $C$2:$L$2, ""))</f>
        <v xml:space="preserve"> Ti-Nb</v>
      </c>
      <c r="N9" s="90">
        <f t="shared" si="0"/>
        <v>6</v>
      </c>
      <c r="O9" s="91">
        <f t="shared" si="1"/>
        <v>2</v>
      </c>
      <c r="P9" s="8">
        <v>1</v>
      </c>
      <c r="Q9" s="8">
        <v>1</v>
      </c>
      <c r="R9" s="8">
        <v>20</v>
      </c>
      <c r="S9" s="8">
        <v>99</v>
      </c>
      <c r="T9" s="8">
        <v>900</v>
      </c>
      <c r="U9" s="8">
        <v>0.5</v>
      </c>
      <c r="V9" s="8">
        <v>1</v>
      </c>
      <c r="W9" s="8">
        <v>300</v>
      </c>
      <c r="X9" s="8">
        <v>1</v>
      </c>
      <c r="Y9" s="8">
        <v>1</v>
      </c>
      <c r="AB9" s="8">
        <v>506</v>
      </c>
      <c r="AC9" s="8"/>
      <c r="AD9" s="8">
        <v>9.58</v>
      </c>
      <c r="AN9" s="6" t="s">
        <v>74</v>
      </c>
      <c r="AO9" s="6" t="s">
        <v>76</v>
      </c>
      <c r="AP9" s="6">
        <v>13</v>
      </c>
      <c r="AQ9" s="7" t="s">
        <v>54</v>
      </c>
      <c r="AR9" s="7">
        <v>93</v>
      </c>
    </row>
    <row r="10" spans="1:61" s="6" customFormat="1" ht="16.5">
      <c r="A10" s="7">
        <v>94</v>
      </c>
      <c r="C10" s="8">
        <v>59.45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40.549999999999997</v>
      </c>
      <c r="J10" s="8">
        <v>0</v>
      </c>
      <c r="K10" s="8">
        <v>0</v>
      </c>
      <c r="L10" s="8">
        <v>0</v>
      </c>
      <c r="M10" s="74" t="str">
        <f t="array" ref="M10">_xlfn.TEXTJOIN("-", TRUE, IF(C10:L10&gt;0, $C$2:$L$2, ""))</f>
        <v xml:space="preserve"> Ti-Nb</v>
      </c>
      <c r="N10" s="90">
        <f t="shared" si="0"/>
        <v>6</v>
      </c>
      <c r="O10" s="91">
        <f t="shared" si="1"/>
        <v>2</v>
      </c>
      <c r="P10" s="8">
        <v>1</v>
      </c>
      <c r="Q10" s="8">
        <v>1</v>
      </c>
      <c r="R10" s="8">
        <v>20</v>
      </c>
      <c r="S10" s="8">
        <v>99</v>
      </c>
      <c r="T10" s="8">
        <v>900</v>
      </c>
      <c r="U10" s="8">
        <v>0.5</v>
      </c>
      <c r="V10" s="8">
        <v>1</v>
      </c>
      <c r="W10" s="8">
        <v>400</v>
      </c>
      <c r="X10" s="8">
        <v>1</v>
      </c>
      <c r="Y10" s="8">
        <v>1</v>
      </c>
      <c r="AB10" s="8">
        <v>435</v>
      </c>
      <c r="AC10" s="8"/>
      <c r="AD10" s="8">
        <v>8.9499999999999993</v>
      </c>
      <c r="AN10" s="6" t="s">
        <v>74</v>
      </c>
      <c r="AO10" s="6" t="s">
        <v>76</v>
      </c>
      <c r="AP10" s="6">
        <v>13</v>
      </c>
      <c r="AQ10" s="7" t="s">
        <v>54</v>
      </c>
      <c r="AR10" s="7">
        <v>94</v>
      </c>
    </row>
    <row r="11" spans="1:61" s="6" customFormat="1" ht="16.5">
      <c r="A11" s="7">
        <v>95</v>
      </c>
      <c r="C11" s="8">
        <v>59.45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40.549999999999997</v>
      </c>
      <c r="J11" s="8">
        <v>0</v>
      </c>
      <c r="K11" s="8">
        <v>0</v>
      </c>
      <c r="L11" s="8">
        <v>0</v>
      </c>
      <c r="M11" s="74" t="str">
        <f t="array" ref="M11">_xlfn.TEXTJOIN("-", TRUE, IF(C11:L11&gt;0, $C$2:$L$2, ""))</f>
        <v xml:space="preserve"> Ti-Nb</v>
      </c>
      <c r="N11" s="90">
        <f t="shared" si="0"/>
        <v>6</v>
      </c>
      <c r="O11" s="91">
        <f t="shared" si="1"/>
        <v>2</v>
      </c>
      <c r="P11" s="8">
        <v>1</v>
      </c>
      <c r="Q11" s="8">
        <v>1</v>
      </c>
      <c r="R11" s="8">
        <v>20</v>
      </c>
      <c r="S11" s="8">
        <v>99</v>
      </c>
      <c r="T11" s="8">
        <v>900</v>
      </c>
      <c r="U11" s="8">
        <v>0.5</v>
      </c>
      <c r="V11" s="8">
        <v>1</v>
      </c>
      <c r="W11" s="8">
        <v>600</v>
      </c>
      <c r="X11" s="8">
        <v>1</v>
      </c>
      <c r="Y11" s="8">
        <v>1</v>
      </c>
      <c r="AB11" s="8">
        <v>370</v>
      </c>
      <c r="AC11" s="8"/>
      <c r="AD11" s="8">
        <v>10.02</v>
      </c>
      <c r="AN11" s="6" t="s">
        <v>74</v>
      </c>
      <c r="AO11" s="6" t="s">
        <v>76</v>
      </c>
      <c r="AP11" s="6">
        <v>13</v>
      </c>
      <c r="AQ11" s="7" t="s">
        <v>54</v>
      </c>
      <c r="AR11" s="7">
        <v>95</v>
      </c>
    </row>
    <row r="12" spans="1:61" s="6" customFormat="1" ht="16.5">
      <c r="A12" s="7">
        <v>142</v>
      </c>
      <c r="C12" s="8">
        <v>62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38</v>
      </c>
      <c r="J12" s="8">
        <v>0</v>
      </c>
      <c r="K12" s="8">
        <v>0</v>
      </c>
      <c r="L12" s="8">
        <v>0</v>
      </c>
      <c r="M12" s="74" t="str">
        <f t="array" ref="M12">_xlfn.TEXTJOIN("-", TRUE, IF(C12:L12&gt;0, $C$2:$L$2, ""))</f>
        <v xml:space="preserve"> Ti-Nb</v>
      </c>
      <c r="N12" s="90">
        <f t="shared" si="0"/>
        <v>6</v>
      </c>
      <c r="O12" s="91">
        <f t="shared" si="1"/>
        <v>2</v>
      </c>
      <c r="P12" s="8">
        <v>1</v>
      </c>
      <c r="Q12" s="8">
        <v>1</v>
      </c>
      <c r="R12" s="8">
        <v>20</v>
      </c>
      <c r="S12" s="8">
        <v>85</v>
      </c>
      <c r="T12" s="8">
        <v>800</v>
      </c>
      <c r="U12" s="8">
        <v>1</v>
      </c>
      <c r="V12" s="8">
        <v>1</v>
      </c>
      <c r="W12" s="8">
        <v>0</v>
      </c>
      <c r="X12" s="8">
        <v>0</v>
      </c>
      <c r="Y12" s="8">
        <v>0</v>
      </c>
      <c r="AB12" s="8">
        <v>411</v>
      </c>
      <c r="AC12" s="8"/>
      <c r="AD12" s="8">
        <v>36.700000000000003</v>
      </c>
      <c r="AN12" s="6" t="s">
        <v>77</v>
      </c>
      <c r="AO12" s="6" t="s">
        <v>78</v>
      </c>
      <c r="AP12" s="6">
        <v>25</v>
      </c>
      <c r="AQ12" s="7" t="s">
        <v>54</v>
      </c>
      <c r="AR12" s="7">
        <v>142</v>
      </c>
    </row>
    <row r="13" spans="1:61" s="6" customFormat="1" ht="16.5">
      <c r="A13" s="7">
        <v>148</v>
      </c>
      <c r="C13" s="8">
        <v>67.33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32.67</v>
      </c>
      <c r="J13" s="8">
        <v>0</v>
      </c>
      <c r="K13" s="8">
        <v>0</v>
      </c>
      <c r="L13" s="8">
        <v>0</v>
      </c>
      <c r="M13" s="74" t="str">
        <f t="array" ref="M13">_xlfn.TEXTJOIN("-", TRUE, IF(C13:L13&gt;0, $C$2:$L$2, ""))</f>
        <v xml:space="preserve"> Ti-Nb</v>
      </c>
      <c r="N13" s="90">
        <f t="shared" si="0"/>
        <v>6</v>
      </c>
      <c r="O13" s="91">
        <f t="shared" si="1"/>
        <v>2</v>
      </c>
      <c r="P13" s="8">
        <v>1</v>
      </c>
      <c r="Q13" s="8">
        <v>1</v>
      </c>
      <c r="R13" s="8">
        <v>20</v>
      </c>
      <c r="S13" s="8">
        <v>90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AB13" s="8">
        <v>779</v>
      </c>
      <c r="AC13" s="8"/>
      <c r="AD13" s="8">
        <v>6.2</v>
      </c>
      <c r="AN13" s="6" t="s">
        <v>79</v>
      </c>
      <c r="AO13" s="6" t="s">
        <v>80</v>
      </c>
      <c r="AP13" s="6">
        <v>26</v>
      </c>
      <c r="AQ13" s="7" t="s">
        <v>54</v>
      </c>
      <c r="AR13" s="7">
        <v>148</v>
      </c>
    </row>
    <row r="14" spans="1:61" s="6" customFormat="1" ht="16.5">
      <c r="A14" s="7">
        <v>149</v>
      </c>
      <c r="C14" s="8">
        <v>67.33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32.67</v>
      </c>
      <c r="J14" s="8">
        <v>0</v>
      </c>
      <c r="K14" s="8">
        <v>0</v>
      </c>
      <c r="L14" s="8">
        <v>0</v>
      </c>
      <c r="M14" s="74" t="str">
        <f t="array" ref="M14">_xlfn.TEXTJOIN("-", TRUE, IF(C14:L14&gt;0, $C$2:$L$2, ""))</f>
        <v xml:space="preserve"> Ti-Nb</v>
      </c>
      <c r="N14" s="90">
        <f t="shared" si="0"/>
        <v>6</v>
      </c>
      <c r="O14" s="91">
        <f t="shared" si="1"/>
        <v>2</v>
      </c>
      <c r="P14" s="8">
        <v>1</v>
      </c>
      <c r="Q14" s="8">
        <v>1</v>
      </c>
      <c r="R14" s="8">
        <v>20</v>
      </c>
      <c r="S14" s="8">
        <v>90</v>
      </c>
      <c r="T14" s="8">
        <v>750</v>
      </c>
      <c r="U14" s="8">
        <v>1</v>
      </c>
      <c r="V14" s="8">
        <v>1</v>
      </c>
      <c r="W14" s="8">
        <v>0</v>
      </c>
      <c r="X14" s="8">
        <v>0</v>
      </c>
      <c r="Y14" s="8">
        <v>0</v>
      </c>
      <c r="AB14" s="8">
        <v>503</v>
      </c>
      <c r="AC14" s="8"/>
      <c r="AD14" s="8">
        <v>25.8</v>
      </c>
      <c r="AN14" s="6" t="s">
        <v>79</v>
      </c>
      <c r="AO14" s="6" t="s">
        <v>80</v>
      </c>
      <c r="AP14" s="6">
        <v>26</v>
      </c>
      <c r="AQ14" s="7" t="s">
        <v>54</v>
      </c>
      <c r="AR14" s="7">
        <v>149</v>
      </c>
    </row>
    <row r="15" spans="1:61" s="6" customFormat="1" ht="16.5">
      <c r="A15" s="7">
        <v>150</v>
      </c>
      <c r="C15" s="8">
        <v>67.33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32.67</v>
      </c>
      <c r="J15" s="8">
        <v>0</v>
      </c>
      <c r="K15" s="8">
        <v>0</v>
      </c>
      <c r="L15" s="8">
        <v>0</v>
      </c>
      <c r="M15" s="74" t="str">
        <f t="array" ref="M15">_xlfn.TEXTJOIN("-", TRUE, IF(C15:L15&gt;0, $C$2:$L$2, ""))</f>
        <v xml:space="preserve"> Ti-Nb</v>
      </c>
      <c r="N15" s="90">
        <f t="shared" si="0"/>
        <v>6</v>
      </c>
      <c r="O15" s="91">
        <f t="shared" si="1"/>
        <v>2</v>
      </c>
      <c r="P15" s="8">
        <v>1</v>
      </c>
      <c r="Q15" s="8">
        <v>1</v>
      </c>
      <c r="R15" s="8">
        <v>20</v>
      </c>
      <c r="S15" s="8">
        <v>90</v>
      </c>
      <c r="T15" s="8">
        <v>850</v>
      </c>
      <c r="U15" s="8">
        <v>1</v>
      </c>
      <c r="V15" s="8">
        <v>1</v>
      </c>
      <c r="W15" s="8">
        <v>0</v>
      </c>
      <c r="X15" s="8">
        <v>0</v>
      </c>
      <c r="Y15" s="8">
        <v>0</v>
      </c>
      <c r="AB15" s="8">
        <v>608</v>
      </c>
      <c r="AC15" s="8"/>
      <c r="AD15" s="8">
        <v>24.9</v>
      </c>
      <c r="AN15" s="6" t="s">
        <v>79</v>
      </c>
      <c r="AO15" s="6" t="s">
        <v>80</v>
      </c>
      <c r="AP15" s="6">
        <v>26</v>
      </c>
      <c r="AQ15" s="7" t="s">
        <v>54</v>
      </c>
      <c r="AR15" s="7">
        <v>150</v>
      </c>
    </row>
    <row r="16" spans="1:61" s="6" customFormat="1" ht="16.5">
      <c r="A16" s="7">
        <v>151</v>
      </c>
      <c r="C16" s="8">
        <v>67.33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32.67</v>
      </c>
      <c r="J16" s="8">
        <v>0</v>
      </c>
      <c r="K16" s="8">
        <v>0</v>
      </c>
      <c r="L16" s="8">
        <v>0</v>
      </c>
      <c r="M16" s="74" t="str">
        <f t="array" ref="M16">_xlfn.TEXTJOIN("-", TRUE, IF(C16:L16&gt;0, $C$2:$L$2, ""))</f>
        <v xml:space="preserve"> Ti-Nb</v>
      </c>
      <c r="N16" s="90">
        <f t="shared" si="0"/>
        <v>6</v>
      </c>
      <c r="O16" s="91">
        <f t="shared" si="1"/>
        <v>2</v>
      </c>
      <c r="P16" s="8">
        <v>1</v>
      </c>
      <c r="Q16" s="8">
        <v>1</v>
      </c>
      <c r="R16" s="8">
        <v>20</v>
      </c>
      <c r="S16" s="8">
        <v>90</v>
      </c>
      <c r="T16" s="8">
        <v>950</v>
      </c>
      <c r="U16" s="8">
        <v>1</v>
      </c>
      <c r="V16" s="8">
        <v>1</v>
      </c>
      <c r="W16" s="8">
        <v>0</v>
      </c>
      <c r="X16" s="8">
        <v>0</v>
      </c>
      <c r="Y16" s="8">
        <v>0</v>
      </c>
      <c r="AB16" s="8">
        <v>623</v>
      </c>
      <c r="AC16" s="8"/>
      <c r="AD16" s="8">
        <v>16.899999999999999</v>
      </c>
      <c r="AN16" s="6" t="s">
        <v>79</v>
      </c>
      <c r="AO16" s="6" t="s">
        <v>80</v>
      </c>
      <c r="AP16" s="6">
        <v>26</v>
      </c>
      <c r="AQ16" s="7" t="s">
        <v>54</v>
      </c>
      <c r="AR16" s="7">
        <v>151</v>
      </c>
    </row>
    <row r="17" spans="1:61" s="6" customFormat="1" ht="16.5">
      <c r="A17" s="7">
        <v>152</v>
      </c>
      <c r="C17" s="8">
        <v>54.59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45.41</v>
      </c>
      <c r="J17" s="8">
        <v>0</v>
      </c>
      <c r="K17" s="8">
        <v>0</v>
      </c>
      <c r="L17" s="8">
        <v>0</v>
      </c>
      <c r="M17" s="74" t="str">
        <f t="array" ref="M17">_xlfn.TEXTJOIN("-", TRUE, IF(C17:L17&gt;0, $C$2:$L$2, ""))</f>
        <v xml:space="preserve"> Ti-Nb</v>
      </c>
      <c r="N17" s="90">
        <f t="shared" si="0"/>
        <v>6</v>
      </c>
      <c r="O17" s="91">
        <f t="shared" si="1"/>
        <v>2</v>
      </c>
      <c r="P17" s="8">
        <v>1</v>
      </c>
      <c r="Q17" s="8">
        <v>1</v>
      </c>
      <c r="R17" s="8">
        <v>20</v>
      </c>
      <c r="S17" s="8">
        <v>90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AB17" s="8">
        <v>561</v>
      </c>
      <c r="AC17" s="8"/>
      <c r="AD17" s="8">
        <v>3.5</v>
      </c>
      <c r="AN17" s="6" t="s">
        <v>79</v>
      </c>
      <c r="AO17" s="6" t="s">
        <v>80</v>
      </c>
      <c r="AP17" s="6">
        <v>26</v>
      </c>
      <c r="AQ17" s="7" t="s">
        <v>54</v>
      </c>
      <c r="AR17" s="7">
        <v>152</v>
      </c>
    </row>
    <row r="18" spans="1:61" s="6" customFormat="1" ht="16.5">
      <c r="A18" s="7">
        <v>153</v>
      </c>
      <c r="C18" s="8">
        <v>54.59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45.41</v>
      </c>
      <c r="J18" s="8">
        <v>0</v>
      </c>
      <c r="K18" s="8">
        <v>0</v>
      </c>
      <c r="L18" s="8">
        <v>0</v>
      </c>
      <c r="M18" s="74" t="str">
        <f t="array" ref="M18">_xlfn.TEXTJOIN("-", TRUE, IF(C18:L18&gt;0, $C$2:$L$2, ""))</f>
        <v xml:space="preserve"> Ti-Nb</v>
      </c>
      <c r="N18" s="90">
        <f t="shared" si="0"/>
        <v>6</v>
      </c>
      <c r="O18" s="91">
        <f t="shared" si="1"/>
        <v>2</v>
      </c>
      <c r="P18" s="8">
        <v>1</v>
      </c>
      <c r="Q18" s="8">
        <v>1</v>
      </c>
      <c r="R18" s="8">
        <v>20</v>
      </c>
      <c r="S18" s="8">
        <v>90</v>
      </c>
      <c r="T18" s="8">
        <v>750</v>
      </c>
      <c r="U18" s="8">
        <v>1</v>
      </c>
      <c r="V18" s="8">
        <v>1</v>
      </c>
      <c r="W18" s="8">
        <v>0</v>
      </c>
      <c r="X18" s="8">
        <v>0</v>
      </c>
      <c r="Y18" s="8">
        <v>0</v>
      </c>
      <c r="AB18" s="8">
        <v>449</v>
      </c>
      <c r="AC18" s="8"/>
      <c r="AD18" s="8">
        <v>24</v>
      </c>
      <c r="AN18" s="6" t="s">
        <v>79</v>
      </c>
      <c r="AO18" s="6" t="s">
        <v>80</v>
      </c>
      <c r="AP18" s="6">
        <v>26</v>
      </c>
      <c r="AQ18" s="7" t="s">
        <v>54</v>
      </c>
      <c r="AR18" s="7">
        <v>153</v>
      </c>
    </row>
    <row r="19" spans="1:61" s="6" customFormat="1" ht="16.5">
      <c r="A19" s="7">
        <v>154</v>
      </c>
      <c r="C19" s="8">
        <v>54.59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45.41</v>
      </c>
      <c r="J19" s="8">
        <v>0</v>
      </c>
      <c r="K19" s="8">
        <v>0</v>
      </c>
      <c r="L19" s="8">
        <v>0</v>
      </c>
      <c r="M19" s="74" t="str">
        <f t="array" ref="M19">_xlfn.TEXTJOIN("-", TRUE, IF(C19:L19&gt;0, $C$2:$L$2, ""))</f>
        <v xml:space="preserve"> Ti-Nb</v>
      </c>
      <c r="N19" s="90">
        <f t="shared" si="0"/>
        <v>6</v>
      </c>
      <c r="O19" s="91">
        <f t="shared" si="1"/>
        <v>2</v>
      </c>
      <c r="P19" s="8">
        <v>1</v>
      </c>
      <c r="Q19" s="8">
        <v>1</v>
      </c>
      <c r="R19" s="8">
        <v>20</v>
      </c>
      <c r="S19" s="8">
        <v>90</v>
      </c>
      <c r="T19" s="8">
        <v>850</v>
      </c>
      <c r="U19" s="8">
        <v>1</v>
      </c>
      <c r="V19" s="8">
        <v>1</v>
      </c>
      <c r="W19" s="8">
        <v>0</v>
      </c>
      <c r="X19" s="8">
        <v>0</v>
      </c>
      <c r="Y19" s="8">
        <v>0</v>
      </c>
      <c r="AB19" s="8">
        <v>493</v>
      </c>
      <c r="AC19" s="8"/>
      <c r="AD19" s="8">
        <v>21.1</v>
      </c>
      <c r="AN19" s="6" t="s">
        <v>79</v>
      </c>
      <c r="AO19" s="6" t="s">
        <v>80</v>
      </c>
      <c r="AP19" s="6">
        <v>26</v>
      </c>
      <c r="AQ19" s="7" t="s">
        <v>54</v>
      </c>
      <c r="AR19" s="7">
        <v>154</v>
      </c>
    </row>
    <row r="20" spans="1:61" s="6" customFormat="1" ht="16.5">
      <c r="A20" s="7">
        <v>155</v>
      </c>
      <c r="C20" s="8">
        <v>54.59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45.41</v>
      </c>
      <c r="J20" s="8">
        <v>0</v>
      </c>
      <c r="K20" s="8">
        <v>0</v>
      </c>
      <c r="L20" s="8">
        <v>0</v>
      </c>
      <c r="M20" s="74" t="str">
        <f t="array" ref="M20">_xlfn.TEXTJOIN("-", TRUE, IF(C20:L20&gt;0, $C$2:$L$2, ""))</f>
        <v xml:space="preserve"> Ti-Nb</v>
      </c>
      <c r="N20" s="90">
        <f t="shared" si="0"/>
        <v>6</v>
      </c>
      <c r="O20" s="91">
        <f t="shared" si="1"/>
        <v>2</v>
      </c>
      <c r="P20" s="8">
        <v>1</v>
      </c>
      <c r="Q20" s="8">
        <v>1</v>
      </c>
      <c r="R20" s="8">
        <v>20</v>
      </c>
      <c r="S20" s="8">
        <v>90</v>
      </c>
      <c r="T20" s="8">
        <v>950</v>
      </c>
      <c r="U20" s="8">
        <v>1</v>
      </c>
      <c r="V20" s="8">
        <v>1</v>
      </c>
      <c r="W20" s="8">
        <v>0</v>
      </c>
      <c r="X20" s="8">
        <v>0</v>
      </c>
      <c r="Y20" s="8">
        <v>0</v>
      </c>
      <c r="AB20" s="8">
        <v>587</v>
      </c>
      <c r="AC20" s="8"/>
      <c r="AD20" s="8">
        <v>17.100000000000001</v>
      </c>
      <c r="AN20" s="6" t="s">
        <v>79</v>
      </c>
      <c r="AO20" s="6" t="s">
        <v>80</v>
      </c>
      <c r="AP20" s="6">
        <v>26</v>
      </c>
      <c r="AQ20" s="7" t="s">
        <v>54</v>
      </c>
      <c r="AR20" s="7">
        <v>155</v>
      </c>
    </row>
    <row r="21" spans="1:61" s="6" customFormat="1" ht="16.5">
      <c r="A21" s="12">
        <v>50</v>
      </c>
      <c r="B21" s="12"/>
      <c r="C21" s="12">
        <v>87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13</v>
      </c>
      <c r="J21" s="12">
        <v>0</v>
      </c>
      <c r="K21" s="12">
        <v>0</v>
      </c>
      <c r="L21" s="12">
        <v>0</v>
      </c>
      <c r="M21" s="74" t="str">
        <f t="array" ref="M21">_xlfn.TEXTJOIN("-", TRUE, IF(C21:L21&gt;0, $C$2:$L$2, ""))</f>
        <v xml:space="preserve"> Ti-Nb</v>
      </c>
      <c r="N21" s="90">
        <f t="shared" si="0"/>
        <v>6</v>
      </c>
      <c r="O21" s="91">
        <f t="shared" si="1"/>
        <v>2</v>
      </c>
      <c r="P21" s="12">
        <v>1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  <c r="Z21" s="12"/>
      <c r="AA21" s="12"/>
      <c r="AB21" s="12">
        <v>799.98</v>
      </c>
      <c r="AC21" s="92">
        <v>672.97</v>
      </c>
      <c r="AD21" s="12">
        <v>5.1100000000000003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 t="s">
        <v>372</v>
      </c>
      <c r="AO21" s="12" t="s">
        <v>373</v>
      </c>
      <c r="AP21" s="12">
        <v>8</v>
      </c>
      <c r="AQ21" s="12" t="s">
        <v>374</v>
      </c>
      <c r="AR21" s="12">
        <v>50</v>
      </c>
      <c r="AS21" s="12" t="s">
        <v>151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6" customFormat="1" ht="16.5">
      <c r="A22" s="12">
        <v>51</v>
      </c>
      <c r="B22" s="12"/>
      <c r="C22" s="12">
        <v>72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28</v>
      </c>
      <c r="J22" s="12">
        <v>0</v>
      </c>
      <c r="K22" s="12">
        <v>0</v>
      </c>
      <c r="L22" s="12">
        <v>0</v>
      </c>
      <c r="M22" s="74" t="str">
        <f t="array" ref="M22">_xlfn.TEXTJOIN("-", TRUE, IF(C22:L22&gt;0, $C$2:$L$2, ""))</f>
        <v xml:space="preserve"> Ti-Nb</v>
      </c>
      <c r="N22" s="90">
        <f t="shared" si="0"/>
        <v>6</v>
      </c>
      <c r="O22" s="91">
        <f t="shared" si="1"/>
        <v>2</v>
      </c>
      <c r="P22" s="12">
        <v>1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12"/>
      <c r="AA22" s="12"/>
      <c r="AB22" s="12">
        <v>778.33</v>
      </c>
      <c r="AC22" s="92">
        <v>616.5</v>
      </c>
      <c r="AD22" s="12">
        <v>3.03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 t="s">
        <v>375</v>
      </c>
      <c r="AO22" s="12" t="s">
        <v>373</v>
      </c>
      <c r="AP22" s="12">
        <v>8</v>
      </c>
      <c r="AQ22" s="12" t="s">
        <v>374</v>
      </c>
      <c r="AR22" s="12">
        <v>51</v>
      </c>
      <c r="AS22" s="12" t="s">
        <v>151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6" customFormat="1" ht="16.5">
      <c r="A23" s="12">
        <v>52</v>
      </c>
      <c r="B23" s="12"/>
      <c r="C23" s="12">
        <v>85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15</v>
      </c>
      <c r="J23" s="12">
        <v>0</v>
      </c>
      <c r="K23" s="12">
        <v>0</v>
      </c>
      <c r="L23" s="12">
        <v>0</v>
      </c>
      <c r="M23" s="74" t="str">
        <f t="array" ref="M23">_xlfn.TEXTJOIN("-", TRUE, IF(C23:L23&gt;0, $C$2:$L$2, ""))</f>
        <v xml:space="preserve"> Ti-Nb</v>
      </c>
      <c r="N23" s="90">
        <f t="shared" si="0"/>
        <v>6</v>
      </c>
      <c r="O23" s="91">
        <f t="shared" si="1"/>
        <v>2</v>
      </c>
      <c r="P23" s="12">
        <v>1</v>
      </c>
      <c r="Q23" s="12">
        <v>1</v>
      </c>
      <c r="R23" s="12">
        <v>20</v>
      </c>
      <c r="S23" s="12">
        <v>85</v>
      </c>
      <c r="T23" s="12">
        <v>900</v>
      </c>
      <c r="U23" s="12">
        <v>0.5</v>
      </c>
      <c r="V23" s="12">
        <v>1</v>
      </c>
      <c r="W23" s="12"/>
      <c r="X23" s="12"/>
      <c r="Y23" s="12"/>
      <c r="Z23" s="12">
        <v>56</v>
      </c>
      <c r="AA23" s="12">
        <v>241</v>
      </c>
      <c r="AB23" s="12">
        <v>648</v>
      </c>
      <c r="AC23" s="12">
        <v>462</v>
      </c>
      <c r="AD23" s="12">
        <v>16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 t="s">
        <v>376</v>
      </c>
      <c r="AO23" s="12" t="s">
        <v>377</v>
      </c>
      <c r="AP23" s="12">
        <v>9</v>
      </c>
      <c r="AQ23" s="12" t="s">
        <v>374</v>
      </c>
      <c r="AR23" s="12">
        <v>52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6" customFormat="1" ht="16.5">
      <c r="A24" s="12">
        <v>53</v>
      </c>
      <c r="B24" s="12"/>
      <c r="C24" s="12">
        <v>68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32</v>
      </c>
      <c r="J24" s="12">
        <v>0</v>
      </c>
      <c r="K24" s="12">
        <v>0</v>
      </c>
      <c r="L24" s="12">
        <v>0</v>
      </c>
      <c r="M24" s="74" t="str">
        <f t="array" ref="M24">_xlfn.TEXTJOIN("-", TRUE, IF(C24:L24&gt;0, $C$2:$L$2, ""))</f>
        <v xml:space="preserve"> Ti-Nb</v>
      </c>
      <c r="N24" s="90">
        <f t="shared" si="0"/>
        <v>6</v>
      </c>
      <c r="O24" s="91">
        <f t="shared" si="1"/>
        <v>2</v>
      </c>
      <c r="P24" s="12">
        <v>1</v>
      </c>
      <c r="Q24" s="12">
        <v>1</v>
      </c>
      <c r="R24" s="12">
        <v>20</v>
      </c>
      <c r="S24" s="12">
        <v>85</v>
      </c>
      <c r="T24" s="12">
        <v>900</v>
      </c>
      <c r="U24" s="12">
        <v>0.5</v>
      </c>
      <c r="V24" s="12">
        <v>1</v>
      </c>
      <c r="W24" s="12"/>
      <c r="X24" s="12"/>
      <c r="Y24" s="12"/>
      <c r="Z24" s="12">
        <v>65</v>
      </c>
      <c r="AA24" s="12">
        <v>158</v>
      </c>
      <c r="AB24" s="12">
        <v>550</v>
      </c>
      <c r="AC24" s="12">
        <v>325</v>
      </c>
      <c r="AD24" s="12">
        <v>22</v>
      </c>
      <c r="AE24" s="12"/>
      <c r="AF24" s="12"/>
      <c r="AG24" s="12"/>
      <c r="AH24" s="12"/>
      <c r="AI24" s="12"/>
      <c r="AJ24" s="12"/>
      <c r="AK24" s="12"/>
      <c r="AL24" s="12"/>
      <c r="AM24" s="12"/>
      <c r="AN24" s="12" t="s">
        <v>378</v>
      </c>
      <c r="AO24" s="12" t="s">
        <v>379</v>
      </c>
      <c r="AP24" s="12">
        <v>9</v>
      </c>
      <c r="AQ24" s="12" t="s">
        <v>374</v>
      </c>
      <c r="AR24" s="12">
        <v>53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6" customFormat="1" ht="16.5">
      <c r="A25" s="12">
        <v>54</v>
      </c>
      <c r="B25" s="12"/>
      <c r="C25" s="12">
        <v>62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38</v>
      </c>
      <c r="J25" s="12">
        <v>0</v>
      </c>
      <c r="K25" s="12">
        <v>0</v>
      </c>
      <c r="L25" s="12">
        <v>0</v>
      </c>
      <c r="M25" s="74" t="str">
        <f t="array" ref="M25">_xlfn.TEXTJOIN("-", TRUE, IF(C25:L25&gt;0, $C$2:$L$2, ""))</f>
        <v xml:space="preserve"> Ti-Nb</v>
      </c>
      <c r="N25" s="90">
        <f t="shared" si="0"/>
        <v>6</v>
      </c>
      <c r="O25" s="91">
        <f t="shared" si="1"/>
        <v>2</v>
      </c>
      <c r="P25" s="12">
        <v>1</v>
      </c>
      <c r="Q25" s="12">
        <v>1</v>
      </c>
      <c r="R25" s="12">
        <v>20</v>
      </c>
      <c r="S25" s="12">
        <v>85</v>
      </c>
      <c r="T25" s="12">
        <v>900</v>
      </c>
      <c r="U25" s="12">
        <v>0.5</v>
      </c>
      <c r="V25" s="12">
        <v>1</v>
      </c>
      <c r="W25" s="12"/>
      <c r="X25" s="12"/>
      <c r="Y25" s="12"/>
      <c r="Z25" s="12">
        <v>60</v>
      </c>
      <c r="AA25" s="12">
        <v>167</v>
      </c>
      <c r="AB25" s="12">
        <v>479</v>
      </c>
      <c r="AC25" s="12">
        <v>220</v>
      </c>
      <c r="AD25" s="12">
        <v>41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 t="s">
        <v>380</v>
      </c>
      <c r="AO25" s="12" t="s">
        <v>381</v>
      </c>
      <c r="AP25" s="12">
        <v>9</v>
      </c>
      <c r="AQ25" s="12" t="s">
        <v>374</v>
      </c>
      <c r="AR25" s="12">
        <v>54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6" customFormat="1" ht="16.5">
      <c r="A26" s="10">
        <v>109</v>
      </c>
      <c r="B26" s="10"/>
      <c r="C26" s="10">
        <v>96.141900000000007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3.73</v>
      </c>
      <c r="J26" s="10">
        <v>0</v>
      </c>
      <c r="K26" s="10">
        <v>0</v>
      </c>
      <c r="L26" s="10">
        <v>0</v>
      </c>
      <c r="M26" s="74" t="str">
        <f t="array" ref="M26">_xlfn.TEXTJOIN("-", TRUE, IF(C26:L26&gt;0, $C$2:$L$2, ""))</f>
        <v xml:space="preserve"> Ti-Nb</v>
      </c>
      <c r="N26" s="90">
        <f t="shared" si="0"/>
        <v>6</v>
      </c>
      <c r="O26" s="91">
        <f t="shared" si="1"/>
        <v>2</v>
      </c>
      <c r="P26" s="10" t="s">
        <v>81</v>
      </c>
      <c r="Q26" s="10">
        <v>2</v>
      </c>
      <c r="R26" s="10">
        <v>880</v>
      </c>
      <c r="S26" s="10" t="s">
        <v>81</v>
      </c>
      <c r="T26" s="10" t="s">
        <v>81</v>
      </c>
      <c r="U26" s="10" t="s">
        <v>81</v>
      </c>
      <c r="V26" s="10" t="s">
        <v>81</v>
      </c>
      <c r="W26" s="10" t="s">
        <v>81</v>
      </c>
      <c r="X26" s="10" t="s">
        <v>81</v>
      </c>
      <c r="Y26" s="10" t="s">
        <v>81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1"/>
      <c r="AO26" s="11" t="s">
        <v>82</v>
      </c>
      <c r="AP26" s="10">
        <v>27</v>
      </c>
      <c r="AQ26" s="10" t="s">
        <v>83</v>
      </c>
      <c r="AR26" s="10">
        <v>109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6" customFormat="1" ht="16.5">
      <c r="A27" s="10">
        <v>110</v>
      </c>
      <c r="B27" s="10"/>
      <c r="C27" s="10">
        <v>96.222499999999997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3.66</v>
      </c>
      <c r="J27" s="10">
        <v>0</v>
      </c>
      <c r="K27" s="10">
        <v>0</v>
      </c>
      <c r="L27" s="10">
        <v>0</v>
      </c>
      <c r="M27" s="74" t="str">
        <f t="array" ref="M27">_xlfn.TEXTJOIN("-", TRUE, IF(C27:L27&gt;0, $C$2:$L$2, ""))</f>
        <v xml:space="preserve"> Ti-Nb</v>
      </c>
      <c r="N27" s="90">
        <f t="shared" si="0"/>
        <v>6</v>
      </c>
      <c r="O27" s="91">
        <f t="shared" si="1"/>
        <v>2</v>
      </c>
      <c r="P27" s="10">
        <v>2</v>
      </c>
      <c r="Q27" s="10">
        <v>2</v>
      </c>
      <c r="R27" s="10">
        <v>880</v>
      </c>
      <c r="S27" s="10">
        <v>60</v>
      </c>
      <c r="T27" s="10">
        <v>750</v>
      </c>
      <c r="U27" s="10">
        <v>2</v>
      </c>
      <c r="V27" s="10">
        <v>2</v>
      </c>
      <c r="W27" s="10">
        <v>0</v>
      </c>
      <c r="X27" s="10">
        <v>0</v>
      </c>
      <c r="Y27" s="10">
        <v>0</v>
      </c>
      <c r="Z27" s="10"/>
      <c r="AA27" s="10"/>
      <c r="AB27" s="10">
        <v>503</v>
      </c>
      <c r="AC27" s="10">
        <v>387</v>
      </c>
      <c r="AD27" s="10">
        <v>27</v>
      </c>
      <c r="AE27" s="10">
        <v>61</v>
      </c>
      <c r="AF27" s="10"/>
      <c r="AG27" s="10"/>
      <c r="AH27" s="10"/>
      <c r="AI27" s="10"/>
      <c r="AJ27" s="10"/>
      <c r="AK27" s="10">
        <v>1200</v>
      </c>
      <c r="AL27" s="10"/>
      <c r="AM27" s="10"/>
      <c r="AN27" s="11"/>
      <c r="AO27" s="11" t="s">
        <v>82</v>
      </c>
      <c r="AP27" s="10">
        <v>27</v>
      </c>
      <c r="AQ27" s="10" t="s">
        <v>83</v>
      </c>
      <c r="AR27" s="11" t="s">
        <v>82</v>
      </c>
      <c r="AS27" s="10" t="s">
        <v>151</v>
      </c>
      <c r="AT27" s="11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6" customFormat="1" ht="16.5">
      <c r="A28" s="10">
        <v>111</v>
      </c>
      <c r="B28" s="10"/>
      <c r="C28" s="10">
        <v>96.298599999999993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3.57</v>
      </c>
      <c r="J28" s="10">
        <v>0</v>
      </c>
      <c r="K28" s="10">
        <v>0</v>
      </c>
      <c r="L28" s="10">
        <v>0</v>
      </c>
      <c r="M28" s="74" t="str">
        <f t="array" ref="M28">_xlfn.TEXTJOIN("-", TRUE, IF(C28:L28&gt;0, $C$2:$L$2, ""))</f>
        <v xml:space="preserve"> Ti-Nb</v>
      </c>
      <c r="N28" s="90">
        <f t="shared" si="0"/>
        <v>6</v>
      </c>
      <c r="O28" s="91">
        <f t="shared" si="1"/>
        <v>2</v>
      </c>
      <c r="P28" s="10">
        <v>2</v>
      </c>
      <c r="Q28" s="10">
        <v>2</v>
      </c>
      <c r="R28" s="10">
        <v>880</v>
      </c>
      <c r="S28" s="10">
        <v>60</v>
      </c>
      <c r="T28" s="10">
        <v>800</v>
      </c>
      <c r="U28" s="10">
        <v>2</v>
      </c>
      <c r="V28" s="10">
        <v>2</v>
      </c>
      <c r="W28" s="10">
        <v>0</v>
      </c>
      <c r="X28" s="10">
        <v>0</v>
      </c>
      <c r="Y28" s="10">
        <v>0</v>
      </c>
      <c r="Z28" s="10"/>
      <c r="AA28" s="10"/>
      <c r="AB28" s="10">
        <v>506</v>
      </c>
      <c r="AC28" s="10">
        <v>372</v>
      </c>
      <c r="AD28" s="10">
        <v>27</v>
      </c>
      <c r="AE28" s="10">
        <v>63</v>
      </c>
      <c r="AF28" s="10"/>
      <c r="AG28" s="10"/>
      <c r="AH28" s="10"/>
      <c r="AI28" s="10"/>
      <c r="AJ28" s="10"/>
      <c r="AK28" s="10">
        <v>1340</v>
      </c>
      <c r="AL28" s="10"/>
      <c r="AM28" s="10"/>
      <c r="AN28" s="11"/>
      <c r="AO28" s="11" t="s">
        <v>82</v>
      </c>
      <c r="AP28" s="10">
        <v>27</v>
      </c>
      <c r="AQ28" s="10" t="s">
        <v>83</v>
      </c>
      <c r="AR28" s="11" t="s">
        <v>82</v>
      </c>
      <c r="AS28" s="10" t="s">
        <v>151</v>
      </c>
      <c r="AT28" s="11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6" customFormat="1" ht="16.5">
      <c r="A29" s="10">
        <v>112</v>
      </c>
      <c r="B29" s="10"/>
      <c r="C29" s="10">
        <v>96.221699999999998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3.66</v>
      </c>
      <c r="J29" s="10">
        <v>0</v>
      </c>
      <c r="K29" s="10">
        <v>0</v>
      </c>
      <c r="L29" s="10">
        <v>0</v>
      </c>
      <c r="M29" s="74" t="str">
        <f t="array" ref="M29">_xlfn.TEXTJOIN("-", TRUE, IF(C29:L29&gt;0, $C$2:$L$2, ""))</f>
        <v xml:space="preserve"> Ti-Nb</v>
      </c>
      <c r="N29" s="90">
        <f t="shared" si="0"/>
        <v>6</v>
      </c>
      <c r="O29" s="91">
        <f t="shared" si="1"/>
        <v>2</v>
      </c>
      <c r="P29" s="10">
        <v>2</v>
      </c>
      <c r="Q29" s="10">
        <v>2</v>
      </c>
      <c r="R29" s="10">
        <v>880</v>
      </c>
      <c r="S29" s="10">
        <v>60</v>
      </c>
      <c r="T29" s="10">
        <v>830</v>
      </c>
      <c r="U29" s="10">
        <v>2</v>
      </c>
      <c r="V29" s="10">
        <v>2</v>
      </c>
      <c r="W29" s="10">
        <v>0</v>
      </c>
      <c r="X29" s="10">
        <v>0</v>
      </c>
      <c r="Y29" s="10">
        <v>0</v>
      </c>
      <c r="Z29" s="10"/>
      <c r="AA29" s="10"/>
      <c r="AB29" s="10">
        <v>496</v>
      </c>
      <c r="AC29" s="10">
        <v>347</v>
      </c>
      <c r="AD29" s="10">
        <v>31</v>
      </c>
      <c r="AE29" s="10">
        <v>63</v>
      </c>
      <c r="AF29" s="10"/>
      <c r="AG29" s="10"/>
      <c r="AH29" s="10"/>
      <c r="AI29" s="10"/>
      <c r="AJ29" s="10"/>
      <c r="AK29" s="10">
        <v>1560</v>
      </c>
      <c r="AL29" s="10"/>
      <c r="AM29" s="10"/>
      <c r="AN29" s="11"/>
      <c r="AO29" s="11" t="s">
        <v>82</v>
      </c>
      <c r="AP29" s="10">
        <v>27</v>
      </c>
      <c r="AQ29" s="10" t="s">
        <v>83</v>
      </c>
      <c r="AR29" s="11" t="s">
        <v>82</v>
      </c>
      <c r="AS29" s="10" t="s">
        <v>151</v>
      </c>
      <c r="AT29" s="11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6" customFormat="1" ht="16.5">
      <c r="A30" s="93">
        <v>343</v>
      </c>
      <c r="B30" s="93" t="s">
        <v>113</v>
      </c>
      <c r="C30" s="94">
        <v>81.84</v>
      </c>
      <c r="D30" s="94">
        <v>0</v>
      </c>
      <c r="E30" s="94">
        <v>0</v>
      </c>
      <c r="F30" s="94">
        <v>0</v>
      </c>
      <c r="G30" s="94">
        <v>0</v>
      </c>
      <c r="H30" s="94">
        <v>0</v>
      </c>
      <c r="I30" s="94">
        <v>18.16</v>
      </c>
      <c r="J30" s="94">
        <v>0</v>
      </c>
      <c r="K30" s="94">
        <v>0</v>
      </c>
      <c r="L30" s="94">
        <v>0</v>
      </c>
      <c r="M30" s="74" t="str">
        <f t="array" ref="M30">_xlfn.TEXTJOIN("-", TRUE, IF(C30:L30&gt;0, $C$2:$L$2, ""))</f>
        <v xml:space="preserve"> Ti-Nb</v>
      </c>
      <c r="N30" s="90">
        <f t="shared" si="0"/>
        <v>6</v>
      </c>
      <c r="O30" s="91">
        <f t="shared" si="1"/>
        <v>2</v>
      </c>
      <c r="P30" s="94">
        <v>1</v>
      </c>
      <c r="Q30" s="94">
        <v>1</v>
      </c>
      <c r="R30" s="93" t="s">
        <v>113</v>
      </c>
      <c r="S30" s="93" t="s">
        <v>113</v>
      </c>
      <c r="T30" s="93" t="s">
        <v>113</v>
      </c>
      <c r="U30" s="93" t="s">
        <v>113</v>
      </c>
      <c r="V30" s="93">
        <v>1</v>
      </c>
      <c r="W30" s="93" t="s">
        <v>113</v>
      </c>
      <c r="X30" s="93" t="s">
        <v>113</v>
      </c>
      <c r="Y30" s="93" t="s">
        <v>113</v>
      </c>
      <c r="Z30" s="94">
        <v>79</v>
      </c>
      <c r="AA30" s="93" t="s">
        <v>113</v>
      </c>
      <c r="AB30" s="93" t="s">
        <v>113</v>
      </c>
      <c r="AC30" s="94">
        <v>348</v>
      </c>
      <c r="AD30" s="93" t="s">
        <v>113</v>
      </c>
      <c r="AE30" s="93" t="s">
        <v>113</v>
      </c>
      <c r="AF30" s="93" t="s">
        <v>113</v>
      </c>
      <c r="AG30" s="93" t="s">
        <v>113</v>
      </c>
      <c r="AH30" s="93" t="s">
        <v>113</v>
      </c>
      <c r="AI30" s="93" t="s">
        <v>113</v>
      </c>
      <c r="AJ30" s="93" t="s">
        <v>113</v>
      </c>
      <c r="AK30" s="93" t="s">
        <v>113</v>
      </c>
      <c r="AL30" s="93" t="s">
        <v>113</v>
      </c>
      <c r="AM30" s="93"/>
      <c r="AN30" s="93" t="s">
        <v>113</v>
      </c>
      <c r="AO30" s="93" t="s">
        <v>114</v>
      </c>
      <c r="AP30" s="94">
        <v>343</v>
      </c>
      <c r="AQ30" s="94" t="s">
        <v>100</v>
      </c>
      <c r="AR30" s="93">
        <v>343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6" customFormat="1" ht="16.5">
      <c r="A31" s="93">
        <v>417</v>
      </c>
      <c r="B31" s="93" t="s">
        <v>113</v>
      </c>
      <c r="C31" s="94">
        <v>76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24</v>
      </c>
      <c r="J31" s="94">
        <v>0</v>
      </c>
      <c r="K31" s="94">
        <v>0</v>
      </c>
      <c r="L31" s="94">
        <v>0</v>
      </c>
      <c r="M31" s="74" t="str">
        <f t="array" ref="M31">_xlfn.TEXTJOIN("-", TRUE, IF(C31:L31&gt;0, $C$2:$L$2, ""))</f>
        <v xml:space="preserve"> Ti-Nb</v>
      </c>
      <c r="N31" s="90">
        <f t="shared" si="0"/>
        <v>6</v>
      </c>
      <c r="O31" s="91">
        <f t="shared" si="1"/>
        <v>2</v>
      </c>
      <c r="P31" s="94">
        <v>1</v>
      </c>
      <c r="Q31" s="94">
        <v>1</v>
      </c>
      <c r="R31" s="93" t="s">
        <v>113</v>
      </c>
      <c r="S31" s="93" t="s">
        <v>113</v>
      </c>
      <c r="T31" s="93" t="s">
        <v>113</v>
      </c>
      <c r="U31" s="93" t="s">
        <v>113</v>
      </c>
      <c r="V31" s="93">
        <v>1</v>
      </c>
      <c r="W31" s="93" t="s">
        <v>113</v>
      </c>
      <c r="X31" s="93" t="s">
        <v>113</v>
      </c>
      <c r="Y31" s="93" t="s">
        <v>113</v>
      </c>
      <c r="Z31" s="94">
        <v>56</v>
      </c>
      <c r="AA31" s="93" t="s">
        <v>113</v>
      </c>
      <c r="AB31" s="93" t="s">
        <v>113</v>
      </c>
      <c r="AC31" s="94">
        <v>203</v>
      </c>
      <c r="AD31" s="93" t="s">
        <v>113</v>
      </c>
      <c r="AE31" s="93" t="s">
        <v>113</v>
      </c>
      <c r="AF31" s="93" t="s">
        <v>113</v>
      </c>
      <c r="AG31" s="93" t="s">
        <v>113</v>
      </c>
      <c r="AH31" s="93" t="s">
        <v>113</v>
      </c>
      <c r="AI31" s="93" t="s">
        <v>113</v>
      </c>
      <c r="AJ31" s="93" t="s">
        <v>113</v>
      </c>
      <c r="AK31" s="93" t="s">
        <v>113</v>
      </c>
      <c r="AL31" s="93" t="s">
        <v>113</v>
      </c>
      <c r="AM31" s="93"/>
      <c r="AN31" s="93" t="s">
        <v>113</v>
      </c>
      <c r="AO31" s="93" t="s">
        <v>114</v>
      </c>
      <c r="AP31" s="94">
        <v>417</v>
      </c>
      <c r="AQ31" s="94" t="s">
        <v>100</v>
      </c>
      <c r="AR31" s="93">
        <v>417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s="6" customFormat="1" ht="16.5">
      <c r="A32" s="93">
        <v>418</v>
      </c>
      <c r="B32" s="93" t="s">
        <v>113</v>
      </c>
      <c r="C32" s="94">
        <v>76</v>
      </c>
      <c r="D32" s="94">
        <v>0</v>
      </c>
      <c r="E32" s="94">
        <v>0</v>
      </c>
      <c r="F32" s="94">
        <v>0</v>
      </c>
      <c r="G32" s="94">
        <v>0</v>
      </c>
      <c r="H32" s="94">
        <v>0</v>
      </c>
      <c r="I32" s="94">
        <v>24</v>
      </c>
      <c r="J32" s="94">
        <v>0</v>
      </c>
      <c r="K32" s="94">
        <v>0</v>
      </c>
      <c r="L32" s="94">
        <v>0</v>
      </c>
      <c r="M32" s="74" t="str">
        <f t="array" ref="M32">_xlfn.TEXTJOIN("-", TRUE, IF(C32:L32&gt;0, $C$2:$L$2, ""))</f>
        <v xml:space="preserve"> Ti-Nb</v>
      </c>
      <c r="N32" s="90">
        <f t="shared" si="0"/>
        <v>6</v>
      </c>
      <c r="O32" s="91">
        <f t="shared" si="1"/>
        <v>2</v>
      </c>
      <c r="P32" s="94">
        <v>1</v>
      </c>
      <c r="Q32" s="94">
        <v>1</v>
      </c>
      <c r="R32" s="93" t="s">
        <v>113</v>
      </c>
      <c r="S32" s="93" t="s">
        <v>113</v>
      </c>
      <c r="T32" s="93" t="s">
        <v>113</v>
      </c>
      <c r="U32" s="93" t="s">
        <v>113</v>
      </c>
      <c r="V32" s="93">
        <v>1</v>
      </c>
      <c r="W32" s="93" t="s">
        <v>113</v>
      </c>
      <c r="X32" s="93" t="s">
        <v>113</v>
      </c>
      <c r="Y32" s="93" t="s">
        <v>113</v>
      </c>
      <c r="Z32" s="94">
        <v>58</v>
      </c>
      <c r="AA32" s="93" t="s">
        <v>113</v>
      </c>
      <c r="AB32" s="93" t="s">
        <v>113</v>
      </c>
      <c r="AC32" s="94">
        <v>301</v>
      </c>
      <c r="AD32" s="93" t="s">
        <v>113</v>
      </c>
      <c r="AE32" s="93" t="s">
        <v>113</v>
      </c>
      <c r="AF32" s="93" t="s">
        <v>113</v>
      </c>
      <c r="AG32" s="93" t="s">
        <v>113</v>
      </c>
      <c r="AH32" s="93" t="s">
        <v>113</v>
      </c>
      <c r="AI32" s="93" t="s">
        <v>113</v>
      </c>
      <c r="AJ32" s="93" t="s">
        <v>113</v>
      </c>
      <c r="AK32" s="93" t="s">
        <v>113</v>
      </c>
      <c r="AL32" s="93" t="s">
        <v>113</v>
      </c>
      <c r="AM32" s="93"/>
      <c r="AN32" s="93" t="s">
        <v>113</v>
      </c>
      <c r="AO32" s="93" t="s">
        <v>114</v>
      </c>
      <c r="AP32" s="94">
        <v>418</v>
      </c>
      <c r="AQ32" s="94" t="s">
        <v>100</v>
      </c>
      <c r="AR32" s="93">
        <v>418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6" customFormat="1" ht="16.5">
      <c r="A33" s="93">
        <v>419</v>
      </c>
      <c r="B33" s="93" t="s">
        <v>113</v>
      </c>
      <c r="C33" s="94">
        <v>76</v>
      </c>
      <c r="D33" s="94">
        <v>0</v>
      </c>
      <c r="E33" s="94">
        <v>0</v>
      </c>
      <c r="F33" s="94">
        <v>0</v>
      </c>
      <c r="G33" s="94">
        <v>0</v>
      </c>
      <c r="H33" s="94">
        <v>0</v>
      </c>
      <c r="I33" s="94">
        <v>24</v>
      </c>
      <c r="J33" s="94">
        <v>0</v>
      </c>
      <c r="K33" s="94">
        <v>0</v>
      </c>
      <c r="L33" s="94">
        <v>0</v>
      </c>
      <c r="M33" s="74" t="str">
        <f t="array" ref="M33">_xlfn.TEXTJOIN("-", TRUE, IF(C33:L33&gt;0, $C$2:$L$2, ""))</f>
        <v xml:space="preserve"> Ti-Nb</v>
      </c>
      <c r="N33" s="90">
        <f t="shared" si="0"/>
        <v>6</v>
      </c>
      <c r="O33" s="91">
        <f t="shared" si="1"/>
        <v>2</v>
      </c>
      <c r="P33" s="94">
        <v>1</v>
      </c>
      <c r="Q33" s="94">
        <v>1</v>
      </c>
      <c r="R33" s="93" t="s">
        <v>113</v>
      </c>
      <c r="S33" s="93" t="s">
        <v>113</v>
      </c>
      <c r="T33" s="93" t="s">
        <v>113</v>
      </c>
      <c r="U33" s="93" t="s">
        <v>113</v>
      </c>
      <c r="V33" s="93">
        <v>1</v>
      </c>
      <c r="W33" s="93" t="s">
        <v>113</v>
      </c>
      <c r="X33" s="93" t="s">
        <v>113</v>
      </c>
      <c r="Y33" s="93" t="s">
        <v>113</v>
      </c>
      <c r="Z33" s="94">
        <v>62</v>
      </c>
      <c r="AA33" s="93" t="s">
        <v>113</v>
      </c>
      <c r="AB33" s="93" t="s">
        <v>113</v>
      </c>
      <c r="AC33" s="94">
        <v>575</v>
      </c>
      <c r="AD33" s="93" t="s">
        <v>113</v>
      </c>
      <c r="AE33" s="93" t="s">
        <v>113</v>
      </c>
      <c r="AF33" s="93" t="s">
        <v>113</v>
      </c>
      <c r="AG33" s="93" t="s">
        <v>113</v>
      </c>
      <c r="AH33" s="93" t="s">
        <v>113</v>
      </c>
      <c r="AI33" s="93" t="s">
        <v>113</v>
      </c>
      <c r="AJ33" s="93" t="s">
        <v>113</v>
      </c>
      <c r="AK33" s="93" t="s">
        <v>113</v>
      </c>
      <c r="AL33" s="93" t="s">
        <v>113</v>
      </c>
      <c r="AM33" s="93"/>
      <c r="AN33" s="93" t="s">
        <v>113</v>
      </c>
      <c r="AO33" s="93" t="s">
        <v>114</v>
      </c>
      <c r="AP33" s="94">
        <v>419</v>
      </c>
      <c r="AQ33" s="94" t="s">
        <v>100</v>
      </c>
      <c r="AR33" s="93">
        <v>419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6" customFormat="1" ht="16.5">
      <c r="A34" s="93">
        <v>494</v>
      </c>
      <c r="B34" s="93" t="s">
        <v>113</v>
      </c>
      <c r="C34" s="94">
        <v>76</v>
      </c>
      <c r="D34" s="94">
        <v>0</v>
      </c>
      <c r="E34" s="94">
        <v>0</v>
      </c>
      <c r="F34" s="94">
        <v>0</v>
      </c>
      <c r="G34" s="94">
        <v>0</v>
      </c>
      <c r="H34" s="94">
        <v>0</v>
      </c>
      <c r="I34" s="94">
        <v>24</v>
      </c>
      <c r="J34" s="94">
        <v>0</v>
      </c>
      <c r="K34" s="94">
        <v>0</v>
      </c>
      <c r="L34" s="94">
        <v>0</v>
      </c>
      <c r="M34" s="74" t="str">
        <f t="array" ref="M34">_xlfn.TEXTJOIN("-", TRUE, IF(C34:L34&gt;0, $C$2:$L$2, ""))</f>
        <v xml:space="preserve"> Ti-Nb</v>
      </c>
      <c r="N34" s="90">
        <f t="shared" si="0"/>
        <v>6</v>
      </c>
      <c r="O34" s="91">
        <f t="shared" si="1"/>
        <v>2</v>
      </c>
      <c r="P34" s="94">
        <v>1</v>
      </c>
      <c r="Q34" s="94">
        <v>1</v>
      </c>
      <c r="R34" s="93" t="s">
        <v>113</v>
      </c>
      <c r="S34" s="93" t="s">
        <v>113</v>
      </c>
      <c r="T34" s="93" t="s">
        <v>113</v>
      </c>
      <c r="U34" s="93" t="s">
        <v>113</v>
      </c>
      <c r="V34" s="94">
        <v>1</v>
      </c>
      <c r="W34" s="93" t="s">
        <v>113</v>
      </c>
      <c r="X34" s="93" t="s">
        <v>113</v>
      </c>
      <c r="Y34" s="93" t="s">
        <v>113</v>
      </c>
      <c r="Z34" s="94">
        <v>60</v>
      </c>
      <c r="AA34" s="93" t="s">
        <v>113</v>
      </c>
      <c r="AB34" s="93" t="s">
        <v>113</v>
      </c>
      <c r="AC34" s="94">
        <v>300</v>
      </c>
      <c r="AD34" s="93" t="s">
        <v>113</v>
      </c>
      <c r="AE34" s="93" t="s">
        <v>113</v>
      </c>
      <c r="AF34" s="93" t="s">
        <v>113</v>
      </c>
      <c r="AG34" s="93" t="s">
        <v>113</v>
      </c>
      <c r="AH34" s="93" t="s">
        <v>113</v>
      </c>
      <c r="AI34" s="93" t="s">
        <v>113</v>
      </c>
      <c r="AJ34" s="93" t="s">
        <v>113</v>
      </c>
      <c r="AK34" s="93" t="s">
        <v>113</v>
      </c>
      <c r="AL34" s="93" t="s">
        <v>113</v>
      </c>
      <c r="AM34" s="93"/>
      <c r="AN34" s="93" t="s">
        <v>113</v>
      </c>
      <c r="AO34" s="93" t="s">
        <v>114</v>
      </c>
      <c r="AP34" s="94">
        <v>494</v>
      </c>
      <c r="AQ34" s="94" t="s">
        <v>100</v>
      </c>
      <c r="AR34" s="93">
        <v>494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s="6" customFormat="1" ht="16.5">
      <c r="A35" s="93">
        <v>422</v>
      </c>
      <c r="B35" s="93" t="s">
        <v>113</v>
      </c>
      <c r="C35" s="94">
        <v>91.67</v>
      </c>
      <c r="D35" s="94">
        <v>0</v>
      </c>
      <c r="E35" s="94">
        <v>0</v>
      </c>
      <c r="F35" s="94">
        <v>0</v>
      </c>
      <c r="G35" s="94">
        <v>0</v>
      </c>
      <c r="H35" s="94">
        <v>0</v>
      </c>
      <c r="I35" s="94">
        <v>8.33</v>
      </c>
      <c r="J35" s="94">
        <v>0</v>
      </c>
      <c r="K35" s="94">
        <v>0</v>
      </c>
      <c r="L35" s="94">
        <v>0</v>
      </c>
      <c r="M35" s="74" t="str">
        <f t="array" ref="M35">_xlfn.TEXTJOIN("-", TRUE, IF(C35:L35&gt;0, $C$2:$L$2, ""))</f>
        <v xml:space="preserve"> Ti-Nb</v>
      </c>
      <c r="N35" s="90">
        <f t="shared" si="0"/>
        <v>6</v>
      </c>
      <c r="O35" s="91">
        <f t="shared" si="1"/>
        <v>2</v>
      </c>
      <c r="P35" s="94">
        <v>1</v>
      </c>
      <c r="Q35" s="94">
        <v>1</v>
      </c>
      <c r="R35" s="93" t="s">
        <v>113</v>
      </c>
      <c r="S35" s="93" t="s">
        <v>113</v>
      </c>
      <c r="T35" s="93" t="s">
        <v>113</v>
      </c>
      <c r="U35" s="93" t="s">
        <v>113</v>
      </c>
      <c r="V35" s="94">
        <v>4</v>
      </c>
      <c r="W35" s="93" t="s">
        <v>113</v>
      </c>
      <c r="X35" s="93" t="s">
        <v>113</v>
      </c>
      <c r="Y35" s="93" t="s">
        <v>113</v>
      </c>
      <c r="Z35" s="94">
        <v>96</v>
      </c>
      <c r="AA35" s="93" t="s">
        <v>113</v>
      </c>
      <c r="AB35" s="93" t="s">
        <v>113</v>
      </c>
      <c r="AC35" s="94">
        <v>558</v>
      </c>
      <c r="AD35" s="93" t="s">
        <v>113</v>
      </c>
      <c r="AE35" s="93" t="s">
        <v>113</v>
      </c>
      <c r="AF35" s="93" t="s">
        <v>113</v>
      </c>
      <c r="AG35" s="93" t="s">
        <v>113</v>
      </c>
      <c r="AH35" s="93" t="s">
        <v>113</v>
      </c>
      <c r="AI35" s="93" t="s">
        <v>113</v>
      </c>
      <c r="AJ35" s="93" t="s">
        <v>113</v>
      </c>
      <c r="AK35" s="93" t="s">
        <v>113</v>
      </c>
      <c r="AL35" s="93" t="s">
        <v>113</v>
      </c>
      <c r="AM35" s="93"/>
      <c r="AN35" s="93" t="s">
        <v>113</v>
      </c>
      <c r="AO35" s="93" t="s">
        <v>114</v>
      </c>
      <c r="AP35" s="94">
        <v>422</v>
      </c>
      <c r="AQ35" s="94" t="s">
        <v>100</v>
      </c>
      <c r="AR35" s="93">
        <v>422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s="6" customFormat="1" ht="16.5">
      <c r="A36" s="93">
        <v>423</v>
      </c>
      <c r="B36" s="93" t="s">
        <v>113</v>
      </c>
      <c r="C36" s="94">
        <v>91.67</v>
      </c>
      <c r="D36" s="94">
        <v>0</v>
      </c>
      <c r="E36" s="94">
        <v>0</v>
      </c>
      <c r="F36" s="94">
        <v>0</v>
      </c>
      <c r="G36" s="94">
        <v>0</v>
      </c>
      <c r="H36" s="94">
        <v>0</v>
      </c>
      <c r="I36" s="94">
        <v>8.33</v>
      </c>
      <c r="J36" s="94">
        <v>0</v>
      </c>
      <c r="K36" s="94">
        <v>0</v>
      </c>
      <c r="L36" s="94">
        <v>0</v>
      </c>
      <c r="M36" s="74" t="str">
        <f t="array" ref="M36">_xlfn.TEXTJOIN("-", TRUE, IF(C36:L36&gt;0, $C$2:$L$2, ""))</f>
        <v xml:space="preserve"> Ti-Nb</v>
      </c>
      <c r="N36" s="90">
        <f t="shared" si="0"/>
        <v>6</v>
      </c>
      <c r="O36" s="91">
        <f t="shared" si="1"/>
        <v>2</v>
      </c>
      <c r="P36" s="94">
        <v>1</v>
      </c>
      <c r="Q36" s="94">
        <v>1</v>
      </c>
      <c r="R36" s="93" t="s">
        <v>113</v>
      </c>
      <c r="S36" s="93" t="s">
        <v>113</v>
      </c>
      <c r="T36" s="93" t="s">
        <v>113</v>
      </c>
      <c r="U36" s="93" t="s">
        <v>113</v>
      </c>
      <c r="V36" s="94">
        <v>4</v>
      </c>
      <c r="W36" s="93" t="s">
        <v>113</v>
      </c>
      <c r="X36" s="93" t="s">
        <v>113</v>
      </c>
      <c r="Y36" s="93" t="s">
        <v>113</v>
      </c>
      <c r="Z36" s="94">
        <v>103</v>
      </c>
      <c r="AA36" s="93" t="s">
        <v>113</v>
      </c>
      <c r="AB36" s="93" t="s">
        <v>113</v>
      </c>
      <c r="AC36" s="94">
        <v>744</v>
      </c>
      <c r="AD36" s="93" t="s">
        <v>113</v>
      </c>
      <c r="AE36" s="93" t="s">
        <v>113</v>
      </c>
      <c r="AF36" s="93" t="s">
        <v>113</v>
      </c>
      <c r="AG36" s="93" t="s">
        <v>113</v>
      </c>
      <c r="AH36" s="93" t="s">
        <v>113</v>
      </c>
      <c r="AI36" s="93" t="s">
        <v>113</v>
      </c>
      <c r="AJ36" s="93" t="s">
        <v>113</v>
      </c>
      <c r="AK36" s="93" t="s">
        <v>113</v>
      </c>
      <c r="AL36" s="93" t="s">
        <v>113</v>
      </c>
      <c r="AM36" s="93"/>
      <c r="AN36" s="93" t="s">
        <v>113</v>
      </c>
      <c r="AO36" s="93" t="s">
        <v>114</v>
      </c>
      <c r="AP36" s="94">
        <v>423</v>
      </c>
      <c r="AQ36" s="94" t="s">
        <v>100</v>
      </c>
      <c r="AR36" s="93">
        <v>423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6" customFormat="1" ht="16.5">
      <c r="A37" s="93">
        <v>424</v>
      </c>
      <c r="B37" s="93" t="s">
        <v>113</v>
      </c>
      <c r="C37" s="94">
        <v>91.67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94">
        <v>8.33</v>
      </c>
      <c r="J37" s="94">
        <v>0</v>
      </c>
      <c r="K37" s="94">
        <v>0</v>
      </c>
      <c r="L37" s="94">
        <v>0</v>
      </c>
      <c r="M37" s="74" t="str">
        <f t="array" ref="M37">_xlfn.TEXTJOIN("-", TRUE, IF(C37:L37&gt;0, $C$2:$L$2, ""))</f>
        <v xml:space="preserve"> Ti-Nb</v>
      </c>
      <c r="N37" s="90">
        <f t="shared" si="0"/>
        <v>6</v>
      </c>
      <c r="O37" s="91">
        <f t="shared" si="1"/>
        <v>2</v>
      </c>
      <c r="P37" s="94">
        <v>1</v>
      </c>
      <c r="Q37" s="94">
        <v>1</v>
      </c>
      <c r="R37" s="93" t="s">
        <v>113</v>
      </c>
      <c r="S37" s="93" t="s">
        <v>113</v>
      </c>
      <c r="T37" s="93" t="s">
        <v>113</v>
      </c>
      <c r="U37" s="93" t="s">
        <v>113</v>
      </c>
      <c r="V37" s="94">
        <v>4</v>
      </c>
      <c r="W37" s="93" t="s">
        <v>113</v>
      </c>
      <c r="X37" s="93" t="s">
        <v>113</v>
      </c>
      <c r="Y37" s="93" t="s">
        <v>113</v>
      </c>
      <c r="Z37" s="94">
        <v>102</v>
      </c>
      <c r="AA37" s="93" t="s">
        <v>113</v>
      </c>
      <c r="AB37" s="93" t="s">
        <v>113</v>
      </c>
      <c r="AC37" s="94">
        <v>962</v>
      </c>
      <c r="AD37" s="93" t="s">
        <v>113</v>
      </c>
      <c r="AE37" s="93" t="s">
        <v>113</v>
      </c>
      <c r="AF37" s="93" t="s">
        <v>113</v>
      </c>
      <c r="AG37" s="93" t="s">
        <v>113</v>
      </c>
      <c r="AH37" s="93" t="s">
        <v>113</v>
      </c>
      <c r="AI37" s="93" t="s">
        <v>113</v>
      </c>
      <c r="AJ37" s="93" t="s">
        <v>113</v>
      </c>
      <c r="AK37" s="93" t="s">
        <v>113</v>
      </c>
      <c r="AL37" s="93" t="s">
        <v>113</v>
      </c>
      <c r="AM37" s="93"/>
      <c r="AN37" s="93" t="s">
        <v>113</v>
      </c>
      <c r="AO37" s="93" t="s">
        <v>114</v>
      </c>
      <c r="AP37" s="94">
        <v>424</v>
      </c>
      <c r="AQ37" s="94" t="s">
        <v>100</v>
      </c>
      <c r="AR37" s="93">
        <v>424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6" customFormat="1" ht="16.5">
      <c r="A38" s="93">
        <v>425</v>
      </c>
      <c r="B38" s="93" t="s">
        <v>113</v>
      </c>
      <c r="C38" s="94">
        <v>90.149999999999991</v>
      </c>
      <c r="D38" s="94">
        <v>0</v>
      </c>
      <c r="E38" s="94">
        <v>0</v>
      </c>
      <c r="F38" s="94">
        <v>0</v>
      </c>
      <c r="G38" s="94">
        <v>0</v>
      </c>
      <c r="H38" s="94">
        <v>0</v>
      </c>
      <c r="I38" s="94">
        <v>9.85</v>
      </c>
      <c r="J38" s="94">
        <v>0</v>
      </c>
      <c r="K38" s="94">
        <v>0</v>
      </c>
      <c r="L38" s="94">
        <v>0</v>
      </c>
      <c r="M38" s="74" t="str">
        <f t="array" ref="M38">_xlfn.TEXTJOIN("-", TRUE, IF(C38:L38&gt;0, $C$2:$L$2, ""))</f>
        <v xml:space="preserve"> Ti-Nb</v>
      </c>
      <c r="N38" s="90">
        <f t="shared" si="0"/>
        <v>6</v>
      </c>
      <c r="O38" s="91">
        <f t="shared" si="1"/>
        <v>2</v>
      </c>
      <c r="P38" s="94">
        <v>1</v>
      </c>
      <c r="Q38" s="94">
        <v>1</v>
      </c>
      <c r="R38" s="93" t="s">
        <v>113</v>
      </c>
      <c r="S38" s="93" t="s">
        <v>113</v>
      </c>
      <c r="T38" s="93" t="s">
        <v>113</v>
      </c>
      <c r="U38" s="93" t="s">
        <v>113</v>
      </c>
      <c r="V38" s="94">
        <v>4</v>
      </c>
      <c r="W38" s="93" t="s">
        <v>113</v>
      </c>
      <c r="X38" s="93" t="s">
        <v>113</v>
      </c>
      <c r="Y38" s="93" t="s">
        <v>113</v>
      </c>
      <c r="Z38" s="94">
        <v>89</v>
      </c>
      <c r="AA38" s="93" t="s">
        <v>113</v>
      </c>
      <c r="AB38" s="93" t="s">
        <v>113</v>
      </c>
      <c r="AC38" s="94">
        <v>628</v>
      </c>
      <c r="AD38" s="93" t="s">
        <v>113</v>
      </c>
      <c r="AE38" s="93" t="s">
        <v>113</v>
      </c>
      <c r="AF38" s="93" t="s">
        <v>113</v>
      </c>
      <c r="AG38" s="93" t="s">
        <v>113</v>
      </c>
      <c r="AH38" s="93" t="s">
        <v>113</v>
      </c>
      <c r="AI38" s="93" t="s">
        <v>113</v>
      </c>
      <c r="AJ38" s="93" t="s">
        <v>113</v>
      </c>
      <c r="AK38" s="93" t="s">
        <v>113</v>
      </c>
      <c r="AL38" s="93" t="s">
        <v>113</v>
      </c>
      <c r="AM38" s="93"/>
      <c r="AN38" s="93" t="s">
        <v>113</v>
      </c>
      <c r="AO38" s="93" t="s">
        <v>114</v>
      </c>
      <c r="AP38" s="94">
        <v>425</v>
      </c>
      <c r="AQ38" s="94" t="s">
        <v>100</v>
      </c>
      <c r="AR38" s="93">
        <v>425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6" customFormat="1" ht="16.5">
      <c r="A39" s="93">
        <v>426</v>
      </c>
      <c r="B39" s="93" t="s">
        <v>113</v>
      </c>
      <c r="C39" s="94">
        <v>90.149999999999991</v>
      </c>
      <c r="D39" s="94">
        <v>0</v>
      </c>
      <c r="E39" s="94">
        <v>0</v>
      </c>
      <c r="F39" s="94">
        <v>0</v>
      </c>
      <c r="G39" s="94">
        <v>0</v>
      </c>
      <c r="H39" s="94">
        <v>0</v>
      </c>
      <c r="I39" s="94">
        <v>9.85</v>
      </c>
      <c r="J39" s="94">
        <v>0</v>
      </c>
      <c r="K39" s="94">
        <v>0</v>
      </c>
      <c r="L39" s="94">
        <v>0</v>
      </c>
      <c r="M39" s="74" t="str">
        <f t="array" ref="M39">_xlfn.TEXTJOIN("-", TRUE, IF(C39:L39&gt;0, $C$2:$L$2, ""))</f>
        <v xml:space="preserve"> Ti-Nb</v>
      </c>
      <c r="N39" s="90">
        <f t="shared" si="0"/>
        <v>6</v>
      </c>
      <c r="O39" s="91">
        <f t="shared" si="1"/>
        <v>2</v>
      </c>
      <c r="P39" s="94">
        <v>1</v>
      </c>
      <c r="Q39" s="94">
        <v>1</v>
      </c>
      <c r="R39" s="93" t="s">
        <v>113</v>
      </c>
      <c r="S39" s="93" t="s">
        <v>113</v>
      </c>
      <c r="T39" s="93" t="s">
        <v>113</v>
      </c>
      <c r="U39" s="93" t="s">
        <v>113</v>
      </c>
      <c r="V39" s="94">
        <v>4</v>
      </c>
      <c r="W39" s="93" t="s">
        <v>113</v>
      </c>
      <c r="X39" s="93" t="s">
        <v>113</v>
      </c>
      <c r="Y39" s="93" t="s">
        <v>113</v>
      </c>
      <c r="Z39" s="94">
        <v>91</v>
      </c>
      <c r="AA39" s="93" t="s">
        <v>113</v>
      </c>
      <c r="AB39" s="93" t="s">
        <v>113</v>
      </c>
      <c r="AC39" s="94">
        <v>822</v>
      </c>
      <c r="AD39" s="93" t="s">
        <v>113</v>
      </c>
      <c r="AE39" s="93" t="s">
        <v>113</v>
      </c>
      <c r="AF39" s="93" t="s">
        <v>113</v>
      </c>
      <c r="AG39" s="93" t="s">
        <v>113</v>
      </c>
      <c r="AH39" s="93" t="s">
        <v>113</v>
      </c>
      <c r="AI39" s="93" t="s">
        <v>113</v>
      </c>
      <c r="AJ39" s="93" t="s">
        <v>113</v>
      </c>
      <c r="AK39" s="93" t="s">
        <v>113</v>
      </c>
      <c r="AL39" s="93" t="s">
        <v>113</v>
      </c>
      <c r="AM39" s="93"/>
      <c r="AN39" s="93" t="s">
        <v>113</v>
      </c>
      <c r="AO39" s="93" t="s">
        <v>114</v>
      </c>
      <c r="AP39" s="94">
        <v>426</v>
      </c>
      <c r="AQ39" s="94" t="s">
        <v>100</v>
      </c>
      <c r="AR39" s="93">
        <v>426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s="6" customFormat="1" ht="16.5">
      <c r="A40" s="93">
        <v>427</v>
      </c>
      <c r="B40" s="93" t="s">
        <v>113</v>
      </c>
      <c r="C40" s="94">
        <v>90.149999999999991</v>
      </c>
      <c r="D40" s="94">
        <v>0</v>
      </c>
      <c r="E40" s="94">
        <v>0</v>
      </c>
      <c r="F40" s="94">
        <v>0</v>
      </c>
      <c r="G40" s="94">
        <v>0</v>
      </c>
      <c r="H40" s="94">
        <v>0</v>
      </c>
      <c r="I40" s="94">
        <v>9.85</v>
      </c>
      <c r="J40" s="94">
        <v>0</v>
      </c>
      <c r="K40" s="94">
        <v>0</v>
      </c>
      <c r="L40" s="94">
        <v>0</v>
      </c>
      <c r="M40" s="74" t="str">
        <f t="array" ref="M40">_xlfn.TEXTJOIN("-", TRUE, IF(C40:L40&gt;0, $C$2:$L$2, ""))</f>
        <v xml:space="preserve"> Ti-Nb</v>
      </c>
      <c r="N40" s="90">
        <f t="shared" si="0"/>
        <v>6</v>
      </c>
      <c r="O40" s="91">
        <f t="shared" si="1"/>
        <v>2</v>
      </c>
      <c r="P40" s="94">
        <v>1</v>
      </c>
      <c r="Q40" s="94">
        <v>1</v>
      </c>
      <c r="R40" s="93" t="s">
        <v>113</v>
      </c>
      <c r="S40" s="93" t="s">
        <v>113</v>
      </c>
      <c r="T40" s="93" t="s">
        <v>113</v>
      </c>
      <c r="U40" s="93" t="s">
        <v>113</v>
      </c>
      <c r="V40" s="94">
        <v>4</v>
      </c>
      <c r="W40" s="93" t="s">
        <v>113</v>
      </c>
      <c r="X40" s="93" t="s">
        <v>113</v>
      </c>
      <c r="Y40" s="93" t="s">
        <v>113</v>
      </c>
      <c r="Z40" s="94">
        <v>92</v>
      </c>
      <c r="AA40" s="93" t="s">
        <v>113</v>
      </c>
      <c r="AB40" s="93" t="s">
        <v>113</v>
      </c>
      <c r="AC40" s="94">
        <v>893</v>
      </c>
      <c r="AD40" s="93" t="s">
        <v>113</v>
      </c>
      <c r="AE40" s="93" t="s">
        <v>113</v>
      </c>
      <c r="AF40" s="93" t="s">
        <v>113</v>
      </c>
      <c r="AG40" s="93" t="s">
        <v>113</v>
      </c>
      <c r="AH40" s="93" t="s">
        <v>113</v>
      </c>
      <c r="AI40" s="93" t="s">
        <v>113</v>
      </c>
      <c r="AJ40" s="93" t="s">
        <v>113</v>
      </c>
      <c r="AK40" s="93" t="s">
        <v>113</v>
      </c>
      <c r="AL40" s="93" t="s">
        <v>113</v>
      </c>
      <c r="AM40" s="93"/>
      <c r="AN40" s="93" t="s">
        <v>113</v>
      </c>
      <c r="AO40" s="93" t="s">
        <v>114</v>
      </c>
      <c r="AP40" s="94">
        <v>427</v>
      </c>
      <c r="AQ40" s="94" t="s">
        <v>100</v>
      </c>
      <c r="AR40" s="93">
        <v>427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6" customFormat="1" ht="16.5">
      <c r="A41" s="93">
        <v>428</v>
      </c>
      <c r="B41" s="93" t="s">
        <v>113</v>
      </c>
      <c r="C41" s="94">
        <v>88.59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94">
        <v>11.41</v>
      </c>
      <c r="J41" s="94">
        <v>0</v>
      </c>
      <c r="K41" s="94">
        <v>0</v>
      </c>
      <c r="L41" s="94">
        <v>0</v>
      </c>
      <c r="M41" s="74" t="str">
        <f t="array" ref="M41">_xlfn.TEXTJOIN("-", TRUE, IF(C41:L41&gt;0, $C$2:$L$2, ""))</f>
        <v xml:space="preserve"> Ti-Nb</v>
      </c>
      <c r="N41" s="90">
        <f t="shared" si="0"/>
        <v>6</v>
      </c>
      <c r="O41" s="91">
        <f t="shared" si="1"/>
        <v>2</v>
      </c>
      <c r="P41" s="94">
        <v>1</v>
      </c>
      <c r="Q41" s="94">
        <v>1</v>
      </c>
      <c r="R41" s="93" t="s">
        <v>113</v>
      </c>
      <c r="S41" s="93" t="s">
        <v>113</v>
      </c>
      <c r="T41" s="93" t="s">
        <v>113</v>
      </c>
      <c r="U41" s="93" t="s">
        <v>113</v>
      </c>
      <c r="V41" s="94">
        <v>4</v>
      </c>
      <c r="W41" s="93" t="s">
        <v>113</v>
      </c>
      <c r="X41" s="93" t="s">
        <v>113</v>
      </c>
      <c r="Y41" s="93" t="s">
        <v>113</v>
      </c>
      <c r="Z41" s="94">
        <v>89</v>
      </c>
      <c r="AA41" s="93" t="s">
        <v>113</v>
      </c>
      <c r="AB41" s="93" t="s">
        <v>113</v>
      </c>
      <c r="AC41" s="94">
        <v>655</v>
      </c>
      <c r="AD41" s="93" t="s">
        <v>113</v>
      </c>
      <c r="AE41" s="93" t="s">
        <v>113</v>
      </c>
      <c r="AF41" s="93" t="s">
        <v>113</v>
      </c>
      <c r="AG41" s="93" t="s">
        <v>113</v>
      </c>
      <c r="AH41" s="93" t="s">
        <v>113</v>
      </c>
      <c r="AI41" s="93" t="s">
        <v>113</v>
      </c>
      <c r="AJ41" s="93" t="s">
        <v>113</v>
      </c>
      <c r="AK41" s="93" t="s">
        <v>113</v>
      </c>
      <c r="AL41" s="93" t="s">
        <v>113</v>
      </c>
      <c r="AM41" s="93"/>
      <c r="AN41" s="93" t="s">
        <v>113</v>
      </c>
      <c r="AO41" s="93" t="s">
        <v>114</v>
      </c>
      <c r="AP41" s="94">
        <v>428</v>
      </c>
      <c r="AQ41" s="94" t="s">
        <v>100</v>
      </c>
      <c r="AR41" s="93">
        <v>428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s="6" customFormat="1" ht="16.5">
      <c r="A42" s="93">
        <v>429</v>
      </c>
      <c r="B42" s="93" t="s">
        <v>113</v>
      </c>
      <c r="C42" s="94">
        <v>88.59</v>
      </c>
      <c r="D42" s="94">
        <v>0</v>
      </c>
      <c r="E42" s="94">
        <v>0</v>
      </c>
      <c r="F42" s="94">
        <v>0</v>
      </c>
      <c r="G42" s="94">
        <v>0</v>
      </c>
      <c r="H42" s="94">
        <v>0</v>
      </c>
      <c r="I42" s="94">
        <v>11.41</v>
      </c>
      <c r="J42" s="94">
        <v>0</v>
      </c>
      <c r="K42" s="94">
        <v>0</v>
      </c>
      <c r="L42" s="94">
        <v>0</v>
      </c>
      <c r="M42" s="74" t="str">
        <f t="array" ref="M42">_xlfn.TEXTJOIN("-", TRUE, IF(C42:L42&gt;0, $C$2:$L$2, ""))</f>
        <v xml:space="preserve"> Ti-Nb</v>
      </c>
      <c r="N42" s="90">
        <f t="shared" si="0"/>
        <v>6</v>
      </c>
      <c r="O42" s="91">
        <f t="shared" si="1"/>
        <v>2</v>
      </c>
      <c r="P42" s="94">
        <v>1</v>
      </c>
      <c r="Q42" s="94">
        <v>1</v>
      </c>
      <c r="R42" s="93" t="s">
        <v>113</v>
      </c>
      <c r="S42" s="93" t="s">
        <v>113</v>
      </c>
      <c r="T42" s="93" t="s">
        <v>113</v>
      </c>
      <c r="U42" s="93" t="s">
        <v>113</v>
      </c>
      <c r="V42" s="94">
        <v>4</v>
      </c>
      <c r="W42" s="93" t="s">
        <v>113</v>
      </c>
      <c r="X42" s="93" t="s">
        <v>113</v>
      </c>
      <c r="Y42" s="93" t="s">
        <v>113</v>
      </c>
      <c r="Z42" s="94">
        <v>87</v>
      </c>
      <c r="AA42" s="93" t="s">
        <v>113</v>
      </c>
      <c r="AB42" s="93" t="s">
        <v>113</v>
      </c>
      <c r="AC42" s="94">
        <v>818</v>
      </c>
      <c r="AD42" s="93" t="s">
        <v>113</v>
      </c>
      <c r="AE42" s="93" t="s">
        <v>113</v>
      </c>
      <c r="AF42" s="93" t="s">
        <v>113</v>
      </c>
      <c r="AG42" s="93" t="s">
        <v>113</v>
      </c>
      <c r="AH42" s="93" t="s">
        <v>113</v>
      </c>
      <c r="AI42" s="93" t="s">
        <v>113</v>
      </c>
      <c r="AJ42" s="93" t="s">
        <v>113</v>
      </c>
      <c r="AK42" s="93" t="s">
        <v>113</v>
      </c>
      <c r="AL42" s="93" t="s">
        <v>113</v>
      </c>
      <c r="AM42" s="93"/>
      <c r="AN42" s="93" t="s">
        <v>113</v>
      </c>
      <c r="AO42" s="93" t="s">
        <v>114</v>
      </c>
      <c r="AP42" s="94">
        <v>429</v>
      </c>
      <c r="AQ42" s="94" t="s">
        <v>100</v>
      </c>
      <c r="AR42" s="93">
        <v>429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6" customFormat="1" ht="16.5">
      <c r="A43" s="93">
        <v>430</v>
      </c>
      <c r="B43" s="93" t="s">
        <v>113</v>
      </c>
      <c r="C43" s="94">
        <v>88.59</v>
      </c>
      <c r="D43" s="94">
        <v>0</v>
      </c>
      <c r="E43" s="94">
        <v>0</v>
      </c>
      <c r="F43" s="94">
        <v>0</v>
      </c>
      <c r="G43" s="94">
        <v>0</v>
      </c>
      <c r="H43" s="94">
        <v>0</v>
      </c>
      <c r="I43" s="94">
        <v>11.41</v>
      </c>
      <c r="J43" s="94">
        <v>0</v>
      </c>
      <c r="K43" s="94">
        <v>0</v>
      </c>
      <c r="L43" s="94">
        <v>0</v>
      </c>
      <c r="M43" s="74" t="str">
        <f t="array" ref="M43">_xlfn.TEXTJOIN("-", TRUE, IF(C43:L43&gt;0, $C$2:$L$2, ""))</f>
        <v xml:space="preserve"> Ti-Nb</v>
      </c>
      <c r="N43" s="90">
        <f t="shared" si="0"/>
        <v>6</v>
      </c>
      <c r="O43" s="91">
        <f t="shared" si="1"/>
        <v>2</v>
      </c>
      <c r="P43" s="94">
        <v>1</v>
      </c>
      <c r="Q43" s="94">
        <v>1</v>
      </c>
      <c r="R43" s="93" t="s">
        <v>113</v>
      </c>
      <c r="S43" s="93" t="s">
        <v>113</v>
      </c>
      <c r="T43" s="93" t="s">
        <v>113</v>
      </c>
      <c r="U43" s="93" t="s">
        <v>113</v>
      </c>
      <c r="V43" s="94">
        <v>4</v>
      </c>
      <c r="W43" s="93" t="s">
        <v>113</v>
      </c>
      <c r="X43" s="93" t="s">
        <v>113</v>
      </c>
      <c r="Y43" s="93" t="s">
        <v>113</v>
      </c>
      <c r="Z43" s="94">
        <v>94</v>
      </c>
      <c r="AA43" s="93" t="s">
        <v>113</v>
      </c>
      <c r="AB43" s="93" t="s">
        <v>113</v>
      </c>
      <c r="AC43" s="94">
        <v>906</v>
      </c>
      <c r="AD43" s="93" t="s">
        <v>113</v>
      </c>
      <c r="AE43" s="93" t="s">
        <v>113</v>
      </c>
      <c r="AF43" s="93" t="s">
        <v>113</v>
      </c>
      <c r="AG43" s="93" t="s">
        <v>113</v>
      </c>
      <c r="AH43" s="93" t="s">
        <v>113</v>
      </c>
      <c r="AI43" s="93" t="s">
        <v>113</v>
      </c>
      <c r="AJ43" s="93" t="s">
        <v>113</v>
      </c>
      <c r="AK43" s="93" t="s">
        <v>113</v>
      </c>
      <c r="AL43" s="93" t="s">
        <v>113</v>
      </c>
      <c r="AM43" s="93"/>
      <c r="AN43" s="93" t="s">
        <v>113</v>
      </c>
      <c r="AO43" s="93" t="s">
        <v>114</v>
      </c>
      <c r="AP43" s="94">
        <v>430</v>
      </c>
      <c r="AQ43" s="94" t="s">
        <v>100</v>
      </c>
      <c r="AR43" s="93">
        <v>430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s="6" customFormat="1" ht="16.5">
      <c r="A44" s="93">
        <v>431</v>
      </c>
      <c r="B44" s="93" t="s">
        <v>113</v>
      </c>
      <c r="C44" s="94">
        <v>86.99</v>
      </c>
      <c r="D44" s="94">
        <v>0</v>
      </c>
      <c r="E44" s="94">
        <v>0</v>
      </c>
      <c r="F44" s="94">
        <v>0</v>
      </c>
      <c r="G44" s="94">
        <v>0</v>
      </c>
      <c r="H44" s="94">
        <v>0</v>
      </c>
      <c r="I44" s="94">
        <v>13.01</v>
      </c>
      <c r="J44" s="94">
        <v>0</v>
      </c>
      <c r="K44" s="94">
        <v>0</v>
      </c>
      <c r="L44" s="94">
        <v>0</v>
      </c>
      <c r="M44" s="74" t="str">
        <f t="array" ref="M44">_xlfn.TEXTJOIN("-", TRUE, IF(C44:L44&gt;0, $C$2:$L$2, ""))</f>
        <v xml:space="preserve"> Ti-Nb</v>
      </c>
      <c r="N44" s="90">
        <f t="shared" si="0"/>
        <v>6</v>
      </c>
      <c r="O44" s="91">
        <f t="shared" si="1"/>
        <v>2</v>
      </c>
      <c r="P44" s="94">
        <v>1</v>
      </c>
      <c r="Q44" s="94">
        <v>1</v>
      </c>
      <c r="R44" s="93" t="s">
        <v>113</v>
      </c>
      <c r="S44" s="93" t="s">
        <v>113</v>
      </c>
      <c r="T44" s="93" t="s">
        <v>113</v>
      </c>
      <c r="U44" s="93" t="s">
        <v>113</v>
      </c>
      <c r="V44" s="94">
        <v>4</v>
      </c>
      <c r="W44" s="93" t="s">
        <v>113</v>
      </c>
      <c r="X44" s="93" t="s">
        <v>113</v>
      </c>
      <c r="Y44" s="93" t="s">
        <v>113</v>
      </c>
      <c r="Z44" s="94">
        <v>89</v>
      </c>
      <c r="AA44" s="93" t="s">
        <v>113</v>
      </c>
      <c r="AB44" s="93" t="s">
        <v>113</v>
      </c>
      <c r="AC44" s="94">
        <v>734</v>
      </c>
      <c r="AD44" s="93" t="s">
        <v>113</v>
      </c>
      <c r="AE44" s="93" t="s">
        <v>113</v>
      </c>
      <c r="AF44" s="93" t="s">
        <v>113</v>
      </c>
      <c r="AG44" s="93" t="s">
        <v>113</v>
      </c>
      <c r="AH44" s="93" t="s">
        <v>113</v>
      </c>
      <c r="AI44" s="93" t="s">
        <v>113</v>
      </c>
      <c r="AJ44" s="93" t="s">
        <v>113</v>
      </c>
      <c r="AK44" s="93" t="s">
        <v>113</v>
      </c>
      <c r="AL44" s="93" t="s">
        <v>113</v>
      </c>
      <c r="AM44" s="93"/>
      <c r="AN44" s="93" t="s">
        <v>113</v>
      </c>
      <c r="AO44" s="93" t="s">
        <v>114</v>
      </c>
      <c r="AP44" s="94">
        <v>431</v>
      </c>
      <c r="AQ44" s="94" t="s">
        <v>100</v>
      </c>
      <c r="AR44" s="93">
        <v>431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s="6" customFormat="1" ht="16.5">
      <c r="A45" s="93">
        <v>432</v>
      </c>
      <c r="B45" s="93" t="s">
        <v>113</v>
      </c>
      <c r="C45" s="94">
        <v>86.99</v>
      </c>
      <c r="D45" s="94">
        <v>0</v>
      </c>
      <c r="E45" s="94">
        <v>0</v>
      </c>
      <c r="F45" s="94">
        <v>0</v>
      </c>
      <c r="G45" s="94">
        <v>0</v>
      </c>
      <c r="H45" s="94">
        <v>0</v>
      </c>
      <c r="I45" s="94">
        <v>13.01</v>
      </c>
      <c r="J45" s="94">
        <v>0</v>
      </c>
      <c r="K45" s="94">
        <v>0</v>
      </c>
      <c r="L45" s="94">
        <v>0</v>
      </c>
      <c r="M45" s="74" t="str">
        <f t="array" ref="M45">_xlfn.TEXTJOIN("-", TRUE, IF(C45:L45&gt;0, $C$2:$L$2, ""))</f>
        <v xml:space="preserve"> Ti-Nb</v>
      </c>
      <c r="N45" s="90">
        <f t="shared" si="0"/>
        <v>6</v>
      </c>
      <c r="O45" s="91">
        <f t="shared" si="1"/>
        <v>2</v>
      </c>
      <c r="P45" s="94">
        <v>1</v>
      </c>
      <c r="Q45" s="94">
        <v>1</v>
      </c>
      <c r="R45" s="93" t="s">
        <v>113</v>
      </c>
      <c r="S45" s="93" t="s">
        <v>113</v>
      </c>
      <c r="T45" s="93" t="s">
        <v>113</v>
      </c>
      <c r="U45" s="93" t="s">
        <v>113</v>
      </c>
      <c r="V45" s="94">
        <v>4</v>
      </c>
      <c r="W45" s="93" t="s">
        <v>113</v>
      </c>
      <c r="X45" s="93" t="s">
        <v>113</v>
      </c>
      <c r="Y45" s="93" t="s">
        <v>113</v>
      </c>
      <c r="Z45" s="94">
        <v>99</v>
      </c>
      <c r="AA45" s="93" t="s">
        <v>113</v>
      </c>
      <c r="AB45" s="93" t="s">
        <v>113</v>
      </c>
      <c r="AC45" s="94">
        <v>854</v>
      </c>
      <c r="AD45" s="93" t="s">
        <v>113</v>
      </c>
      <c r="AE45" s="93" t="s">
        <v>113</v>
      </c>
      <c r="AF45" s="93" t="s">
        <v>113</v>
      </c>
      <c r="AG45" s="93" t="s">
        <v>113</v>
      </c>
      <c r="AH45" s="93" t="s">
        <v>113</v>
      </c>
      <c r="AI45" s="93" t="s">
        <v>113</v>
      </c>
      <c r="AJ45" s="93" t="s">
        <v>113</v>
      </c>
      <c r="AK45" s="93" t="s">
        <v>113</v>
      </c>
      <c r="AL45" s="93" t="s">
        <v>113</v>
      </c>
      <c r="AM45" s="93"/>
      <c r="AN45" s="93" t="s">
        <v>113</v>
      </c>
      <c r="AO45" s="93" t="s">
        <v>114</v>
      </c>
      <c r="AP45" s="94">
        <v>432</v>
      </c>
      <c r="AQ45" s="94" t="s">
        <v>100</v>
      </c>
      <c r="AR45" s="93">
        <v>432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 s="6" customFormat="1" ht="16.5">
      <c r="A46" s="93">
        <v>433</v>
      </c>
      <c r="B46" s="93" t="s">
        <v>113</v>
      </c>
      <c r="C46" s="94">
        <v>86.99</v>
      </c>
      <c r="D46" s="94">
        <v>0</v>
      </c>
      <c r="E46" s="94">
        <v>0</v>
      </c>
      <c r="F46" s="94">
        <v>0</v>
      </c>
      <c r="G46" s="94">
        <v>0</v>
      </c>
      <c r="H46" s="94">
        <v>0</v>
      </c>
      <c r="I46" s="94">
        <v>13.01</v>
      </c>
      <c r="J46" s="94">
        <v>0</v>
      </c>
      <c r="K46" s="94">
        <v>0</v>
      </c>
      <c r="L46" s="94">
        <v>0</v>
      </c>
      <c r="M46" s="74" t="str">
        <f t="array" ref="M46">_xlfn.TEXTJOIN("-", TRUE, IF(C46:L46&gt;0, $C$2:$L$2, ""))</f>
        <v xml:space="preserve"> Ti-Nb</v>
      </c>
      <c r="N46" s="90">
        <f t="shared" si="0"/>
        <v>6</v>
      </c>
      <c r="O46" s="91">
        <f t="shared" si="1"/>
        <v>2</v>
      </c>
      <c r="P46" s="94">
        <v>1</v>
      </c>
      <c r="Q46" s="94">
        <v>1</v>
      </c>
      <c r="R46" s="93" t="s">
        <v>113</v>
      </c>
      <c r="S46" s="93" t="s">
        <v>113</v>
      </c>
      <c r="T46" s="93" t="s">
        <v>113</v>
      </c>
      <c r="U46" s="93" t="s">
        <v>113</v>
      </c>
      <c r="V46" s="94">
        <v>4</v>
      </c>
      <c r="W46" s="93" t="s">
        <v>113</v>
      </c>
      <c r="X46" s="93" t="s">
        <v>113</v>
      </c>
      <c r="Y46" s="93" t="s">
        <v>113</v>
      </c>
      <c r="Z46" s="94">
        <v>100</v>
      </c>
      <c r="AA46" s="93" t="s">
        <v>113</v>
      </c>
      <c r="AB46" s="93" t="s">
        <v>113</v>
      </c>
      <c r="AC46" s="94">
        <v>930</v>
      </c>
      <c r="AD46" s="93" t="s">
        <v>113</v>
      </c>
      <c r="AE46" s="93" t="s">
        <v>113</v>
      </c>
      <c r="AF46" s="93" t="s">
        <v>113</v>
      </c>
      <c r="AG46" s="93" t="s">
        <v>113</v>
      </c>
      <c r="AH46" s="93" t="s">
        <v>113</v>
      </c>
      <c r="AI46" s="93" t="s">
        <v>113</v>
      </c>
      <c r="AJ46" s="93" t="s">
        <v>113</v>
      </c>
      <c r="AK46" s="93" t="s">
        <v>113</v>
      </c>
      <c r="AL46" s="93" t="s">
        <v>113</v>
      </c>
      <c r="AM46" s="93"/>
      <c r="AN46" s="93" t="s">
        <v>113</v>
      </c>
      <c r="AO46" s="93" t="s">
        <v>114</v>
      </c>
      <c r="AP46" s="94">
        <v>433</v>
      </c>
      <c r="AQ46" s="94" t="s">
        <v>100</v>
      </c>
      <c r="AR46" s="93">
        <v>433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 s="6" customFormat="1" ht="16.5">
      <c r="A47" s="93">
        <v>454</v>
      </c>
      <c r="B47" s="93" t="s">
        <v>113</v>
      </c>
      <c r="C47" s="94">
        <v>78.28</v>
      </c>
      <c r="D47" s="94">
        <v>0</v>
      </c>
      <c r="E47" s="94">
        <v>0</v>
      </c>
      <c r="F47" s="94">
        <v>0</v>
      </c>
      <c r="G47" s="94">
        <v>0</v>
      </c>
      <c r="H47" s="94">
        <v>0</v>
      </c>
      <c r="I47" s="94">
        <v>21.72</v>
      </c>
      <c r="J47" s="94">
        <v>0</v>
      </c>
      <c r="K47" s="94">
        <v>0</v>
      </c>
      <c r="L47" s="94">
        <v>0</v>
      </c>
      <c r="M47" s="74" t="str">
        <f t="array" ref="M47">_xlfn.TEXTJOIN("-", TRUE, IF(C47:L47&gt;0, $C$2:$L$2, ""))</f>
        <v xml:space="preserve"> Ti-Nb</v>
      </c>
      <c r="N47" s="90">
        <f t="shared" si="0"/>
        <v>6</v>
      </c>
      <c r="O47" s="91">
        <f t="shared" si="1"/>
        <v>2</v>
      </c>
      <c r="P47" s="94">
        <v>1</v>
      </c>
      <c r="Q47" s="94">
        <v>1</v>
      </c>
      <c r="R47" s="93" t="s">
        <v>113</v>
      </c>
      <c r="S47" s="93" t="s">
        <v>113</v>
      </c>
      <c r="T47" s="93" t="s">
        <v>113</v>
      </c>
      <c r="U47" s="93" t="s">
        <v>113</v>
      </c>
      <c r="V47" s="93">
        <v>1</v>
      </c>
      <c r="W47" s="93" t="s">
        <v>113</v>
      </c>
      <c r="X47" s="93" t="s">
        <v>113</v>
      </c>
      <c r="Y47" s="93" t="s">
        <v>113</v>
      </c>
      <c r="Z47" s="94">
        <v>73.900000000000006</v>
      </c>
      <c r="AA47" s="93" t="s">
        <v>113</v>
      </c>
      <c r="AB47" s="93" t="s">
        <v>113</v>
      </c>
      <c r="AC47" s="94">
        <v>289</v>
      </c>
      <c r="AD47" s="93" t="s">
        <v>113</v>
      </c>
      <c r="AE47" s="93" t="s">
        <v>113</v>
      </c>
      <c r="AF47" s="93" t="s">
        <v>113</v>
      </c>
      <c r="AG47" s="93" t="s">
        <v>113</v>
      </c>
      <c r="AH47" s="93" t="s">
        <v>113</v>
      </c>
      <c r="AI47" s="93" t="s">
        <v>113</v>
      </c>
      <c r="AJ47" s="93" t="s">
        <v>113</v>
      </c>
      <c r="AK47" s="93" t="s">
        <v>113</v>
      </c>
      <c r="AL47" s="93" t="s">
        <v>113</v>
      </c>
      <c r="AM47" s="93"/>
      <c r="AN47" s="93" t="s">
        <v>113</v>
      </c>
      <c r="AO47" s="93" t="s">
        <v>114</v>
      </c>
      <c r="AP47" s="94">
        <v>454</v>
      </c>
      <c r="AQ47" s="94" t="s">
        <v>100</v>
      </c>
      <c r="AR47" s="93">
        <v>454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6" customFormat="1" ht="16.5">
      <c r="A48" s="93">
        <v>473</v>
      </c>
      <c r="B48" s="93" t="s">
        <v>113</v>
      </c>
      <c r="C48" s="94">
        <v>78.28</v>
      </c>
      <c r="D48" s="94">
        <v>0</v>
      </c>
      <c r="E48" s="94">
        <v>0</v>
      </c>
      <c r="F48" s="94">
        <v>0</v>
      </c>
      <c r="G48" s="94">
        <v>0</v>
      </c>
      <c r="H48" s="94">
        <v>0</v>
      </c>
      <c r="I48" s="94">
        <v>21.72</v>
      </c>
      <c r="J48" s="94">
        <v>0</v>
      </c>
      <c r="K48" s="94">
        <v>0</v>
      </c>
      <c r="L48" s="94">
        <v>0</v>
      </c>
      <c r="M48" s="74" t="str">
        <f t="array" ref="M48">_xlfn.TEXTJOIN("-", TRUE, IF(C48:L48&gt;0, $C$2:$L$2, ""))</f>
        <v xml:space="preserve"> Ti-Nb</v>
      </c>
      <c r="N48" s="90">
        <f t="shared" si="0"/>
        <v>6</v>
      </c>
      <c r="O48" s="91">
        <f t="shared" si="1"/>
        <v>2</v>
      </c>
      <c r="P48" s="94">
        <v>1</v>
      </c>
      <c r="Q48" s="94">
        <v>1</v>
      </c>
      <c r="R48" s="93" t="s">
        <v>113</v>
      </c>
      <c r="S48" s="93" t="s">
        <v>113</v>
      </c>
      <c r="T48" s="93" t="s">
        <v>113</v>
      </c>
      <c r="U48" s="93" t="s">
        <v>113</v>
      </c>
      <c r="V48" s="94">
        <v>1</v>
      </c>
      <c r="W48" s="93" t="s">
        <v>113</v>
      </c>
      <c r="X48" s="93" t="s">
        <v>113</v>
      </c>
      <c r="Y48" s="93" t="s">
        <v>113</v>
      </c>
      <c r="Z48" s="94">
        <v>85</v>
      </c>
      <c r="AA48" s="93" t="s">
        <v>113</v>
      </c>
      <c r="AB48" s="93" t="s">
        <v>113</v>
      </c>
      <c r="AC48" s="94">
        <v>338</v>
      </c>
      <c r="AD48" s="93" t="s">
        <v>113</v>
      </c>
      <c r="AE48" s="93" t="s">
        <v>113</v>
      </c>
      <c r="AF48" s="93" t="s">
        <v>113</v>
      </c>
      <c r="AG48" s="93" t="s">
        <v>113</v>
      </c>
      <c r="AH48" s="93" t="s">
        <v>113</v>
      </c>
      <c r="AI48" s="93" t="s">
        <v>113</v>
      </c>
      <c r="AJ48" s="93" t="s">
        <v>113</v>
      </c>
      <c r="AK48" s="93" t="s">
        <v>113</v>
      </c>
      <c r="AL48" s="93" t="s">
        <v>113</v>
      </c>
      <c r="AM48" s="93"/>
      <c r="AN48" s="93" t="s">
        <v>113</v>
      </c>
      <c r="AO48" s="93" t="s">
        <v>114</v>
      </c>
      <c r="AP48" s="94">
        <v>473</v>
      </c>
      <c r="AQ48" s="94" t="s">
        <v>100</v>
      </c>
      <c r="AR48" s="93">
        <v>473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6" customFormat="1" ht="16.5">
      <c r="A49" s="93">
        <v>480</v>
      </c>
      <c r="B49" s="93" t="s">
        <v>113</v>
      </c>
      <c r="C49" s="94">
        <v>78.28</v>
      </c>
      <c r="D49" s="94">
        <v>0</v>
      </c>
      <c r="E49" s="94">
        <v>0</v>
      </c>
      <c r="F49" s="94">
        <v>0</v>
      </c>
      <c r="G49" s="94">
        <v>0</v>
      </c>
      <c r="H49" s="94">
        <v>0</v>
      </c>
      <c r="I49" s="94">
        <v>21.72</v>
      </c>
      <c r="J49" s="94">
        <v>0</v>
      </c>
      <c r="K49" s="94">
        <v>0</v>
      </c>
      <c r="L49" s="94">
        <v>0</v>
      </c>
      <c r="M49" s="74" t="str">
        <f t="array" ref="M49">_xlfn.TEXTJOIN("-", TRUE, IF(C49:L49&gt;0, $C$2:$L$2, ""))</f>
        <v xml:space="preserve"> Ti-Nb</v>
      </c>
      <c r="N49" s="90">
        <f t="shared" si="0"/>
        <v>6</v>
      </c>
      <c r="O49" s="91">
        <f t="shared" si="1"/>
        <v>2</v>
      </c>
      <c r="P49" s="94">
        <v>1</v>
      </c>
      <c r="Q49" s="94">
        <v>1</v>
      </c>
      <c r="R49" s="93" t="s">
        <v>113</v>
      </c>
      <c r="S49" s="93" t="s">
        <v>113</v>
      </c>
      <c r="T49" s="93" t="s">
        <v>113</v>
      </c>
      <c r="U49" s="93" t="s">
        <v>113</v>
      </c>
      <c r="V49" s="94">
        <v>1</v>
      </c>
      <c r="W49" s="93" t="s">
        <v>113</v>
      </c>
      <c r="X49" s="93" t="s">
        <v>113</v>
      </c>
      <c r="Y49" s="93" t="s">
        <v>113</v>
      </c>
      <c r="Z49" s="94">
        <v>72</v>
      </c>
      <c r="AA49" s="93" t="s">
        <v>113</v>
      </c>
      <c r="AB49" s="93" t="s">
        <v>113</v>
      </c>
      <c r="AC49" s="94">
        <v>382</v>
      </c>
      <c r="AD49" s="93" t="s">
        <v>113</v>
      </c>
      <c r="AE49" s="93" t="s">
        <v>113</v>
      </c>
      <c r="AF49" s="93" t="s">
        <v>113</v>
      </c>
      <c r="AG49" s="93" t="s">
        <v>113</v>
      </c>
      <c r="AH49" s="93" t="s">
        <v>113</v>
      </c>
      <c r="AI49" s="93" t="s">
        <v>113</v>
      </c>
      <c r="AJ49" s="93" t="s">
        <v>113</v>
      </c>
      <c r="AK49" s="93" t="s">
        <v>113</v>
      </c>
      <c r="AL49" s="93" t="s">
        <v>113</v>
      </c>
      <c r="AM49" s="93"/>
      <c r="AN49" s="93" t="s">
        <v>113</v>
      </c>
      <c r="AO49" s="93" t="s">
        <v>232</v>
      </c>
      <c r="AP49" s="94">
        <v>480</v>
      </c>
      <c r="AQ49" s="94" t="s">
        <v>100</v>
      </c>
      <c r="AR49" s="93">
        <v>480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s="6" customFormat="1" ht="16.5">
      <c r="A50" s="93">
        <v>465</v>
      </c>
      <c r="B50" s="93" t="s">
        <v>113</v>
      </c>
      <c r="C50" s="94">
        <v>85.34</v>
      </c>
      <c r="D50" s="94">
        <v>0</v>
      </c>
      <c r="E50" s="94">
        <v>0</v>
      </c>
      <c r="F50" s="94">
        <v>0</v>
      </c>
      <c r="G50" s="94">
        <v>0</v>
      </c>
      <c r="H50" s="94">
        <v>0</v>
      </c>
      <c r="I50" s="94">
        <v>14.66</v>
      </c>
      <c r="J50" s="94">
        <v>0</v>
      </c>
      <c r="K50" s="94">
        <v>0</v>
      </c>
      <c r="L50" s="94">
        <v>0</v>
      </c>
      <c r="M50" s="74" t="str">
        <f t="array" ref="M50">_xlfn.TEXTJOIN("-", TRUE, IF(C50:L50&gt;0, $C$2:$L$2, ""))</f>
        <v xml:space="preserve"> Ti-Nb</v>
      </c>
      <c r="N50" s="90">
        <f t="shared" si="0"/>
        <v>6</v>
      </c>
      <c r="O50" s="91">
        <f t="shared" si="1"/>
        <v>2</v>
      </c>
      <c r="P50" s="94">
        <v>1</v>
      </c>
      <c r="Q50" s="94">
        <v>1</v>
      </c>
      <c r="R50" s="93" t="s">
        <v>113</v>
      </c>
      <c r="S50" s="93" t="s">
        <v>113</v>
      </c>
      <c r="T50" s="93" t="s">
        <v>113</v>
      </c>
      <c r="U50" s="93" t="s">
        <v>113</v>
      </c>
      <c r="V50" s="94">
        <v>1</v>
      </c>
      <c r="W50" s="93" t="s">
        <v>113</v>
      </c>
      <c r="X50" s="93" t="s">
        <v>113</v>
      </c>
      <c r="Y50" s="93" t="s">
        <v>113</v>
      </c>
      <c r="Z50" s="94">
        <v>64</v>
      </c>
      <c r="AA50" s="93" t="s">
        <v>113</v>
      </c>
      <c r="AB50" s="93" t="s">
        <v>113</v>
      </c>
      <c r="AC50" s="94">
        <v>456</v>
      </c>
      <c r="AD50" s="93" t="s">
        <v>113</v>
      </c>
      <c r="AE50" s="93" t="s">
        <v>113</v>
      </c>
      <c r="AF50" s="93" t="s">
        <v>113</v>
      </c>
      <c r="AG50" s="93" t="s">
        <v>113</v>
      </c>
      <c r="AH50" s="93" t="s">
        <v>113</v>
      </c>
      <c r="AI50" s="93" t="s">
        <v>113</v>
      </c>
      <c r="AJ50" s="93" t="s">
        <v>113</v>
      </c>
      <c r="AK50" s="93" t="s">
        <v>113</v>
      </c>
      <c r="AL50" s="93" t="s">
        <v>113</v>
      </c>
      <c r="AM50" s="93"/>
      <c r="AN50" s="93" t="s">
        <v>113</v>
      </c>
      <c r="AO50" s="93" t="s">
        <v>114</v>
      </c>
      <c r="AP50" s="94">
        <v>465</v>
      </c>
      <c r="AQ50" s="94" t="s">
        <v>100</v>
      </c>
      <c r="AR50" s="93">
        <v>465</v>
      </c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s="6" customFormat="1" ht="16.5">
      <c r="A51" s="93">
        <v>469</v>
      </c>
      <c r="B51" s="93" t="s">
        <v>113</v>
      </c>
      <c r="C51" s="94">
        <v>81.910000000000011</v>
      </c>
      <c r="D51" s="94">
        <v>0</v>
      </c>
      <c r="E51" s="94">
        <v>0</v>
      </c>
      <c r="F51" s="94">
        <v>0</v>
      </c>
      <c r="G51" s="94">
        <v>0</v>
      </c>
      <c r="H51" s="94">
        <v>0</v>
      </c>
      <c r="I51" s="94">
        <v>18.09</v>
      </c>
      <c r="J51" s="94">
        <v>0</v>
      </c>
      <c r="K51" s="94">
        <v>0</v>
      </c>
      <c r="L51" s="94">
        <v>0</v>
      </c>
      <c r="M51" s="74" t="str">
        <f t="array" ref="M51">_xlfn.TEXTJOIN("-", TRUE, IF(C51:L51&gt;0, $C$2:$L$2, ""))</f>
        <v xml:space="preserve"> Ti-Nb</v>
      </c>
      <c r="N51" s="90">
        <f t="shared" si="0"/>
        <v>6</v>
      </c>
      <c r="O51" s="91">
        <f t="shared" si="1"/>
        <v>2</v>
      </c>
      <c r="P51" s="94">
        <v>1</v>
      </c>
      <c r="Q51" s="94">
        <v>1</v>
      </c>
      <c r="R51" s="93" t="s">
        <v>113</v>
      </c>
      <c r="S51" s="93" t="s">
        <v>113</v>
      </c>
      <c r="T51" s="93" t="s">
        <v>113</v>
      </c>
      <c r="U51" s="93" t="s">
        <v>113</v>
      </c>
      <c r="V51" s="94">
        <v>1</v>
      </c>
      <c r="W51" s="93" t="s">
        <v>113</v>
      </c>
      <c r="X51" s="93" t="s">
        <v>113</v>
      </c>
      <c r="Y51" s="93" t="s">
        <v>113</v>
      </c>
      <c r="Z51" s="94">
        <v>79</v>
      </c>
      <c r="AA51" s="93" t="s">
        <v>113</v>
      </c>
      <c r="AB51" s="93" t="s">
        <v>113</v>
      </c>
      <c r="AC51" s="94">
        <v>327</v>
      </c>
      <c r="AD51" s="93" t="s">
        <v>113</v>
      </c>
      <c r="AE51" s="93" t="s">
        <v>113</v>
      </c>
      <c r="AF51" s="93" t="s">
        <v>113</v>
      </c>
      <c r="AG51" s="93" t="s">
        <v>113</v>
      </c>
      <c r="AH51" s="93" t="s">
        <v>113</v>
      </c>
      <c r="AI51" s="93" t="s">
        <v>113</v>
      </c>
      <c r="AJ51" s="93" t="s">
        <v>113</v>
      </c>
      <c r="AK51" s="93" t="s">
        <v>113</v>
      </c>
      <c r="AL51" s="93" t="s">
        <v>113</v>
      </c>
      <c r="AM51" s="93"/>
      <c r="AN51" s="93" t="s">
        <v>113</v>
      </c>
      <c r="AO51" s="93" t="s">
        <v>114</v>
      </c>
      <c r="AP51" s="94">
        <v>469</v>
      </c>
      <c r="AQ51" s="94" t="s">
        <v>100</v>
      </c>
      <c r="AR51" s="93">
        <v>469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6" customFormat="1" ht="16.5">
      <c r="A52" s="93">
        <v>488</v>
      </c>
      <c r="B52" s="93" t="s">
        <v>113</v>
      </c>
      <c r="C52" s="94">
        <v>78</v>
      </c>
      <c r="D52" s="94">
        <v>0</v>
      </c>
      <c r="E52" s="94">
        <v>0</v>
      </c>
      <c r="F52" s="94">
        <v>0</v>
      </c>
      <c r="G52" s="94">
        <v>0</v>
      </c>
      <c r="H52" s="94">
        <v>0</v>
      </c>
      <c r="I52" s="94">
        <v>22</v>
      </c>
      <c r="J52" s="94">
        <v>0</v>
      </c>
      <c r="K52" s="94">
        <v>0</v>
      </c>
      <c r="L52" s="94">
        <v>0</v>
      </c>
      <c r="M52" s="74" t="str">
        <f t="array" ref="M52">_xlfn.TEXTJOIN("-", TRUE, IF(C52:L52&gt;0, $C$2:$L$2, ""))</f>
        <v xml:space="preserve"> Ti-Nb</v>
      </c>
      <c r="N52" s="90">
        <f t="shared" si="0"/>
        <v>6</v>
      </c>
      <c r="O52" s="91">
        <f t="shared" si="1"/>
        <v>2</v>
      </c>
      <c r="P52" s="94">
        <v>1</v>
      </c>
      <c r="Q52" s="94">
        <v>1</v>
      </c>
      <c r="R52" s="93" t="s">
        <v>113</v>
      </c>
      <c r="S52" s="93" t="s">
        <v>113</v>
      </c>
      <c r="T52" s="93" t="s">
        <v>113</v>
      </c>
      <c r="U52" s="93" t="s">
        <v>113</v>
      </c>
      <c r="V52" s="94">
        <v>1</v>
      </c>
      <c r="W52" s="93" t="s">
        <v>113</v>
      </c>
      <c r="X52" s="93" t="s">
        <v>113</v>
      </c>
      <c r="Y52" s="93" t="s">
        <v>113</v>
      </c>
      <c r="Z52" s="94">
        <v>73</v>
      </c>
      <c r="AA52" s="93" t="s">
        <v>113</v>
      </c>
      <c r="AB52" s="93" t="s">
        <v>113</v>
      </c>
      <c r="AC52" s="94">
        <v>405</v>
      </c>
      <c r="AD52" s="93" t="s">
        <v>113</v>
      </c>
      <c r="AE52" s="93" t="s">
        <v>113</v>
      </c>
      <c r="AF52" s="93" t="s">
        <v>113</v>
      </c>
      <c r="AG52" s="93" t="s">
        <v>113</v>
      </c>
      <c r="AH52" s="93" t="s">
        <v>113</v>
      </c>
      <c r="AI52" s="93" t="s">
        <v>113</v>
      </c>
      <c r="AJ52" s="93" t="s">
        <v>113</v>
      </c>
      <c r="AK52" s="93" t="s">
        <v>113</v>
      </c>
      <c r="AL52" s="93" t="s">
        <v>113</v>
      </c>
      <c r="AM52" s="93"/>
      <c r="AN52" s="93" t="s">
        <v>113</v>
      </c>
      <c r="AO52" s="93" t="s">
        <v>114</v>
      </c>
      <c r="AP52" s="94">
        <v>488</v>
      </c>
      <c r="AQ52" s="94" t="s">
        <v>100</v>
      </c>
      <c r="AR52" s="93">
        <v>488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6" customFormat="1" ht="16.5">
      <c r="A53" s="93">
        <v>495</v>
      </c>
      <c r="B53" s="93" t="s">
        <v>113</v>
      </c>
      <c r="C53" s="94">
        <v>74</v>
      </c>
      <c r="D53" s="94">
        <v>0</v>
      </c>
      <c r="E53" s="94">
        <v>0</v>
      </c>
      <c r="F53" s="94">
        <v>0</v>
      </c>
      <c r="G53" s="94">
        <v>0</v>
      </c>
      <c r="H53" s="94">
        <v>0</v>
      </c>
      <c r="I53" s="94">
        <v>26</v>
      </c>
      <c r="J53" s="94">
        <v>0</v>
      </c>
      <c r="K53" s="94">
        <v>0</v>
      </c>
      <c r="L53" s="94">
        <v>0</v>
      </c>
      <c r="M53" s="74" t="str">
        <f t="array" ref="M53">_xlfn.TEXTJOIN("-", TRUE, IF(C53:L53&gt;0, $C$2:$L$2, ""))</f>
        <v xml:space="preserve"> Ti-Nb</v>
      </c>
      <c r="N53" s="90">
        <f t="shared" si="0"/>
        <v>6</v>
      </c>
      <c r="O53" s="91">
        <f t="shared" si="1"/>
        <v>2</v>
      </c>
      <c r="P53" s="94">
        <v>1</v>
      </c>
      <c r="Q53" s="94">
        <v>1</v>
      </c>
      <c r="R53" s="93" t="s">
        <v>113</v>
      </c>
      <c r="S53" s="93" t="s">
        <v>113</v>
      </c>
      <c r="T53" s="93" t="s">
        <v>113</v>
      </c>
      <c r="U53" s="93" t="s">
        <v>113</v>
      </c>
      <c r="V53" s="94">
        <v>1</v>
      </c>
      <c r="W53" s="93" t="s">
        <v>113</v>
      </c>
      <c r="X53" s="93" t="s">
        <v>113</v>
      </c>
      <c r="Y53" s="93" t="s">
        <v>113</v>
      </c>
      <c r="Z53" s="94">
        <v>50</v>
      </c>
      <c r="AA53" s="93" t="s">
        <v>113</v>
      </c>
      <c r="AB53" s="93" t="s">
        <v>113</v>
      </c>
      <c r="AC53" s="94">
        <v>290</v>
      </c>
      <c r="AD53" s="93" t="s">
        <v>113</v>
      </c>
      <c r="AE53" s="93" t="s">
        <v>113</v>
      </c>
      <c r="AF53" s="93" t="s">
        <v>113</v>
      </c>
      <c r="AG53" s="93" t="s">
        <v>113</v>
      </c>
      <c r="AH53" s="93" t="s">
        <v>113</v>
      </c>
      <c r="AI53" s="93" t="s">
        <v>113</v>
      </c>
      <c r="AJ53" s="93" t="s">
        <v>113</v>
      </c>
      <c r="AK53" s="93" t="s">
        <v>113</v>
      </c>
      <c r="AL53" s="93" t="s">
        <v>113</v>
      </c>
      <c r="AM53" s="93"/>
      <c r="AN53" s="93" t="s">
        <v>113</v>
      </c>
      <c r="AO53" s="93" t="s">
        <v>114</v>
      </c>
      <c r="AP53" s="94">
        <v>495</v>
      </c>
      <c r="AQ53" s="94" t="s">
        <v>100</v>
      </c>
      <c r="AR53" s="93">
        <v>495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6" customFormat="1" ht="16.5">
      <c r="A54" s="93">
        <v>510</v>
      </c>
      <c r="B54" s="93" t="s">
        <v>113</v>
      </c>
      <c r="C54" s="94">
        <v>74</v>
      </c>
      <c r="D54" s="94">
        <v>0</v>
      </c>
      <c r="E54" s="94">
        <v>0</v>
      </c>
      <c r="F54" s="94">
        <v>0</v>
      </c>
      <c r="G54" s="94">
        <v>0</v>
      </c>
      <c r="H54" s="94">
        <v>0</v>
      </c>
      <c r="I54" s="94">
        <v>26</v>
      </c>
      <c r="J54" s="94">
        <v>0</v>
      </c>
      <c r="K54" s="94">
        <v>0</v>
      </c>
      <c r="L54" s="94">
        <v>0</v>
      </c>
      <c r="M54" s="74" t="str">
        <f t="array" ref="M54">_xlfn.TEXTJOIN("-", TRUE, IF(C54:L54&gt;0, $C$2:$L$2, ""))</f>
        <v xml:space="preserve"> Ti-Nb</v>
      </c>
      <c r="N54" s="90">
        <f t="shared" si="0"/>
        <v>6</v>
      </c>
      <c r="O54" s="91">
        <f t="shared" si="1"/>
        <v>2</v>
      </c>
      <c r="P54" s="94">
        <v>1</v>
      </c>
      <c r="Q54" s="95" t="s">
        <v>173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4">
        <v>75</v>
      </c>
      <c r="AA54" s="93" t="s">
        <v>113</v>
      </c>
      <c r="AB54" s="93" t="s">
        <v>113</v>
      </c>
      <c r="AC54" s="94">
        <v>447</v>
      </c>
      <c r="AD54" s="93" t="s">
        <v>113</v>
      </c>
      <c r="AE54" s="93" t="s">
        <v>113</v>
      </c>
      <c r="AF54" s="93" t="s">
        <v>113</v>
      </c>
      <c r="AG54" s="93" t="s">
        <v>113</v>
      </c>
      <c r="AH54" s="93" t="s">
        <v>113</v>
      </c>
      <c r="AI54" s="93" t="s">
        <v>113</v>
      </c>
      <c r="AJ54" s="93" t="s">
        <v>113</v>
      </c>
      <c r="AK54" s="93" t="s">
        <v>113</v>
      </c>
      <c r="AL54" s="93" t="s">
        <v>113</v>
      </c>
      <c r="AM54" s="93"/>
      <c r="AN54" s="93" t="s">
        <v>113</v>
      </c>
      <c r="AO54" s="93" t="s">
        <v>114</v>
      </c>
      <c r="AP54" s="94">
        <v>510</v>
      </c>
      <c r="AQ54" s="94" t="s">
        <v>100</v>
      </c>
      <c r="AR54" s="93">
        <v>510</v>
      </c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6" customFormat="1" ht="16.5">
      <c r="A55" s="9">
        <v>59</v>
      </c>
      <c r="B55"/>
      <c r="C55" s="9">
        <v>76</v>
      </c>
      <c r="D55">
        <v>0</v>
      </c>
      <c r="E55" s="9">
        <v>0</v>
      </c>
      <c r="F55" s="9">
        <v>0</v>
      </c>
      <c r="G55" s="9">
        <v>0</v>
      </c>
      <c r="H55" s="9">
        <v>0</v>
      </c>
      <c r="I55" s="9">
        <v>24</v>
      </c>
      <c r="J55" s="9">
        <v>0</v>
      </c>
      <c r="K55" s="9">
        <v>0</v>
      </c>
      <c r="L55" s="9">
        <v>0</v>
      </c>
      <c r="M55" s="74" t="str">
        <f t="array" ref="M55">_xlfn.TEXTJOIN("-", TRUE, IF(C55:L55&gt;0, $C$2:$L$2, ""))</f>
        <v xml:space="preserve"> Ti-Nb</v>
      </c>
      <c r="N55" s="90">
        <f t="shared" si="0"/>
        <v>6</v>
      </c>
      <c r="O55" s="91">
        <f t="shared" si="1"/>
        <v>2</v>
      </c>
      <c r="P55"/>
      <c r="Q55"/>
      <c r="R55"/>
      <c r="S55"/>
      <c r="T55"/>
      <c r="U55"/>
      <c r="V55"/>
      <c r="W55"/>
      <c r="X55"/>
      <c r="Y55"/>
      <c r="Z55" s="9">
        <v>66.7</v>
      </c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94" t="s">
        <v>382</v>
      </c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6" customFormat="1" ht="16.5">
      <c r="A56" s="9">
        <v>79</v>
      </c>
      <c r="B56"/>
      <c r="C56" s="9">
        <v>92.85</v>
      </c>
      <c r="D56">
        <v>0</v>
      </c>
      <c r="E56" s="9">
        <v>0</v>
      </c>
      <c r="F56" s="9">
        <v>0</v>
      </c>
      <c r="G56" s="9">
        <v>0</v>
      </c>
      <c r="H56" s="9">
        <v>0</v>
      </c>
      <c r="I56" s="9">
        <v>7.15</v>
      </c>
      <c r="J56" s="9">
        <v>0</v>
      </c>
      <c r="K56" s="9">
        <v>0</v>
      </c>
      <c r="L56" s="9">
        <v>0</v>
      </c>
      <c r="M56" s="74" t="str">
        <f t="array" ref="M56">_xlfn.TEXTJOIN("-", TRUE, IF(C56:L56&gt;0, $C$2:$L$2, ""))</f>
        <v xml:space="preserve"> Ti-Nb</v>
      </c>
      <c r="N56" s="90">
        <f t="shared" si="0"/>
        <v>6</v>
      </c>
      <c r="O56" s="91">
        <f t="shared" si="1"/>
        <v>2</v>
      </c>
      <c r="P56"/>
      <c r="Q56"/>
      <c r="R56"/>
      <c r="S56"/>
      <c r="T56"/>
      <c r="U56"/>
      <c r="V56"/>
      <c r="W56"/>
      <c r="X56"/>
      <c r="Y56"/>
      <c r="Z56" s="9">
        <v>81.25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94" t="s">
        <v>382</v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s="6" customFormat="1" ht="16.5">
      <c r="A57" s="9">
        <v>80</v>
      </c>
      <c r="B57"/>
      <c r="C57" s="9">
        <v>83.31</v>
      </c>
      <c r="D57">
        <v>0</v>
      </c>
      <c r="E57" s="9">
        <v>0</v>
      </c>
      <c r="F57" s="9">
        <v>0</v>
      </c>
      <c r="G57" s="9">
        <v>0</v>
      </c>
      <c r="H57" s="9">
        <v>0</v>
      </c>
      <c r="I57" s="9">
        <v>16.690000000000001</v>
      </c>
      <c r="J57" s="9">
        <v>0</v>
      </c>
      <c r="K57" s="9">
        <v>0</v>
      </c>
      <c r="L57" s="9">
        <v>0</v>
      </c>
      <c r="M57" s="74" t="str">
        <f t="array" ref="M57">_xlfn.TEXTJOIN("-", TRUE, IF(C57:L57&gt;0, $C$2:$L$2, ""))</f>
        <v xml:space="preserve"> Ti-Nb</v>
      </c>
      <c r="N57" s="90">
        <f t="shared" si="0"/>
        <v>6</v>
      </c>
      <c r="O57" s="91">
        <f t="shared" si="1"/>
        <v>2</v>
      </c>
      <c r="P57"/>
      <c r="Q57"/>
      <c r="R57"/>
      <c r="S57"/>
      <c r="T57"/>
      <c r="U57"/>
      <c r="V57"/>
      <c r="W57"/>
      <c r="X57"/>
      <c r="Y57"/>
      <c r="Z57" s="9">
        <v>80.989999999999995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94" t="s">
        <v>382</v>
      </c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6" customFormat="1" ht="16.5">
      <c r="A58" s="9">
        <v>90</v>
      </c>
      <c r="B58"/>
      <c r="C58" s="9">
        <v>90.9</v>
      </c>
      <c r="D58">
        <v>0</v>
      </c>
      <c r="E58" s="9">
        <v>0</v>
      </c>
      <c r="F58" s="9">
        <v>0</v>
      </c>
      <c r="G58" s="9">
        <v>0</v>
      </c>
      <c r="H58" s="9">
        <v>0</v>
      </c>
      <c r="I58" s="9">
        <v>9.1</v>
      </c>
      <c r="J58" s="9">
        <v>0</v>
      </c>
      <c r="K58" s="9">
        <v>0</v>
      </c>
      <c r="L58" s="9">
        <v>0</v>
      </c>
      <c r="M58" s="74" t="str">
        <f t="array" ref="M58">_xlfn.TEXTJOIN("-", TRUE, IF(C58:L58&gt;0, $C$2:$L$2, ""))</f>
        <v xml:space="preserve"> Ti-Nb</v>
      </c>
      <c r="N58" s="90">
        <f t="shared" si="0"/>
        <v>6</v>
      </c>
      <c r="O58" s="91">
        <f t="shared" si="1"/>
        <v>2</v>
      </c>
      <c r="P58"/>
      <c r="Q58"/>
      <c r="R58"/>
      <c r="S58"/>
      <c r="T58"/>
      <c r="U58"/>
      <c r="V58"/>
      <c r="W58"/>
      <c r="X58"/>
      <c r="Y58"/>
      <c r="Z58" s="9">
        <v>92.7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94" t="s">
        <v>382</v>
      </c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6" customFormat="1" ht="16.5">
      <c r="A59" s="9">
        <v>91</v>
      </c>
      <c r="B59"/>
      <c r="C59" s="9">
        <v>90.8</v>
      </c>
      <c r="D59">
        <v>0</v>
      </c>
      <c r="E59" s="9">
        <v>0</v>
      </c>
      <c r="F59" s="9">
        <v>0</v>
      </c>
      <c r="G59" s="9">
        <v>0</v>
      </c>
      <c r="H59" s="9">
        <v>0</v>
      </c>
      <c r="I59" s="9">
        <v>9.1999999999999993</v>
      </c>
      <c r="J59" s="9">
        <v>0</v>
      </c>
      <c r="K59" s="9">
        <v>0</v>
      </c>
      <c r="L59" s="9">
        <v>0</v>
      </c>
      <c r="M59" s="74" t="str">
        <f t="array" ref="M59">_xlfn.TEXTJOIN("-", TRUE, IF(C59:L59&gt;0, $C$2:$L$2, ""))</f>
        <v xml:space="preserve"> Ti-Nb</v>
      </c>
      <c r="N59" s="90">
        <f t="shared" si="0"/>
        <v>6</v>
      </c>
      <c r="O59" s="91">
        <f t="shared" si="1"/>
        <v>2</v>
      </c>
      <c r="P59"/>
      <c r="Q59"/>
      <c r="R59"/>
      <c r="S59"/>
      <c r="T59"/>
      <c r="U59"/>
      <c r="V59"/>
      <c r="W59"/>
      <c r="X59"/>
      <c r="Y59"/>
      <c r="Z59" s="9">
        <v>93.11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94" t="s">
        <v>382</v>
      </c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6" customFormat="1" ht="16.5">
      <c r="A60" s="9">
        <v>92</v>
      </c>
      <c r="B60"/>
      <c r="C60" s="9">
        <v>82.65</v>
      </c>
      <c r="D60">
        <v>0</v>
      </c>
      <c r="E60" s="9">
        <v>0</v>
      </c>
      <c r="F60" s="9">
        <v>0</v>
      </c>
      <c r="G60" s="9">
        <v>0</v>
      </c>
      <c r="H60" s="9">
        <v>0</v>
      </c>
      <c r="I60" s="9">
        <v>17.350000000000001</v>
      </c>
      <c r="J60" s="9">
        <v>0</v>
      </c>
      <c r="K60" s="9">
        <v>0</v>
      </c>
      <c r="L60" s="9">
        <v>0</v>
      </c>
      <c r="M60" s="74" t="str">
        <f t="array" ref="M60">_xlfn.TEXTJOIN("-", TRUE, IF(C60:L60&gt;0, $C$2:$L$2, ""))</f>
        <v xml:space="preserve"> Ti-Nb</v>
      </c>
      <c r="N60" s="90">
        <f t="shared" si="0"/>
        <v>6</v>
      </c>
      <c r="O60" s="91">
        <f t="shared" si="1"/>
        <v>2</v>
      </c>
      <c r="P60"/>
      <c r="Q60"/>
      <c r="R60"/>
      <c r="S60"/>
      <c r="T60"/>
      <c r="U60"/>
      <c r="V60"/>
      <c r="W60"/>
      <c r="X60"/>
      <c r="Y60"/>
      <c r="Z60" s="9">
        <v>98.88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94" t="s">
        <v>382</v>
      </c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6" customFormat="1" ht="16.5">
      <c r="A61" s="9">
        <v>93</v>
      </c>
      <c r="B61"/>
      <c r="C61" s="9">
        <v>72.5</v>
      </c>
      <c r="D61">
        <v>0</v>
      </c>
      <c r="E61" s="9">
        <v>0</v>
      </c>
      <c r="F61" s="9">
        <v>0</v>
      </c>
      <c r="G61" s="9">
        <v>0</v>
      </c>
      <c r="H61" s="9">
        <v>0</v>
      </c>
      <c r="I61" s="9">
        <v>27.5</v>
      </c>
      <c r="J61" s="9">
        <v>0</v>
      </c>
      <c r="K61" s="9">
        <v>0</v>
      </c>
      <c r="L61" s="9">
        <v>0</v>
      </c>
      <c r="M61" s="74" t="str">
        <f t="array" ref="M61">_xlfn.TEXTJOIN("-", TRUE, IF(C61:L61&gt;0, $C$2:$L$2, ""))</f>
        <v xml:space="preserve"> Ti-Nb</v>
      </c>
      <c r="N61" s="90">
        <f t="shared" si="0"/>
        <v>6</v>
      </c>
      <c r="O61" s="91">
        <f t="shared" si="1"/>
        <v>2</v>
      </c>
      <c r="P61"/>
      <c r="Q61"/>
      <c r="R61"/>
      <c r="S61"/>
      <c r="T61"/>
      <c r="U61"/>
      <c r="V61"/>
      <c r="W61"/>
      <c r="X61"/>
      <c r="Y61"/>
      <c r="Z61" s="9">
        <v>77.31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94" t="s">
        <v>382</v>
      </c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6" customFormat="1" ht="16.5">
      <c r="A62" s="9">
        <v>94</v>
      </c>
      <c r="B62"/>
      <c r="C62" s="9">
        <v>71.349999999999994</v>
      </c>
      <c r="D62">
        <v>0</v>
      </c>
      <c r="E62" s="9">
        <v>0</v>
      </c>
      <c r="F62" s="9">
        <v>0</v>
      </c>
      <c r="G62" s="9">
        <v>0</v>
      </c>
      <c r="H62" s="9">
        <v>0</v>
      </c>
      <c r="I62" s="9">
        <v>28.65</v>
      </c>
      <c r="J62" s="9">
        <v>0</v>
      </c>
      <c r="K62" s="9">
        <v>0</v>
      </c>
      <c r="L62" s="9">
        <v>0</v>
      </c>
      <c r="M62" s="74" t="str">
        <f t="array" ref="M62">_xlfn.TEXTJOIN("-", TRUE, IF(C62:L62&gt;0, $C$2:$L$2, ""))</f>
        <v xml:space="preserve"> Ti-Nb</v>
      </c>
      <c r="N62" s="90">
        <f t="shared" si="0"/>
        <v>6</v>
      </c>
      <c r="O62" s="91">
        <f t="shared" si="1"/>
        <v>2</v>
      </c>
      <c r="P62"/>
      <c r="Q62"/>
      <c r="R62"/>
      <c r="S62"/>
      <c r="T62"/>
      <c r="U62"/>
      <c r="V62"/>
      <c r="W62"/>
      <c r="X62"/>
      <c r="Y62"/>
      <c r="Z62" s="9">
        <v>95.22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94" t="s">
        <v>382</v>
      </c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s="6" customFormat="1" ht="16.5">
      <c r="A63" s="9">
        <v>95</v>
      </c>
      <c r="B63"/>
      <c r="C63" s="9">
        <v>98.7</v>
      </c>
      <c r="D63">
        <v>0</v>
      </c>
      <c r="E63" s="9">
        <v>0</v>
      </c>
      <c r="F63" s="9">
        <v>0</v>
      </c>
      <c r="G63" s="9">
        <v>0</v>
      </c>
      <c r="H63" s="9">
        <v>0</v>
      </c>
      <c r="I63" s="9">
        <v>1.3</v>
      </c>
      <c r="J63" s="9">
        <v>0</v>
      </c>
      <c r="K63" s="9">
        <v>0</v>
      </c>
      <c r="L63" s="9">
        <v>0</v>
      </c>
      <c r="M63" s="74" t="str">
        <f t="array" ref="M63">_xlfn.TEXTJOIN("-", TRUE, IF(C63:L63&gt;0, $C$2:$L$2, ""))</f>
        <v xml:space="preserve"> Ti-Nb</v>
      </c>
      <c r="N63" s="90">
        <f t="shared" si="0"/>
        <v>6</v>
      </c>
      <c r="O63" s="91">
        <f t="shared" si="1"/>
        <v>2</v>
      </c>
      <c r="P63"/>
      <c r="Q63"/>
      <c r="R63"/>
      <c r="S63"/>
      <c r="T63"/>
      <c r="U63"/>
      <c r="V63"/>
      <c r="W63"/>
      <c r="X63"/>
      <c r="Y63"/>
      <c r="Z63" s="9">
        <v>112.5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94" t="s">
        <v>382</v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6" customFormat="1" ht="16.5">
      <c r="A64" s="9">
        <v>96</v>
      </c>
      <c r="B64"/>
      <c r="C64" s="9">
        <v>97.9</v>
      </c>
      <c r="D64">
        <v>0</v>
      </c>
      <c r="E64" s="9">
        <v>0</v>
      </c>
      <c r="F64" s="9">
        <v>0</v>
      </c>
      <c r="G64" s="9">
        <v>0</v>
      </c>
      <c r="H64" s="9">
        <v>0</v>
      </c>
      <c r="I64" s="9">
        <v>2.1</v>
      </c>
      <c r="J64" s="9">
        <v>0</v>
      </c>
      <c r="K64" s="9">
        <v>0</v>
      </c>
      <c r="L64" s="9">
        <v>0</v>
      </c>
      <c r="M64" s="74" t="str">
        <f t="array" ref="M64">_xlfn.TEXTJOIN("-", TRUE, IF(C64:L64&gt;0, $C$2:$L$2, ""))</f>
        <v xml:space="preserve"> Ti-Nb</v>
      </c>
      <c r="N64" s="90">
        <f t="shared" si="0"/>
        <v>6</v>
      </c>
      <c r="O64" s="91">
        <f t="shared" si="1"/>
        <v>2</v>
      </c>
      <c r="P64"/>
      <c r="Q64"/>
      <c r="R64"/>
      <c r="S64"/>
      <c r="T64"/>
      <c r="U64"/>
      <c r="V64"/>
      <c r="W64"/>
      <c r="X64"/>
      <c r="Y64"/>
      <c r="Z64" s="9">
        <v>108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94" t="s">
        <v>382</v>
      </c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s="6" customFormat="1" ht="16.5">
      <c r="A65" s="9">
        <v>97</v>
      </c>
      <c r="B65"/>
      <c r="C65" s="9">
        <v>94.59</v>
      </c>
      <c r="D65">
        <v>0</v>
      </c>
      <c r="E65" s="9">
        <v>0</v>
      </c>
      <c r="F65" s="9">
        <v>0</v>
      </c>
      <c r="G65" s="9">
        <v>0</v>
      </c>
      <c r="H65" s="9">
        <v>0</v>
      </c>
      <c r="I65" s="9">
        <v>5.41</v>
      </c>
      <c r="J65" s="9">
        <v>0</v>
      </c>
      <c r="K65" s="9">
        <v>0</v>
      </c>
      <c r="L65" s="9">
        <v>0</v>
      </c>
      <c r="M65" s="74" t="str">
        <f t="array" ref="M65">_xlfn.TEXTJOIN("-", TRUE, IF(C65:L65&gt;0, $C$2:$L$2, ""))</f>
        <v xml:space="preserve"> Ti-Nb</v>
      </c>
      <c r="N65" s="90">
        <f t="shared" si="0"/>
        <v>6</v>
      </c>
      <c r="O65" s="91">
        <f t="shared" si="1"/>
        <v>2</v>
      </c>
      <c r="P65"/>
      <c r="Q65"/>
      <c r="R65"/>
      <c r="S65"/>
      <c r="T65"/>
      <c r="U65"/>
      <c r="V65"/>
      <c r="W65"/>
      <c r="X65"/>
      <c r="Y65"/>
      <c r="Z65" s="9">
        <v>78.5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94" t="s">
        <v>382</v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s="6" customFormat="1" ht="16.5">
      <c r="A66" s="9">
        <v>98</v>
      </c>
      <c r="B66"/>
      <c r="C66" s="9">
        <v>91.67</v>
      </c>
      <c r="D66">
        <v>0</v>
      </c>
      <c r="E66" s="9">
        <v>0</v>
      </c>
      <c r="F66" s="9">
        <v>0</v>
      </c>
      <c r="G66" s="9">
        <v>0</v>
      </c>
      <c r="H66" s="9">
        <v>0</v>
      </c>
      <c r="I66" s="9">
        <v>8.33</v>
      </c>
      <c r="J66" s="9">
        <v>0</v>
      </c>
      <c r="K66" s="9">
        <v>0</v>
      </c>
      <c r="L66" s="9">
        <v>0</v>
      </c>
      <c r="M66" s="74" t="str">
        <f t="array" ref="M66">_xlfn.TEXTJOIN("-", TRUE, IF(C66:L66&gt;0, $C$2:$L$2, ""))</f>
        <v xml:space="preserve"> Ti-Nb</v>
      </c>
      <c r="N66" s="90">
        <f t="shared" si="0"/>
        <v>6</v>
      </c>
      <c r="O66" s="91">
        <f t="shared" si="1"/>
        <v>2</v>
      </c>
      <c r="P66"/>
      <c r="Q66"/>
      <c r="R66"/>
      <c r="S66"/>
      <c r="T66"/>
      <c r="U66"/>
      <c r="V66"/>
      <c r="W66"/>
      <c r="X66"/>
      <c r="Y66"/>
      <c r="Z66" s="9">
        <v>66.5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94" t="s">
        <v>382</v>
      </c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s="6" customFormat="1" ht="16.5">
      <c r="A67" s="9">
        <v>99</v>
      </c>
      <c r="B67"/>
      <c r="C67" s="9">
        <v>90.45</v>
      </c>
      <c r="D67">
        <v>0</v>
      </c>
      <c r="E67" s="9">
        <v>0</v>
      </c>
      <c r="F67" s="9">
        <v>0</v>
      </c>
      <c r="G67" s="9">
        <v>0</v>
      </c>
      <c r="H67" s="9">
        <v>0</v>
      </c>
      <c r="I67" s="9">
        <v>9.5500000000000007</v>
      </c>
      <c r="J67" s="9">
        <v>0</v>
      </c>
      <c r="K67" s="9">
        <v>0</v>
      </c>
      <c r="L67" s="9">
        <v>0</v>
      </c>
      <c r="M67" s="74" t="str">
        <f t="array" ref="M67">_xlfn.TEXTJOIN("-", TRUE, IF(C67:L67&gt;0, $C$2:$L$2, ""))</f>
        <v xml:space="preserve"> Ti-Nb</v>
      </c>
      <c r="N67" s="90">
        <f t="shared" ref="N67:N130" si="2">IF(COUNTIF(M$3:M$1206, M67)&gt;1, MATCH(M67, M:M, 0), "")</f>
        <v>6</v>
      </c>
      <c r="O67" s="91">
        <f t="shared" ref="O67:O130" si="3">COUNTIF(C67:L67, "&lt;&gt;0")</f>
        <v>2</v>
      </c>
      <c r="P67"/>
      <c r="Q67"/>
      <c r="R67"/>
      <c r="S67"/>
      <c r="T67"/>
      <c r="U67"/>
      <c r="V67"/>
      <c r="W67"/>
      <c r="X67"/>
      <c r="Y67"/>
      <c r="Z67" s="9">
        <v>66</v>
      </c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94" t="s">
        <v>382</v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s="6" customFormat="1" ht="16.5">
      <c r="A68" s="9">
        <v>100</v>
      </c>
      <c r="B68"/>
      <c r="C68" s="9">
        <v>88.59</v>
      </c>
      <c r="D68">
        <v>0</v>
      </c>
      <c r="E68" s="9">
        <v>0</v>
      </c>
      <c r="F68" s="9">
        <v>0</v>
      </c>
      <c r="G68" s="9">
        <v>0</v>
      </c>
      <c r="H68" s="9">
        <v>0</v>
      </c>
      <c r="I68" s="9">
        <v>11.41</v>
      </c>
      <c r="J68" s="9">
        <v>0</v>
      </c>
      <c r="K68" s="9">
        <v>0</v>
      </c>
      <c r="L68" s="9">
        <v>0</v>
      </c>
      <c r="M68" s="74" t="str">
        <f t="array" ref="M68">_xlfn.TEXTJOIN("-", TRUE, IF(C68:L68&gt;0, $C$2:$L$2, ""))</f>
        <v xml:space="preserve"> Ti-Nb</v>
      </c>
      <c r="N68" s="90">
        <f t="shared" si="2"/>
        <v>6</v>
      </c>
      <c r="O68" s="91">
        <f t="shared" si="3"/>
        <v>2</v>
      </c>
      <c r="P68"/>
      <c r="Q68"/>
      <c r="R68"/>
      <c r="S68"/>
      <c r="T68"/>
      <c r="U68"/>
      <c r="V68"/>
      <c r="W68"/>
      <c r="X68"/>
      <c r="Y68"/>
      <c r="Z68" s="9">
        <v>78.5</v>
      </c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94" t="s">
        <v>382</v>
      </c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s="6" customFormat="1" ht="16.5">
      <c r="A69" s="9">
        <v>101</v>
      </c>
      <c r="B69"/>
      <c r="C69" s="9">
        <v>81.91</v>
      </c>
      <c r="D69">
        <v>0</v>
      </c>
      <c r="E69" s="9">
        <v>0</v>
      </c>
      <c r="F69" s="9">
        <v>0</v>
      </c>
      <c r="G69" s="9">
        <v>0</v>
      </c>
      <c r="H69" s="9">
        <v>0</v>
      </c>
      <c r="I69" s="9">
        <v>18.09</v>
      </c>
      <c r="J69" s="9">
        <v>0</v>
      </c>
      <c r="K69" s="9">
        <v>0</v>
      </c>
      <c r="L69" s="9">
        <v>0</v>
      </c>
      <c r="M69" s="74" t="str">
        <f t="array" ref="M69">_xlfn.TEXTJOIN("-", TRUE, IF(C69:L69&gt;0, $C$2:$L$2, ""))</f>
        <v xml:space="preserve"> Ti-Nb</v>
      </c>
      <c r="N69" s="90">
        <f t="shared" si="2"/>
        <v>6</v>
      </c>
      <c r="O69" s="91">
        <f t="shared" si="3"/>
        <v>2</v>
      </c>
      <c r="P69"/>
      <c r="Q69"/>
      <c r="R69"/>
      <c r="S69"/>
      <c r="T69"/>
      <c r="U69"/>
      <c r="V69"/>
      <c r="W69"/>
      <c r="X69"/>
      <c r="Y69"/>
      <c r="Z69" s="9">
        <v>93.5</v>
      </c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94" t="s">
        <v>382</v>
      </c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s="6" customFormat="1" ht="16.5">
      <c r="A70" s="9">
        <v>102</v>
      </c>
      <c r="B70"/>
      <c r="C70" s="9">
        <v>74.430000000000007</v>
      </c>
      <c r="D70">
        <v>0</v>
      </c>
      <c r="E70" s="9">
        <v>0</v>
      </c>
      <c r="F70" s="9">
        <v>0</v>
      </c>
      <c r="G70" s="9">
        <v>0</v>
      </c>
      <c r="H70" s="9">
        <v>0</v>
      </c>
      <c r="I70" s="9">
        <v>25.57</v>
      </c>
      <c r="J70" s="9">
        <v>0</v>
      </c>
      <c r="K70" s="9">
        <v>0</v>
      </c>
      <c r="L70" s="9">
        <v>0</v>
      </c>
      <c r="M70" s="74" t="str">
        <f t="array" ref="M70">_xlfn.TEXTJOIN("-", TRUE, IF(C70:L70&gt;0, $C$2:$L$2, ""))</f>
        <v xml:space="preserve"> Ti-Nb</v>
      </c>
      <c r="N70" s="90">
        <f t="shared" si="2"/>
        <v>6</v>
      </c>
      <c r="O70" s="91">
        <f t="shared" si="3"/>
        <v>2</v>
      </c>
      <c r="P70"/>
      <c r="Q70"/>
      <c r="R70"/>
      <c r="S70"/>
      <c r="T70"/>
      <c r="U70"/>
      <c r="V70"/>
      <c r="W70"/>
      <c r="X70"/>
      <c r="Y70"/>
      <c r="Z70" s="9">
        <v>67</v>
      </c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94" t="s">
        <v>382</v>
      </c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s="6" customFormat="1" ht="16.5">
      <c r="A71" s="9">
        <v>103</v>
      </c>
      <c r="B71"/>
      <c r="C71" s="9">
        <v>70.349999999999994</v>
      </c>
      <c r="D71">
        <v>0</v>
      </c>
      <c r="E71" s="9">
        <v>0</v>
      </c>
      <c r="F71" s="9">
        <v>0</v>
      </c>
      <c r="G71" s="9">
        <v>0</v>
      </c>
      <c r="H71" s="9">
        <v>0</v>
      </c>
      <c r="I71" s="9">
        <v>29.65</v>
      </c>
      <c r="J71" s="9">
        <v>0</v>
      </c>
      <c r="K71" s="9">
        <v>0</v>
      </c>
      <c r="L71" s="9">
        <v>0</v>
      </c>
      <c r="M71" s="74" t="str">
        <f t="array" ref="M71">_xlfn.TEXTJOIN("-", TRUE, IF(C71:L71&gt;0, $C$2:$L$2, ""))</f>
        <v xml:space="preserve"> Ti-Nb</v>
      </c>
      <c r="N71" s="90">
        <f t="shared" si="2"/>
        <v>6</v>
      </c>
      <c r="O71" s="91">
        <f t="shared" si="3"/>
        <v>2</v>
      </c>
      <c r="P71"/>
      <c r="Q71"/>
      <c r="R71"/>
      <c r="S71"/>
      <c r="T71"/>
      <c r="U71"/>
      <c r="V71"/>
      <c r="W71"/>
      <c r="X71"/>
      <c r="Y71"/>
      <c r="Z71" s="9">
        <v>67.5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94" t="s">
        <v>382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s="6" customFormat="1" ht="16.5">
      <c r="A72" s="9">
        <v>104</v>
      </c>
      <c r="B72"/>
      <c r="C72" s="9">
        <v>66</v>
      </c>
      <c r="D72">
        <v>0</v>
      </c>
      <c r="E72" s="9">
        <v>0</v>
      </c>
      <c r="F72" s="9">
        <v>0</v>
      </c>
      <c r="G72" s="9">
        <v>0</v>
      </c>
      <c r="H72" s="9">
        <v>0</v>
      </c>
      <c r="I72" s="9">
        <v>34</v>
      </c>
      <c r="J72" s="9">
        <v>0</v>
      </c>
      <c r="K72" s="9">
        <v>0</v>
      </c>
      <c r="L72" s="9">
        <v>0</v>
      </c>
      <c r="M72" s="74" t="str">
        <f t="array" ref="M72">_xlfn.TEXTJOIN("-", TRUE, IF(C72:L72&gt;0, $C$2:$L$2, ""))</f>
        <v xml:space="preserve"> Ti-Nb</v>
      </c>
      <c r="N72" s="90">
        <f t="shared" si="2"/>
        <v>6</v>
      </c>
      <c r="O72" s="91">
        <f t="shared" si="3"/>
        <v>2</v>
      </c>
      <c r="P72"/>
      <c r="Q72"/>
      <c r="R72"/>
      <c r="S72"/>
      <c r="T72"/>
      <c r="U72"/>
      <c r="V72"/>
      <c r="W72"/>
      <c r="X72"/>
      <c r="Y72"/>
      <c r="Z72" s="9">
        <v>74.5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94" t="s">
        <v>382</v>
      </c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s="6" customFormat="1" ht="16.5">
      <c r="A73" s="9">
        <v>105</v>
      </c>
      <c r="B73"/>
      <c r="C73" s="9">
        <v>56.41</v>
      </c>
      <c r="D73">
        <v>0</v>
      </c>
      <c r="E73" s="9">
        <v>0</v>
      </c>
      <c r="F73" s="9">
        <v>0</v>
      </c>
      <c r="G73" s="9">
        <v>0</v>
      </c>
      <c r="H73" s="9">
        <v>0</v>
      </c>
      <c r="I73" s="9">
        <v>43.59</v>
      </c>
      <c r="J73" s="9">
        <v>0</v>
      </c>
      <c r="K73" s="9">
        <v>0</v>
      </c>
      <c r="L73" s="9">
        <v>0</v>
      </c>
      <c r="M73" s="74" t="str">
        <f t="array" ref="M73">_xlfn.TEXTJOIN("-", TRUE, IF(C73:L73&gt;0, $C$2:$L$2, ""))</f>
        <v xml:space="preserve"> Ti-Nb</v>
      </c>
      <c r="N73" s="90">
        <f t="shared" si="2"/>
        <v>6</v>
      </c>
      <c r="O73" s="91">
        <f t="shared" si="3"/>
        <v>2</v>
      </c>
      <c r="P73"/>
      <c r="Q73"/>
      <c r="R73"/>
      <c r="S73"/>
      <c r="T73"/>
      <c r="U73"/>
      <c r="V73"/>
      <c r="W73"/>
      <c r="X73"/>
      <c r="Y73"/>
      <c r="Z73" s="9">
        <v>84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94" t="s">
        <v>382</v>
      </c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s="6" customFormat="1" ht="16.5">
      <c r="A74" s="9">
        <v>106</v>
      </c>
      <c r="B74"/>
      <c r="C74" s="9">
        <v>77.53</v>
      </c>
      <c r="D74">
        <v>0</v>
      </c>
      <c r="E74" s="9">
        <v>0</v>
      </c>
      <c r="F74" s="9">
        <v>0</v>
      </c>
      <c r="G74" s="9">
        <v>0</v>
      </c>
      <c r="H74" s="9">
        <v>0</v>
      </c>
      <c r="I74" s="9">
        <v>22.47</v>
      </c>
      <c r="J74" s="9">
        <v>0</v>
      </c>
      <c r="K74" s="9">
        <v>0</v>
      </c>
      <c r="L74" s="9">
        <v>0</v>
      </c>
      <c r="M74" s="74" t="str">
        <f t="array" ref="M74">_xlfn.TEXTJOIN("-", TRUE, IF(C74:L74&gt;0, $C$2:$L$2, ""))</f>
        <v xml:space="preserve"> Ti-Nb</v>
      </c>
      <c r="N74" s="90">
        <f t="shared" si="2"/>
        <v>6</v>
      </c>
      <c r="O74" s="91">
        <f t="shared" si="3"/>
        <v>2</v>
      </c>
      <c r="P74"/>
      <c r="Q74"/>
      <c r="R74"/>
      <c r="S74"/>
      <c r="T74"/>
      <c r="U74"/>
      <c r="V74"/>
      <c r="W74"/>
      <c r="X74"/>
      <c r="Y74"/>
      <c r="Z74" s="9">
        <v>72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s="94" t="s">
        <v>382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s="6" customFormat="1" ht="16.5">
      <c r="A75" s="9">
        <v>107</v>
      </c>
      <c r="B75"/>
      <c r="C75" s="9">
        <v>74.430000000000007</v>
      </c>
      <c r="D75">
        <v>0</v>
      </c>
      <c r="E75" s="9">
        <v>0</v>
      </c>
      <c r="F75" s="9">
        <v>0</v>
      </c>
      <c r="G75" s="9">
        <v>0</v>
      </c>
      <c r="H75" s="9">
        <v>0</v>
      </c>
      <c r="I75" s="9">
        <v>25.57</v>
      </c>
      <c r="J75" s="9">
        <v>0</v>
      </c>
      <c r="K75" s="9">
        <v>0</v>
      </c>
      <c r="L75" s="9">
        <v>0</v>
      </c>
      <c r="M75" s="74" t="str">
        <f t="array" ref="M75">_xlfn.TEXTJOIN("-", TRUE, IF(C75:L75&gt;0, $C$2:$L$2, ""))</f>
        <v xml:space="preserve"> Ti-Nb</v>
      </c>
      <c r="N75" s="90">
        <f t="shared" si="2"/>
        <v>6</v>
      </c>
      <c r="O75" s="91">
        <f t="shared" si="3"/>
        <v>2</v>
      </c>
      <c r="P75"/>
      <c r="Q75"/>
      <c r="R75"/>
      <c r="S75"/>
      <c r="T75"/>
      <c r="U75"/>
      <c r="V75"/>
      <c r="W75"/>
      <c r="X75"/>
      <c r="Y75"/>
      <c r="Z75" s="9">
        <v>61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s="94" t="s">
        <v>382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s="6" customFormat="1" ht="16.5">
      <c r="A76" s="9">
        <v>108</v>
      </c>
      <c r="B76"/>
      <c r="C76" s="9">
        <v>72.83</v>
      </c>
      <c r="D76">
        <v>0</v>
      </c>
      <c r="E76" s="9">
        <v>0</v>
      </c>
      <c r="F76" s="9">
        <v>0</v>
      </c>
      <c r="G76" s="9">
        <v>0</v>
      </c>
      <c r="H76" s="9">
        <v>0</v>
      </c>
      <c r="I76" s="9">
        <v>27.17</v>
      </c>
      <c r="J76" s="9">
        <v>0</v>
      </c>
      <c r="K76" s="9">
        <v>0</v>
      </c>
      <c r="L76" s="9">
        <v>0</v>
      </c>
      <c r="M76" s="74" t="str">
        <f t="array" ref="M76">_xlfn.TEXTJOIN("-", TRUE, IF(C76:L76&gt;0, $C$2:$L$2, ""))</f>
        <v xml:space="preserve"> Ti-Nb</v>
      </c>
      <c r="N76" s="90">
        <f t="shared" si="2"/>
        <v>6</v>
      </c>
      <c r="O76" s="91">
        <f t="shared" si="3"/>
        <v>2</v>
      </c>
      <c r="P76"/>
      <c r="Q76"/>
      <c r="R76"/>
      <c r="S76"/>
      <c r="T76"/>
      <c r="U76"/>
      <c r="V76"/>
      <c r="W76"/>
      <c r="X76"/>
      <c r="Y76"/>
      <c r="Z76" s="9">
        <v>62</v>
      </c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s="94" t="s">
        <v>382</v>
      </c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s="6" customFormat="1" ht="16.5">
      <c r="A77" s="9">
        <v>109</v>
      </c>
      <c r="B77"/>
      <c r="C77" s="9">
        <v>70.25</v>
      </c>
      <c r="D77">
        <v>0</v>
      </c>
      <c r="E77" s="9">
        <v>0</v>
      </c>
      <c r="F77" s="9">
        <v>0</v>
      </c>
      <c r="G77" s="9">
        <v>0</v>
      </c>
      <c r="H77" s="9">
        <v>0</v>
      </c>
      <c r="I77" s="9">
        <v>29.75</v>
      </c>
      <c r="J77" s="9">
        <v>0</v>
      </c>
      <c r="K77" s="9">
        <v>0</v>
      </c>
      <c r="L77" s="9">
        <v>0</v>
      </c>
      <c r="M77" s="74" t="str">
        <f t="array" ref="M77">_xlfn.TEXTJOIN("-", TRUE, IF(C77:L77&gt;0, $C$2:$L$2, ""))</f>
        <v xml:space="preserve"> Ti-Nb</v>
      </c>
      <c r="N77" s="90">
        <f t="shared" si="2"/>
        <v>6</v>
      </c>
      <c r="O77" s="91">
        <f t="shared" si="3"/>
        <v>2</v>
      </c>
      <c r="P77"/>
      <c r="Q77"/>
      <c r="R77"/>
      <c r="S77"/>
      <c r="T77"/>
      <c r="U77"/>
      <c r="V77"/>
      <c r="W77"/>
      <c r="X77"/>
      <c r="Y77"/>
      <c r="Z77" s="9">
        <v>65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s="94" t="s">
        <v>382</v>
      </c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s="6" customFormat="1" ht="16.5">
      <c r="A78" s="9">
        <v>110</v>
      </c>
      <c r="B78"/>
      <c r="C78" s="9">
        <v>70.180000000000007</v>
      </c>
      <c r="D78">
        <v>0</v>
      </c>
      <c r="E78" s="9">
        <v>0</v>
      </c>
      <c r="F78" s="9">
        <v>0</v>
      </c>
      <c r="G78" s="9">
        <v>0</v>
      </c>
      <c r="H78" s="9">
        <v>0</v>
      </c>
      <c r="I78" s="9">
        <v>29.82</v>
      </c>
      <c r="J78" s="9">
        <v>0</v>
      </c>
      <c r="K78" s="9">
        <v>0</v>
      </c>
      <c r="L78" s="9">
        <v>0</v>
      </c>
      <c r="M78" s="74" t="str">
        <f t="array" ref="M78">_xlfn.TEXTJOIN("-", TRUE, IF(C78:L78&gt;0, $C$2:$L$2, ""))</f>
        <v xml:space="preserve"> Ti-Nb</v>
      </c>
      <c r="N78" s="90">
        <f t="shared" si="2"/>
        <v>6</v>
      </c>
      <c r="O78" s="91">
        <f t="shared" si="3"/>
        <v>2</v>
      </c>
      <c r="P78"/>
      <c r="Q78"/>
      <c r="R78"/>
      <c r="S78"/>
      <c r="T78"/>
      <c r="U78"/>
      <c r="V78"/>
      <c r="W78"/>
      <c r="X78"/>
      <c r="Y78"/>
      <c r="Z78" s="9">
        <v>64.3</v>
      </c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s="94" t="s">
        <v>382</v>
      </c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s="6" customFormat="1" ht="16.5">
      <c r="A79" s="9">
        <v>121</v>
      </c>
      <c r="B79"/>
      <c r="C79" s="9">
        <v>80</v>
      </c>
      <c r="D79">
        <v>0</v>
      </c>
      <c r="E79" s="9">
        <v>0</v>
      </c>
      <c r="F79" s="9">
        <v>0</v>
      </c>
      <c r="G79" s="9">
        <v>0</v>
      </c>
      <c r="H79" s="9">
        <v>0</v>
      </c>
      <c r="I79" s="9">
        <v>20</v>
      </c>
      <c r="J79" s="9">
        <v>0</v>
      </c>
      <c r="K79" s="9">
        <v>0</v>
      </c>
      <c r="L79" s="9">
        <v>0</v>
      </c>
      <c r="M79" s="74" t="str">
        <f t="array" ref="M79">_xlfn.TEXTJOIN("-", TRUE, IF(C79:L79&gt;0, $C$2:$L$2, ""))</f>
        <v xml:space="preserve"> Ti-Nb</v>
      </c>
      <c r="N79" s="90">
        <f t="shared" si="2"/>
        <v>6</v>
      </c>
      <c r="O79" s="91">
        <f t="shared" si="3"/>
        <v>2</v>
      </c>
      <c r="P79"/>
      <c r="Q79"/>
      <c r="R79"/>
      <c r="S79"/>
      <c r="T79"/>
      <c r="U79"/>
      <c r="V79"/>
      <c r="W79"/>
      <c r="X79"/>
      <c r="Y79"/>
      <c r="Z79" s="9">
        <v>61.4</v>
      </c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s="94" t="s">
        <v>382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s="6" customFormat="1" ht="16.5">
      <c r="A80" s="9">
        <v>126</v>
      </c>
      <c r="B80"/>
      <c r="C80" s="9">
        <v>74.489999999999995</v>
      </c>
      <c r="D80">
        <v>0</v>
      </c>
      <c r="E80" s="9">
        <v>0</v>
      </c>
      <c r="F80" s="9">
        <v>0</v>
      </c>
      <c r="G80" s="9">
        <v>0</v>
      </c>
      <c r="H80" s="9">
        <v>0</v>
      </c>
      <c r="I80" s="9">
        <v>25.51</v>
      </c>
      <c r="J80" s="9">
        <v>0</v>
      </c>
      <c r="K80" s="9">
        <v>0</v>
      </c>
      <c r="L80" s="9">
        <v>0</v>
      </c>
      <c r="M80" s="74" t="str">
        <f t="array" ref="M80">_xlfn.TEXTJOIN("-", TRUE, IF(C80:L80&gt;0, $C$2:$L$2, ""))</f>
        <v xml:space="preserve"> Ti-Nb</v>
      </c>
      <c r="N80" s="90">
        <f t="shared" si="2"/>
        <v>6</v>
      </c>
      <c r="O80" s="91">
        <f t="shared" si="3"/>
        <v>2</v>
      </c>
      <c r="P80"/>
      <c r="Q80"/>
      <c r="R80"/>
      <c r="S80"/>
      <c r="T80"/>
      <c r="U80"/>
      <c r="V80"/>
      <c r="W80"/>
      <c r="X80"/>
      <c r="Y80"/>
      <c r="Z80" s="9">
        <v>65</v>
      </c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 s="94" t="s">
        <v>382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s="6" customFormat="1" ht="16.5">
      <c r="A81" s="9">
        <v>127</v>
      </c>
      <c r="B81"/>
      <c r="C81" s="9">
        <v>43.59</v>
      </c>
      <c r="D81">
        <v>0</v>
      </c>
      <c r="E81" s="9">
        <v>0</v>
      </c>
      <c r="F81" s="9">
        <v>0</v>
      </c>
      <c r="G81" s="9">
        <v>0</v>
      </c>
      <c r="H81" s="9">
        <v>0</v>
      </c>
      <c r="I81" s="9">
        <v>56.41</v>
      </c>
      <c r="J81" s="9">
        <v>0</v>
      </c>
      <c r="K81" s="9">
        <v>0</v>
      </c>
      <c r="L81" s="9">
        <v>0</v>
      </c>
      <c r="M81" s="74" t="str">
        <f t="array" ref="M81">_xlfn.TEXTJOIN("-", TRUE, IF(C81:L81&gt;0, $C$2:$L$2, ""))</f>
        <v xml:space="preserve"> Ti-Nb</v>
      </c>
      <c r="N81" s="90">
        <f t="shared" si="2"/>
        <v>6</v>
      </c>
      <c r="O81" s="91">
        <f t="shared" si="3"/>
        <v>2</v>
      </c>
      <c r="P81"/>
      <c r="Q81"/>
      <c r="R81"/>
      <c r="S81"/>
      <c r="T81"/>
      <c r="U81"/>
      <c r="V81"/>
      <c r="W81"/>
      <c r="X81"/>
      <c r="Y81"/>
      <c r="Z81" s="9">
        <v>54</v>
      </c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s="94" t="s">
        <v>382</v>
      </c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s="6" customFormat="1" ht="16.5">
      <c r="A82" s="9">
        <v>175</v>
      </c>
      <c r="B82"/>
      <c r="C82" s="9">
        <v>73</v>
      </c>
      <c r="D82">
        <v>0</v>
      </c>
      <c r="E82" s="9">
        <v>0</v>
      </c>
      <c r="F82" s="9">
        <v>0</v>
      </c>
      <c r="G82" s="9">
        <v>0</v>
      </c>
      <c r="H82" s="9">
        <v>0</v>
      </c>
      <c r="I82" s="9">
        <v>27</v>
      </c>
      <c r="J82" s="9">
        <v>0</v>
      </c>
      <c r="K82" s="9">
        <v>0</v>
      </c>
      <c r="L82" s="9">
        <v>0</v>
      </c>
      <c r="M82" s="74" t="str">
        <f t="array" ref="M82">_xlfn.TEXTJOIN("-", TRUE, IF(C82:L82&gt;0, $C$2:$L$2, ""))</f>
        <v xml:space="preserve"> Ti-Nb</v>
      </c>
      <c r="N82" s="90">
        <f t="shared" si="2"/>
        <v>6</v>
      </c>
      <c r="O82" s="91">
        <f t="shared" si="3"/>
        <v>2</v>
      </c>
      <c r="P82"/>
      <c r="Q82"/>
      <c r="R82"/>
      <c r="S82"/>
      <c r="T82"/>
      <c r="U82"/>
      <c r="V82"/>
      <c r="W82"/>
      <c r="X82"/>
      <c r="Y82"/>
      <c r="Z82" s="9">
        <v>67.099999999999994</v>
      </c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 s="94" t="s">
        <v>382</v>
      </c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s="6" customFormat="1" ht="16.5">
      <c r="A83" s="9">
        <v>176</v>
      </c>
      <c r="B83"/>
      <c r="C83" s="9">
        <v>72.739999999999995</v>
      </c>
      <c r="D83">
        <v>0</v>
      </c>
      <c r="E83" s="9">
        <v>0</v>
      </c>
      <c r="F83" s="9">
        <v>0</v>
      </c>
      <c r="G83" s="9">
        <v>0</v>
      </c>
      <c r="H83" s="9">
        <v>0</v>
      </c>
      <c r="I83" s="9">
        <v>27.26</v>
      </c>
      <c r="J83" s="9">
        <v>0</v>
      </c>
      <c r="K83" s="9">
        <v>0</v>
      </c>
      <c r="L83" s="9">
        <v>0</v>
      </c>
      <c r="M83" s="74" t="str">
        <f t="array" ref="M83">_xlfn.TEXTJOIN("-", TRUE, IF(C83:L83&gt;0, $C$2:$L$2, ""))</f>
        <v xml:space="preserve"> Ti-Nb</v>
      </c>
      <c r="N83" s="90">
        <f t="shared" si="2"/>
        <v>6</v>
      </c>
      <c r="O83" s="91">
        <f t="shared" si="3"/>
        <v>2</v>
      </c>
      <c r="P83"/>
      <c r="Q83"/>
      <c r="R83"/>
      <c r="S83"/>
      <c r="T83"/>
      <c r="U83"/>
      <c r="V83"/>
      <c r="W83"/>
      <c r="X83"/>
      <c r="Y83"/>
      <c r="Z83" s="9">
        <v>55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s="94" t="s">
        <v>382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s="6" customFormat="1" ht="16.5">
      <c r="A84" s="9">
        <v>178</v>
      </c>
      <c r="B84"/>
      <c r="C84" s="9">
        <v>76.849999999999994</v>
      </c>
      <c r="D84">
        <v>0</v>
      </c>
      <c r="E84" s="9">
        <v>0</v>
      </c>
      <c r="F84" s="9">
        <v>0</v>
      </c>
      <c r="G84" s="9">
        <v>0</v>
      </c>
      <c r="H84" s="9">
        <v>0</v>
      </c>
      <c r="I84" s="9">
        <v>23.15</v>
      </c>
      <c r="J84" s="9">
        <v>0</v>
      </c>
      <c r="K84" s="9">
        <v>0</v>
      </c>
      <c r="L84" s="9">
        <v>0</v>
      </c>
      <c r="M84" s="74" t="str">
        <f t="array" ref="M84">_xlfn.TEXTJOIN("-", TRUE, IF(C84:L84&gt;0, $C$2:$L$2, ""))</f>
        <v xml:space="preserve"> Ti-Nb</v>
      </c>
      <c r="N84" s="90">
        <f t="shared" si="2"/>
        <v>6</v>
      </c>
      <c r="O84" s="91">
        <f t="shared" si="3"/>
        <v>2</v>
      </c>
      <c r="P84"/>
      <c r="Q84"/>
      <c r="R84"/>
      <c r="S84"/>
      <c r="T84"/>
      <c r="U84"/>
      <c r="V84"/>
      <c r="W84"/>
      <c r="X84"/>
      <c r="Y84"/>
      <c r="Z84" s="9">
        <v>65</v>
      </c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s="94" t="s">
        <v>382</v>
      </c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s="6" customFormat="1" ht="16.5">
      <c r="A85" s="9">
        <v>180</v>
      </c>
      <c r="B85"/>
      <c r="C85" s="9">
        <v>71.180000000000007</v>
      </c>
      <c r="D85">
        <v>0</v>
      </c>
      <c r="E85" s="9">
        <v>0</v>
      </c>
      <c r="F85" s="9">
        <v>0</v>
      </c>
      <c r="G85" s="9">
        <v>0</v>
      </c>
      <c r="H85" s="9">
        <v>0</v>
      </c>
      <c r="I85" s="9">
        <v>28.82</v>
      </c>
      <c r="J85" s="9">
        <v>0</v>
      </c>
      <c r="K85" s="9">
        <v>0</v>
      </c>
      <c r="L85" s="9">
        <v>0</v>
      </c>
      <c r="M85" s="74" t="str">
        <f t="array" ref="M85">_xlfn.TEXTJOIN("-", TRUE, IF(C85:L85&gt;0, $C$2:$L$2, ""))</f>
        <v xml:space="preserve"> Ti-Nb</v>
      </c>
      <c r="N85" s="90">
        <f t="shared" si="2"/>
        <v>6</v>
      </c>
      <c r="O85" s="91">
        <f t="shared" si="3"/>
        <v>2</v>
      </c>
      <c r="P85"/>
      <c r="Q85"/>
      <c r="R85"/>
      <c r="S85"/>
      <c r="T85"/>
      <c r="U85"/>
      <c r="V85"/>
      <c r="W85"/>
      <c r="X85"/>
      <c r="Y85"/>
      <c r="Z85" s="9">
        <v>62</v>
      </c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 s="94" t="s">
        <v>382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s="6" customFormat="1" ht="16.5">
      <c r="A86" s="9">
        <v>182</v>
      </c>
      <c r="B86"/>
      <c r="C86" s="9">
        <v>78.28</v>
      </c>
      <c r="D86">
        <v>0</v>
      </c>
      <c r="E86" s="9">
        <v>0</v>
      </c>
      <c r="F86" s="9">
        <v>0</v>
      </c>
      <c r="G86" s="9">
        <v>0</v>
      </c>
      <c r="H86" s="9">
        <v>0</v>
      </c>
      <c r="I86" s="9">
        <v>21.72</v>
      </c>
      <c r="J86" s="9">
        <v>0</v>
      </c>
      <c r="K86" s="9">
        <v>0</v>
      </c>
      <c r="L86" s="9">
        <v>0</v>
      </c>
      <c r="M86" s="74" t="str">
        <f t="array" ref="M86">_xlfn.TEXTJOIN("-", TRUE, IF(C86:L86&gt;0, $C$2:$L$2, ""))</f>
        <v xml:space="preserve"> Ti-Nb</v>
      </c>
      <c r="N86" s="90">
        <f t="shared" si="2"/>
        <v>6</v>
      </c>
      <c r="O86" s="91">
        <f t="shared" si="3"/>
        <v>2</v>
      </c>
      <c r="P86"/>
      <c r="Q86"/>
      <c r="R86"/>
      <c r="S86"/>
      <c r="T86"/>
      <c r="U86"/>
      <c r="V86"/>
      <c r="W86"/>
      <c r="X86"/>
      <c r="Y86"/>
      <c r="Z86" s="9">
        <v>69</v>
      </c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s="94" t="s">
        <v>382</v>
      </c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s="6" customFormat="1" ht="16.5">
      <c r="A87" s="9">
        <v>216</v>
      </c>
      <c r="B87"/>
      <c r="C87" s="9">
        <v>76.849999999999994</v>
      </c>
      <c r="D87">
        <v>0</v>
      </c>
      <c r="E87" s="9">
        <v>0</v>
      </c>
      <c r="F87" s="9">
        <v>0</v>
      </c>
      <c r="G87" s="9">
        <v>0</v>
      </c>
      <c r="H87" s="9">
        <v>0</v>
      </c>
      <c r="I87" s="9">
        <v>23.15</v>
      </c>
      <c r="J87" s="9">
        <v>0</v>
      </c>
      <c r="K87" s="9">
        <v>0</v>
      </c>
      <c r="L87" s="9">
        <v>0</v>
      </c>
      <c r="M87" s="74" t="str">
        <f t="array" ref="M87">_xlfn.TEXTJOIN("-", TRUE, IF(C87:L87&gt;0, $C$2:$L$2, ""))</f>
        <v xml:space="preserve"> Ti-Nb</v>
      </c>
      <c r="N87" s="90">
        <f t="shared" si="2"/>
        <v>6</v>
      </c>
      <c r="O87" s="91">
        <f t="shared" si="3"/>
        <v>2</v>
      </c>
      <c r="P87"/>
      <c r="Q87"/>
      <c r="R87"/>
      <c r="S87"/>
      <c r="T87"/>
      <c r="U87"/>
      <c r="V87"/>
      <c r="W87"/>
      <c r="X87"/>
      <c r="Y87"/>
      <c r="Z87" s="9">
        <v>65</v>
      </c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s="94" t="s">
        <v>382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s="6" customFormat="1" ht="16.5">
      <c r="A88" s="7">
        <v>81</v>
      </c>
      <c r="C88" s="8">
        <v>70</v>
      </c>
      <c r="D88" s="8">
        <v>0</v>
      </c>
      <c r="E88" s="8">
        <v>0</v>
      </c>
      <c r="F88" s="8">
        <v>0</v>
      </c>
      <c r="G88" s="8">
        <v>0</v>
      </c>
      <c r="H88" s="8">
        <v>30</v>
      </c>
      <c r="I88" s="8">
        <v>0</v>
      </c>
      <c r="J88" s="8">
        <v>0</v>
      </c>
      <c r="K88" s="8">
        <v>0</v>
      </c>
      <c r="L88" s="8">
        <v>0</v>
      </c>
      <c r="M88" s="74" t="str">
        <f t="array" ref="M88">_xlfn.TEXTJOIN("-", TRUE, IF(C88:L88&gt;0, $C$2:$L$2, ""))</f>
        <v xml:space="preserve"> Ti-Ta</v>
      </c>
      <c r="N88" s="90">
        <f t="shared" si="2"/>
        <v>88</v>
      </c>
      <c r="O88" s="91">
        <f t="shared" si="3"/>
        <v>2</v>
      </c>
      <c r="P88" s="8">
        <v>1</v>
      </c>
      <c r="Q88" s="8">
        <v>0</v>
      </c>
      <c r="R88" s="8">
        <v>0</v>
      </c>
      <c r="S88" s="8">
        <v>0</v>
      </c>
      <c r="T88" s="8">
        <v>950</v>
      </c>
      <c r="U88" s="8">
        <v>1</v>
      </c>
      <c r="V88" s="8">
        <v>1</v>
      </c>
      <c r="W88" s="8">
        <v>0</v>
      </c>
      <c r="X88" s="8">
        <v>0</v>
      </c>
      <c r="Y88" s="8">
        <v>0</v>
      </c>
      <c r="AB88" s="8">
        <v>587</v>
      </c>
      <c r="AD88" s="8">
        <v>20.97</v>
      </c>
      <c r="AN88" s="6" t="s">
        <v>124</v>
      </c>
      <c r="AO88" s="6" t="s">
        <v>125</v>
      </c>
      <c r="AP88" s="6">
        <v>11</v>
      </c>
      <c r="AQ88" s="7" t="s">
        <v>54</v>
      </c>
      <c r="AR88" s="7">
        <v>81</v>
      </c>
    </row>
    <row r="89" spans="1:61" s="6" customFormat="1" ht="16.5">
      <c r="A89" s="7">
        <v>82</v>
      </c>
      <c r="C89" s="8">
        <v>70</v>
      </c>
      <c r="D89" s="8">
        <v>0</v>
      </c>
      <c r="E89" s="8">
        <v>0</v>
      </c>
      <c r="F89" s="8">
        <v>0</v>
      </c>
      <c r="G89" s="8">
        <v>0</v>
      </c>
      <c r="H89" s="8">
        <v>30</v>
      </c>
      <c r="I89" s="8">
        <v>0</v>
      </c>
      <c r="J89" s="8">
        <v>0</v>
      </c>
      <c r="K89" s="8">
        <v>0</v>
      </c>
      <c r="L89" s="8">
        <v>0</v>
      </c>
      <c r="M89" s="74" t="str">
        <f t="array" ref="M89">_xlfn.TEXTJOIN("-", TRUE, IF(C89:L89&gt;0, $C$2:$L$2, ""))</f>
        <v xml:space="preserve"> Ti-Ta</v>
      </c>
      <c r="N89" s="90">
        <f t="shared" si="2"/>
        <v>88</v>
      </c>
      <c r="O89" s="91">
        <f t="shared" si="3"/>
        <v>2</v>
      </c>
      <c r="P89" s="8">
        <v>1</v>
      </c>
      <c r="Q89" s="8">
        <v>0</v>
      </c>
      <c r="R89" s="8">
        <v>0</v>
      </c>
      <c r="S89" s="8">
        <v>0</v>
      </c>
      <c r="T89" s="8">
        <v>950</v>
      </c>
      <c r="U89" s="8">
        <v>1</v>
      </c>
      <c r="V89" s="8">
        <v>1</v>
      </c>
      <c r="W89" s="8">
        <v>500</v>
      </c>
      <c r="X89" s="8">
        <v>72</v>
      </c>
      <c r="Y89" s="8">
        <v>1</v>
      </c>
      <c r="AB89" s="8">
        <v>891</v>
      </c>
      <c r="AD89" s="8">
        <v>9.32</v>
      </c>
      <c r="AN89" s="6" t="s">
        <v>124</v>
      </c>
      <c r="AO89" s="6" t="s">
        <v>125</v>
      </c>
      <c r="AP89" s="6">
        <v>11</v>
      </c>
      <c r="AQ89" s="7" t="s">
        <v>54</v>
      </c>
      <c r="AR89" s="7">
        <v>82</v>
      </c>
    </row>
    <row r="90" spans="1:61" s="6" customFormat="1" ht="16.5">
      <c r="A90" s="7">
        <v>83</v>
      </c>
      <c r="C90" s="8">
        <v>70</v>
      </c>
      <c r="D90" s="8">
        <v>0</v>
      </c>
      <c r="E90" s="8">
        <v>0</v>
      </c>
      <c r="F90" s="8">
        <v>0</v>
      </c>
      <c r="G90" s="8">
        <v>0</v>
      </c>
      <c r="H90" s="8">
        <v>30</v>
      </c>
      <c r="I90" s="8">
        <v>0</v>
      </c>
      <c r="J90" s="8">
        <v>0</v>
      </c>
      <c r="K90" s="8">
        <v>0</v>
      </c>
      <c r="L90" s="8">
        <v>0</v>
      </c>
      <c r="M90" s="74" t="str">
        <f t="array" ref="M90">_xlfn.TEXTJOIN("-", TRUE, IF(C90:L90&gt;0, $C$2:$L$2, ""))</f>
        <v xml:space="preserve"> Ti-Ta</v>
      </c>
      <c r="N90" s="90">
        <f t="shared" si="2"/>
        <v>88</v>
      </c>
      <c r="O90" s="91">
        <f t="shared" si="3"/>
        <v>2</v>
      </c>
      <c r="P90" s="8">
        <v>1</v>
      </c>
      <c r="Q90" s="8">
        <v>0</v>
      </c>
      <c r="R90" s="8">
        <v>0</v>
      </c>
      <c r="S90" s="8">
        <v>0</v>
      </c>
      <c r="T90" s="8">
        <v>950</v>
      </c>
      <c r="U90" s="8">
        <v>1</v>
      </c>
      <c r="V90" s="8">
        <v>1</v>
      </c>
      <c r="W90" s="8">
        <v>600</v>
      </c>
      <c r="X90" s="8">
        <v>72</v>
      </c>
      <c r="Y90" s="8">
        <v>1</v>
      </c>
      <c r="AB90" s="8">
        <v>761</v>
      </c>
      <c r="AD90" s="8">
        <v>11.93</v>
      </c>
      <c r="AN90" s="6" t="s">
        <v>124</v>
      </c>
      <c r="AO90" s="6" t="s">
        <v>125</v>
      </c>
      <c r="AP90" s="6">
        <v>11</v>
      </c>
      <c r="AQ90" s="7" t="s">
        <v>54</v>
      </c>
      <c r="AR90" s="7">
        <v>83</v>
      </c>
    </row>
    <row r="91" spans="1:61" s="6" customFormat="1" ht="16.5">
      <c r="A91" s="7">
        <v>84</v>
      </c>
      <c r="C91" s="8">
        <v>50</v>
      </c>
      <c r="D91" s="8">
        <v>0</v>
      </c>
      <c r="E91" s="8">
        <v>0</v>
      </c>
      <c r="F91" s="8">
        <v>0</v>
      </c>
      <c r="G91" s="8">
        <v>0</v>
      </c>
      <c r="H91" s="8">
        <v>50</v>
      </c>
      <c r="I91" s="8">
        <v>0</v>
      </c>
      <c r="J91" s="8">
        <v>0</v>
      </c>
      <c r="K91" s="8">
        <v>0</v>
      </c>
      <c r="L91" s="8">
        <v>0</v>
      </c>
      <c r="M91" s="74" t="str">
        <f t="array" ref="M91">_xlfn.TEXTJOIN("-", TRUE, IF(C91:L91&gt;0, $C$2:$L$2, ""))</f>
        <v xml:space="preserve"> Ti-Ta</v>
      </c>
      <c r="N91" s="90">
        <f t="shared" si="2"/>
        <v>88</v>
      </c>
      <c r="O91" s="91">
        <f t="shared" si="3"/>
        <v>2</v>
      </c>
      <c r="P91" s="8">
        <v>1</v>
      </c>
      <c r="Q91" s="8">
        <v>0</v>
      </c>
      <c r="R91" s="8">
        <v>0</v>
      </c>
      <c r="S91" s="8">
        <v>0</v>
      </c>
      <c r="T91" s="8">
        <v>950</v>
      </c>
      <c r="U91" s="8">
        <v>1</v>
      </c>
      <c r="V91" s="8">
        <v>1</v>
      </c>
      <c r="W91" s="8">
        <v>0</v>
      </c>
      <c r="X91" s="8">
        <v>0</v>
      </c>
      <c r="Y91" s="8">
        <v>0</v>
      </c>
      <c r="AB91" s="8">
        <v>582</v>
      </c>
      <c r="AD91" s="8">
        <v>22.97</v>
      </c>
      <c r="AN91" s="6" t="s">
        <v>124</v>
      </c>
      <c r="AO91" s="6" t="s">
        <v>125</v>
      </c>
      <c r="AP91" s="6">
        <v>11</v>
      </c>
      <c r="AQ91" s="7" t="s">
        <v>54</v>
      </c>
      <c r="AR91" s="7">
        <v>84</v>
      </c>
    </row>
    <row r="92" spans="1:61" s="6" customFormat="1" ht="16.5">
      <c r="A92" s="7">
        <v>85</v>
      </c>
      <c r="C92" s="8">
        <v>50</v>
      </c>
      <c r="D92" s="8">
        <v>0</v>
      </c>
      <c r="E92" s="8">
        <v>0</v>
      </c>
      <c r="F92" s="8">
        <v>0</v>
      </c>
      <c r="G92" s="8">
        <v>0</v>
      </c>
      <c r="H92" s="8">
        <v>50</v>
      </c>
      <c r="I92" s="8">
        <v>0</v>
      </c>
      <c r="J92" s="8">
        <v>0</v>
      </c>
      <c r="K92" s="8">
        <v>0</v>
      </c>
      <c r="L92" s="8">
        <v>0</v>
      </c>
      <c r="M92" s="74" t="str">
        <f t="array" ref="M92">_xlfn.TEXTJOIN("-", TRUE, IF(C92:L92&gt;0, $C$2:$L$2, ""))</f>
        <v xml:space="preserve"> Ti-Ta</v>
      </c>
      <c r="N92" s="90">
        <f t="shared" si="2"/>
        <v>88</v>
      </c>
      <c r="O92" s="91">
        <f t="shared" si="3"/>
        <v>2</v>
      </c>
      <c r="P92" s="8">
        <v>1</v>
      </c>
      <c r="Q92" s="8">
        <v>0</v>
      </c>
      <c r="R92" s="8">
        <v>0</v>
      </c>
      <c r="S92" s="8">
        <v>0</v>
      </c>
      <c r="T92" s="8">
        <v>950</v>
      </c>
      <c r="U92" s="8">
        <v>1</v>
      </c>
      <c r="V92" s="8">
        <v>1</v>
      </c>
      <c r="W92" s="8">
        <v>500</v>
      </c>
      <c r="X92" s="8">
        <v>72</v>
      </c>
      <c r="Y92" s="8">
        <v>1</v>
      </c>
      <c r="AB92" s="8">
        <v>1029</v>
      </c>
      <c r="AD92" s="8">
        <v>10.38</v>
      </c>
      <c r="AN92" s="6" t="s">
        <v>124</v>
      </c>
      <c r="AO92" s="6" t="s">
        <v>125</v>
      </c>
      <c r="AP92" s="6">
        <v>11</v>
      </c>
      <c r="AQ92" s="7" t="s">
        <v>54</v>
      </c>
      <c r="AR92" s="7">
        <v>85</v>
      </c>
    </row>
    <row r="93" spans="1:61" s="6" customFormat="1" ht="16.5">
      <c r="A93" s="7">
        <v>86</v>
      </c>
      <c r="C93" s="8">
        <v>50</v>
      </c>
      <c r="D93" s="8">
        <v>0</v>
      </c>
      <c r="E93" s="8">
        <v>0</v>
      </c>
      <c r="F93" s="8">
        <v>0</v>
      </c>
      <c r="G93" s="8">
        <v>0</v>
      </c>
      <c r="H93" s="8">
        <v>50</v>
      </c>
      <c r="I93" s="8">
        <v>0</v>
      </c>
      <c r="J93" s="8">
        <v>0</v>
      </c>
      <c r="K93" s="8">
        <v>0</v>
      </c>
      <c r="L93" s="8">
        <v>0</v>
      </c>
      <c r="M93" s="74" t="str">
        <f t="array" ref="M93">_xlfn.TEXTJOIN("-", TRUE, IF(C93:L93&gt;0, $C$2:$L$2, ""))</f>
        <v xml:space="preserve"> Ti-Ta</v>
      </c>
      <c r="N93" s="90">
        <f t="shared" si="2"/>
        <v>88</v>
      </c>
      <c r="O93" s="91">
        <f t="shared" si="3"/>
        <v>2</v>
      </c>
      <c r="P93" s="8">
        <v>1</v>
      </c>
      <c r="Q93" s="8">
        <v>0</v>
      </c>
      <c r="R93" s="8">
        <v>0</v>
      </c>
      <c r="S93" s="8">
        <v>0</v>
      </c>
      <c r="T93" s="8">
        <v>950</v>
      </c>
      <c r="U93" s="8">
        <v>1</v>
      </c>
      <c r="V93" s="8">
        <v>1</v>
      </c>
      <c r="W93" s="8">
        <v>600</v>
      </c>
      <c r="X93" s="8">
        <v>72</v>
      </c>
      <c r="Y93" s="8">
        <v>1</v>
      </c>
      <c r="AB93" s="8">
        <v>988</v>
      </c>
      <c r="AD93" s="8">
        <v>10.63</v>
      </c>
      <c r="AN93" s="6" t="s">
        <v>124</v>
      </c>
      <c r="AO93" s="6" t="s">
        <v>125</v>
      </c>
      <c r="AP93" s="6">
        <v>11</v>
      </c>
      <c r="AQ93" s="7" t="s">
        <v>54</v>
      </c>
      <c r="AR93" s="7">
        <v>86</v>
      </c>
    </row>
    <row r="94" spans="1:61" s="6" customFormat="1" ht="16.5">
      <c r="A94" s="93">
        <v>378</v>
      </c>
      <c r="B94" s="93" t="s">
        <v>113</v>
      </c>
      <c r="C94" s="94">
        <v>97.14</v>
      </c>
      <c r="D94" s="94">
        <v>0</v>
      </c>
      <c r="E94" s="94">
        <v>0</v>
      </c>
      <c r="F94" s="94">
        <v>0</v>
      </c>
      <c r="G94" s="94">
        <v>0</v>
      </c>
      <c r="H94" s="94">
        <v>2.86</v>
      </c>
      <c r="I94" s="94">
        <v>0</v>
      </c>
      <c r="J94" s="94">
        <v>0</v>
      </c>
      <c r="K94" s="94">
        <v>0</v>
      </c>
      <c r="L94" s="94">
        <v>0</v>
      </c>
      <c r="M94" s="74" t="str">
        <f t="array" ref="M94">_xlfn.TEXTJOIN("-", TRUE, IF(C94:L94&gt;0, $C$2:$L$2, ""))</f>
        <v xml:space="preserve"> Ti-Ta</v>
      </c>
      <c r="N94" s="90">
        <f t="shared" si="2"/>
        <v>88</v>
      </c>
      <c r="O94" s="91">
        <f t="shared" si="3"/>
        <v>2</v>
      </c>
      <c r="P94" s="94">
        <v>1</v>
      </c>
      <c r="Q94" s="94">
        <v>1</v>
      </c>
      <c r="R94" s="93" t="s">
        <v>113</v>
      </c>
      <c r="S94" s="93" t="s">
        <v>113</v>
      </c>
      <c r="T94" s="93" t="s">
        <v>113</v>
      </c>
      <c r="U94" s="93" t="s">
        <v>113</v>
      </c>
      <c r="V94" s="93">
        <v>1</v>
      </c>
      <c r="W94" s="93" t="s">
        <v>113</v>
      </c>
      <c r="X94" s="93" t="s">
        <v>113</v>
      </c>
      <c r="Y94" s="93" t="s">
        <v>113</v>
      </c>
      <c r="Z94" s="94">
        <v>100</v>
      </c>
      <c r="AA94" s="93" t="s">
        <v>113</v>
      </c>
      <c r="AB94" s="93" t="s">
        <v>113</v>
      </c>
      <c r="AC94" s="94">
        <v>396</v>
      </c>
      <c r="AD94" s="93" t="s">
        <v>113</v>
      </c>
      <c r="AE94" s="93" t="s">
        <v>113</v>
      </c>
      <c r="AF94" s="93" t="s">
        <v>113</v>
      </c>
      <c r="AG94" s="93" t="s">
        <v>113</v>
      </c>
      <c r="AH94" s="93" t="s">
        <v>113</v>
      </c>
      <c r="AI94" s="93" t="s">
        <v>113</v>
      </c>
      <c r="AJ94" s="93" t="s">
        <v>113</v>
      </c>
      <c r="AK94" s="93" t="s">
        <v>113</v>
      </c>
      <c r="AL94" s="93" t="s">
        <v>113</v>
      </c>
      <c r="AM94" s="93"/>
      <c r="AN94" s="93" t="s">
        <v>113</v>
      </c>
      <c r="AO94" s="93" t="s">
        <v>232</v>
      </c>
      <c r="AP94" s="94">
        <v>378</v>
      </c>
      <c r="AQ94" s="94" t="s">
        <v>100</v>
      </c>
      <c r="AR94" s="93">
        <v>378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s="6" customFormat="1" ht="16.5">
      <c r="A95" s="93">
        <v>379</v>
      </c>
      <c r="B95" s="93" t="s">
        <v>113</v>
      </c>
      <c r="C95" s="94">
        <v>89.82</v>
      </c>
      <c r="D95" s="94">
        <v>0</v>
      </c>
      <c r="E95" s="94">
        <v>0</v>
      </c>
      <c r="F95" s="94">
        <v>0</v>
      </c>
      <c r="G95" s="94">
        <v>0</v>
      </c>
      <c r="H95" s="94">
        <v>10.18</v>
      </c>
      <c r="I95" s="94">
        <v>0</v>
      </c>
      <c r="J95" s="94">
        <v>0</v>
      </c>
      <c r="K95" s="94">
        <v>0</v>
      </c>
      <c r="L95" s="94">
        <v>0</v>
      </c>
      <c r="M95" s="74" t="str">
        <f t="array" ref="M95">_xlfn.TEXTJOIN("-", TRUE, IF(C95:L95&gt;0, $C$2:$L$2, ""))</f>
        <v xml:space="preserve"> Ti-Ta</v>
      </c>
      <c r="N95" s="90">
        <f t="shared" si="2"/>
        <v>88</v>
      </c>
      <c r="O95" s="91">
        <f t="shared" si="3"/>
        <v>2</v>
      </c>
      <c r="P95" s="94">
        <v>1</v>
      </c>
      <c r="Q95" s="94">
        <v>1</v>
      </c>
      <c r="R95" s="93" t="s">
        <v>113</v>
      </c>
      <c r="S95" s="93" t="s">
        <v>113</v>
      </c>
      <c r="T95" s="93" t="s">
        <v>113</v>
      </c>
      <c r="U95" s="93" t="s">
        <v>113</v>
      </c>
      <c r="V95" s="93">
        <v>1</v>
      </c>
      <c r="W95" s="93" t="s">
        <v>113</v>
      </c>
      <c r="X95" s="93" t="s">
        <v>113</v>
      </c>
      <c r="Y95" s="93" t="s">
        <v>113</v>
      </c>
      <c r="Z95" s="94">
        <v>69</v>
      </c>
      <c r="AA95" s="93" t="s">
        <v>113</v>
      </c>
      <c r="AB95" s="93" t="s">
        <v>113</v>
      </c>
      <c r="AC95" s="94">
        <v>441</v>
      </c>
      <c r="AD95" s="93" t="s">
        <v>113</v>
      </c>
      <c r="AE95" s="93" t="s">
        <v>113</v>
      </c>
      <c r="AF95" s="93" t="s">
        <v>113</v>
      </c>
      <c r="AG95" s="93" t="s">
        <v>113</v>
      </c>
      <c r="AH95" s="93" t="s">
        <v>113</v>
      </c>
      <c r="AI95" s="93" t="s">
        <v>113</v>
      </c>
      <c r="AJ95" s="93" t="s">
        <v>113</v>
      </c>
      <c r="AK95" s="93" t="s">
        <v>113</v>
      </c>
      <c r="AL95" s="93" t="s">
        <v>113</v>
      </c>
      <c r="AM95" s="93"/>
      <c r="AN95" s="93" t="s">
        <v>113</v>
      </c>
      <c r="AO95" s="93" t="s">
        <v>114</v>
      </c>
      <c r="AP95" s="94">
        <v>379</v>
      </c>
      <c r="AQ95" s="94" t="s">
        <v>100</v>
      </c>
      <c r="AR95" s="93">
        <v>379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s="6" customFormat="1" ht="16.5">
      <c r="A96" s="93">
        <v>380</v>
      </c>
      <c r="B96" s="93" t="s">
        <v>113</v>
      </c>
      <c r="C96" s="94">
        <v>79.08</v>
      </c>
      <c r="D96" s="94">
        <v>0</v>
      </c>
      <c r="E96" s="94">
        <v>0</v>
      </c>
      <c r="F96" s="94">
        <v>0</v>
      </c>
      <c r="G96" s="94">
        <v>0</v>
      </c>
      <c r="H96" s="94">
        <v>20.919999999999998</v>
      </c>
      <c r="I96" s="94">
        <v>0</v>
      </c>
      <c r="J96" s="94">
        <v>0</v>
      </c>
      <c r="K96" s="94">
        <v>0</v>
      </c>
      <c r="L96" s="94">
        <v>0</v>
      </c>
      <c r="M96" s="74" t="str">
        <f t="array" ref="M96">_xlfn.TEXTJOIN("-", TRUE, IF(C96:L96&gt;0, $C$2:$L$2, ""))</f>
        <v xml:space="preserve"> Ti-Ta</v>
      </c>
      <c r="N96" s="90">
        <f t="shared" si="2"/>
        <v>88</v>
      </c>
      <c r="O96" s="91">
        <f t="shared" si="3"/>
        <v>2</v>
      </c>
      <c r="P96" s="94">
        <v>1</v>
      </c>
      <c r="Q96" s="94">
        <v>1</v>
      </c>
      <c r="R96" s="93" t="s">
        <v>113</v>
      </c>
      <c r="S96" s="93" t="s">
        <v>113</v>
      </c>
      <c r="T96" s="93" t="s">
        <v>113</v>
      </c>
      <c r="U96" s="93" t="s">
        <v>113</v>
      </c>
      <c r="V96" s="93">
        <v>1</v>
      </c>
      <c r="W96" s="93" t="s">
        <v>113</v>
      </c>
      <c r="X96" s="93" t="s">
        <v>113</v>
      </c>
      <c r="Y96" s="93" t="s">
        <v>113</v>
      </c>
      <c r="Z96" s="94">
        <v>88</v>
      </c>
      <c r="AA96" s="93" t="s">
        <v>113</v>
      </c>
      <c r="AB96" s="93" t="s">
        <v>113</v>
      </c>
      <c r="AC96" s="94">
        <v>379</v>
      </c>
      <c r="AD96" s="93" t="s">
        <v>113</v>
      </c>
      <c r="AE96" s="93" t="s">
        <v>113</v>
      </c>
      <c r="AF96" s="93" t="s">
        <v>113</v>
      </c>
      <c r="AG96" s="93" t="s">
        <v>113</v>
      </c>
      <c r="AH96" s="93" t="s">
        <v>113</v>
      </c>
      <c r="AI96" s="93" t="s">
        <v>113</v>
      </c>
      <c r="AJ96" s="93" t="s">
        <v>113</v>
      </c>
      <c r="AK96" s="93" t="s">
        <v>113</v>
      </c>
      <c r="AL96" s="93" t="s">
        <v>113</v>
      </c>
      <c r="AM96" s="93"/>
      <c r="AN96" s="93" t="s">
        <v>113</v>
      </c>
      <c r="AO96" s="93" t="s">
        <v>114</v>
      </c>
      <c r="AP96" s="94">
        <v>380</v>
      </c>
      <c r="AQ96" s="94" t="s">
        <v>100</v>
      </c>
      <c r="AR96" s="93">
        <v>380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s="6" customFormat="1" ht="16.5">
      <c r="A97" s="93">
        <v>381</v>
      </c>
      <c r="B97" s="93" t="s">
        <v>113</v>
      </c>
      <c r="C97" s="94">
        <v>61.83</v>
      </c>
      <c r="D97" s="94">
        <v>0</v>
      </c>
      <c r="E97" s="94">
        <v>0</v>
      </c>
      <c r="F97" s="94">
        <v>0</v>
      </c>
      <c r="G97" s="94">
        <v>0</v>
      </c>
      <c r="H97" s="94">
        <v>38.17</v>
      </c>
      <c r="I97" s="94">
        <v>0</v>
      </c>
      <c r="J97" s="94">
        <v>0</v>
      </c>
      <c r="K97" s="94">
        <v>0</v>
      </c>
      <c r="L97" s="94">
        <v>0</v>
      </c>
      <c r="M97" s="74" t="str">
        <f t="array" ref="M97">_xlfn.TEXTJOIN("-", TRUE, IF(C97:L97&gt;0, $C$2:$L$2, ""))</f>
        <v xml:space="preserve"> Ti-Ta</v>
      </c>
      <c r="N97" s="90">
        <f t="shared" si="2"/>
        <v>88</v>
      </c>
      <c r="O97" s="91">
        <f t="shared" si="3"/>
        <v>2</v>
      </c>
      <c r="P97" s="94">
        <v>1</v>
      </c>
      <c r="Q97" s="94">
        <v>1</v>
      </c>
      <c r="R97" s="93" t="s">
        <v>113</v>
      </c>
      <c r="S97" s="93" t="s">
        <v>113</v>
      </c>
      <c r="T97" s="93" t="s">
        <v>113</v>
      </c>
      <c r="U97" s="93" t="s">
        <v>113</v>
      </c>
      <c r="V97" s="93">
        <v>1</v>
      </c>
      <c r="W97" s="93" t="s">
        <v>113</v>
      </c>
      <c r="X97" s="93" t="s">
        <v>113</v>
      </c>
      <c r="Y97" s="93" t="s">
        <v>113</v>
      </c>
      <c r="Z97" s="94">
        <v>67</v>
      </c>
      <c r="AA97" s="93" t="s">
        <v>113</v>
      </c>
      <c r="AB97" s="93" t="s">
        <v>113</v>
      </c>
      <c r="AC97" s="94">
        <v>373</v>
      </c>
      <c r="AD97" s="93" t="s">
        <v>113</v>
      </c>
      <c r="AE97" s="93" t="s">
        <v>113</v>
      </c>
      <c r="AF97" s="93" t="s">
        <v>113</v>
      </c>
      <c r="AG97" s="93" t="s">
        <v>113</v>
      </c>
      <c r="AH97" s="93" t="s">
        <v>113</v>
      </c>
      <c r="AI97" s="93" t="s">
        <v>113</v>
      </c>
      <c r="AJ97" s="93" t="s">
        <v>113</v>
      </c>
      <c r="AK97" s="93" t="s">
        <v>113</v>
      </c>
      <c r="AL97" s="93" t="s">
        <v>113</v>
      </c>
      <c r="AM97" s="93"/>
      <c r="AN97" s="93" t="s">
        <v>113</v>
      </c>
      <c r="AO97" s="93" t="s">
        <v>114</v>
      </c>
      <c r="AP97" s="94">
        <v>381</v>
      </c>
      <c r="AQ97" s="94" t="s">
        <v>100</v>
      </c>
      <c r="AR97" s="93">
        <v>381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s="6" customFormat="1" ht="16.5">
      <c r="A98" s="7">
        <v>96</v>
      </c>
      <c r="C98" s="8">
        <v>86.02</v>
      </c>
      <c r="D98" s="8">
        <v>0</v>
      </c>
      <c r="E98" s="8">
        <v>0</v>
      </c>
      <c r="F98" s="8">
        <v>13.98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74" t="str">
        <f t="array" ref="M98">_xlfn.TEXTJOIN("-", TRUE, IF(C98:L98&gt;0, $C$2:$L$2, ""))</f>
        <v xml:space="preserve"> Ti-Mo</v>
      </c>
      <c r="N98" s="90">
        <f t="shared" si="2"/>
        <v>98</v>
      </c>
      <c r="O98" s="91">
        <f t="shared" si="3"/>
        <v>2</v>
      </c>
      <c r="P98" s="8">
        <v>1</v>
      </c>
      <c r="Q98" s="8">
        <v>0</v>
      </c>
      <c r="R98" s="8">
        <v>0</v>
      </c>
      <c r="S98" s="8">
        <v>0</v>
      </c>
      <c r="T98" s="8">
        <v>900</v>
      </c>
      <c r="U98" s="8">
        <v>1.67E-2</v>
      </c>
      <c r="V98" s="8">
        <v>1</v>
      </c>
      <c r="W98" s="8">
        <v>0</v>
      </c>
      <c r="X98" s="8">
        <v>0</v>
      </c>
      <c r="Y98" s="8">
        <v>0</v>
      </c>
      <c r="AB98" s="8">
        <v>1153</v>
      </c>
      <c r="AD98" s="8">
        <v>8.18</v>
      </c>
      <c r="AN98" s="6" t="s">
        <v>127</v>
      </c>
      <c r="AO98" s="6" t="s">
        <v>128</v>
      </c>
      <c r="AP98" s="6">
        <v>14</v>
      </c>
      <c r="AQ98" s="7" t="s">
        <v>54</v>
      </c>
      <c r="AR98" s="7">
        <v>96</v>
      </c>
    </row>
    <row r="99" spans="1:61" s="6" customFormat="1" ht="16.5">
      <c r="A99" s="7">
        <v>97</v>
      </c>
      <c r="C99" s="8">
        <v>86.02</v>
      </c>
      <c r="D99" s="8">
        <v>0</v>
      </c>
      <c r="E99" s="8">
        <v>0</v>
      </c>
      <c r="F99" s="8">
        <v>13.98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74" t="str">
        <f t="array" ref="M99">_xlfn.TEXTJOIN("-", TRUE, IF(C99:L99&gt;0, $C$2:$L$2, ""))</f>
        <v xml:space="preserve"> Ti-Mo</v>
      </c>
      <c r="N99" s="90">
        <f t="shared" si="2"/>
        <v>98</v>
      </c>
      <c r="O99" s="91">
        <f t="shared" si="3"/>
        <v>2</v>
      </c>
      <c r="P99" s="8">
        <v>1</v>
      </c>
      <c r="Q99" s="8">
        <v>0</v>
      </c>
      <c r="R99" s="8">
        <v>0</v>
      </c>
      <c r="S99" s="8">
        <v>0</v>
      </c>
      <c r="T99" s="8">
        <v>900</v>
      </c>
      <c r="U99" s="8">
        <v>0.05</v>
      </c>
      <c r="V99" s="8">
        <v>1</v>
      </c>
      <c r="W99" s="8">
        <v>0</v>
      </c>
      <c r="X99" s="8">
        <v>0</v>
      </c>
      <c r="Y99" s="8">
        <v>0</v>
      </c>
      <c r="AB99" s="8">
        <v>938</v>
      </c>
      <c r="AD99" s="8">
        <v>27.2</v>
      </c>
      <c r="AN99" s="6" t="s">
        <v>127</v>
      </c>
      <c r="AO99" s="6" t="s">
        <v>128</v>
      </c>
      <c r="AP99" s="6">
        <v>14</v>
      </c>
      <c r="AQ99" s="7" t="s">
        <v>54</v>
      </c>
      <c r="AR99" s="7">
        <v>97</v>
      </c>
    </row>
    <row r="100" spans="1:61" s="6" customFormat="1" ht="16.5">
      <c r="A100" s="7">
        <v>98</v>
      </c>
      <c r="C100" s="8">
        <v>86.02</v>
      </c>
      <c r="D100" s="8">
        <v>0</v>
      </c>
      <c r="E100" s="8">
        <v>0</v>
      </c>
      <c r="F100" s="8">
        <v>13.98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74" t="str">
        <f t="array" ref="M100">_xlfn.TEXTJOIN("-", TRUE, IF(C100:L100&gt;0, $C$2:$L$2, ""))</f>
        <v xml:space="preserve"> Ti-Mo</v>
      </c>
      <c r="N100" s="90">
        <f t="shared" si="2"/>
        <v>98</v>
      </c>
      <c r="O100" s="91">
        <f t="shared" si="3"/>
        <v>2</v>
      </c>
      <c r="P100" s="8">
        <v>1</v>
      </c>
      <c r="Q100" s="8">
        <v>0</v>
      </c>
      <c r="R100" s="8">
        <v>0</v>
      </c>
      <c r="S100" s="8">
        <v>0</v>
      </c>
      <c r="T100" s="8">
        <v>900</v>
      </c>
      <c r="U100" s="8">
        <v>8.3000000000000004E-2</v>
      </c>
      <c r="V100" s="8">
        <v>1</v>
      </c>
      <c r="W100" s="8">
        <v>0</v>
      </c>
      <c r="X100" s="8">
        <v>0</v>
      </c>
      <c r="Y100" s="8">
        <v>0</v>
      </c>
      <c r="AB100" s="8">
        <v>924</v>
      </c>
      <c r="AD100" s="8">
        <v>28.2</v>
      </c>
      <c r="AN100" s="6" t="s">
        <v>127</v>
      </c>
      <c r="AO100" s="6" t="s">
        <v>128</v>
      </c>
      <c r="AP100" s="6">
        <v>14</v>
      </c>
      <c r="AQ100" s="7" t="s">
        <v>54</v>
      </c>
      <c r="AR100" s="7">
        <v>98</v>
      </c>
    </row>
    <row r="101" spans="1:61" s="6" customFormat="1" ht="16.5">
      <c r="A101" s="7">
        <v>99</v>
      </c>
      <c r="C101" s="8">
        <v>86.02</v>
      </c>
      <c r="D101" s="8">
        <v>0</v>
      </c>
      <c r="E101" s="8">
        <v>0</v>
      </c>
      <c r="F101" s="8">
        <v>13.98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74" t="str">
        <f t="array" ref="M101">_xlfn.TEXTJOIN("-", TRUE, IF(C101:L101&gt;0, $C$2:$L$2, ""))</f>
        <v xml:space="preserve"> Ti-Mo</v>
      </c>
      <c r="N101" s="90">
        <f t="shared" si="2"/>
        <v>98</v>
      </c>
      <c r="O101" s="91">
        <f t="shared" si="3"/>
        <v>2</v>
      </c>
      <c r="P101" s="8">
        <v>1</v>
      </c>
      <c r="Q101" s="8">
        <v>0</v>
      </c>
      <c r="R101" s="8">
        <v>0</v>
      </c>
      <c r="S101" s="8">
        <v>0</v>
      </c>
      <c r="T101" s="8">
        <v>900</v>
      </c>
      <c r="U101" s="8">
        <v>0.16700000000000001</v>
      </c>
      <c r="V101" s="8">
        <v>1</v>
      </c>
      <c r="W101" s="8">
        <v>0</v>
      </c>
      <c r="X101" s="8">
        <v>0</v>
      </c>
      <c r="Y101" s="8">
        <v>0</v>
      </c>
      <c r="AB101" s="8">
        <v>921</v>
      </c>
      <c r="AD101" s="8">
        <v>21.78</v>
      </c>
      <c r="AN101" s="6" t="s">
        <v>127</v>
      </c>
      <c r="AO101" s="6" t="s">
        <v>128</v>
      </c>
      <c r="AP101" s="6">
        <v>14</v>
      </c>
      <c r="AQ101" s="7" t="s">
        <v>54</v>
      </c>
      <c r="AR101" s="7">
        <v>99</v>
      </c>
    </row>
    <row r="102" spans="1:61" s="6" customFormat="1" ht="16.5">
      <c r="A102" s="7">
        <v>100</v>
      </c>
      <c r="C102" s="8">
        <v>86.02</v>
      </c>
      <c r="D102" s="8">
        <v>0</v>
      </c>
      <c r="E102" s="8">
        <v>0</v>
      </c>
      <c r="F102" s="8">
        <v>13.98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74" t="str">
        <f t="array" ref="M102">_xlfn.TEXTJOIN("-", TRUE, IF(C102:L102&gt;0, $C$2:$L$2, ""))</f>
        <v xml:space="preserve"> Ti-Mo</v>
      </c>
      <c r="N102" s="90">
        <f t="shared" si="2"/>
        <v>98</v>
      </c>
      <c r="O102" s="91">
        <f t="shared" si="3"/>
        <v>2</v>
      </c>
      <c r="P102" s="8">
        <v>1</v>
      </c>
      <c r="Q102" s="8">
        <v>0</v>
      </c>
      <c r="R102" s="8">
        <v>0</v>
      </c>
      <c r="S102" s="8">
        <v>0</v>
      </c>
      <c r="T102" s="8">
        <v>900</v>
      </c>
      <c r="U102" s="8">
        <v>0.5</v>
      </c>
      <c r="V102" s="8">
        <v>1</v>
      </c>
      <c r="W102" s="8">
        <v>0</v>
      </c>
      <c r="X102" s="8">
        <v>0</v>
      </c>
      <c r="Y102" s="8">
        <v>0</v>
      </c>
      <c r="AB102" s="8">
        <v>940</v>
      </c>
      <c r="AD102" s="8">
        <v>17.399999999999999</v>
      </c>
      <c r="AN102" s="6" t="s">
        <v>127</v>
      </c>
      <c r="AO102" s="6" t="s">
        <v>128</v>
      </c>
      <c r="AP102" s="6">
        <v>14</v>
      </c>
      <c r="AQ102" s="7" t="s">
        <v>54</v>
      </c>
      <c r="AR102" s="7">
        <v>100</v>
      </c>
    </row>
    <row r="103" spans="1:61" s="6" customFormat="1" ht="16.5">
      <c r="A103" s="7">
        <v>156</v>
      </c>
      <c r="C103" s="8">
        <v>85</v>
      </c>
      <c r="D103" s="8">
        <v>0</v>
      </c>
      <c r="E103" s="8">
        <v>0</v>
      </c>
      <c r="F103" s="8">
        <v>15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74" t="str">
        <f t="array" ref="M103">_xlfn.TEXTJOIN("-", TRUE, IF(C103:L103&gt;0, $C$2:$L$2, ""))</f>
        <v xml:space="preserve"> Ti-Mo</v>
      </c>
      <c r="N103" s="90">
        <f t="shared" si="2"/>
        <v>98</v>
      </c>
      <c r="O103" s="91">
        <f t="shared" si="3"/>
        <v>2</v>
      </c>
      <c r="P103" s="8">
        <v>1</v>
      </c>
      <c r="Q103" s="8">
        <v>1</v>
      </c>
      <c r="R103" s="8">
        <v>1000</v>
      </c>
      <c r="S103" s="8">
        <v>70</v>
      </c>
      <c r="T103" s="8">
        <v>850</v>
      </c>
      <c r="U103" s="8">
        <v>1</v>
      </c>
      <c r="V103" s="8">
        <v>1</v>
      </c>
      <c r="W103" s="8">
        <v>0</v>
      </c>
      <c r="X103" s="8">
        <v>0</v>
      </c>
      <c r="Y103" s="8">
        <v>0</v>
      </c>
      <c r="AB103" s="8">
        <v>669</v>
      </c>
      <c r="AC103" s="8"/>
      <c r="AD103" s="8">
        <v>45.52</v>
      </c>
      <c r="AN103" s="6" t="s">
        <v>129</v>
      </c>
      <c r="AO103" s="6" t="s">
        <v>130</v>
      </c>
      <c r="AP103" s="6">
        <v>27</v>
      </c>
      <c r="AQ103" s="7" t="s">
        <v>54</v>
      </c>
      <c r="AR103" s="7">
        <v>156</v>
      </c>
    </row>
    <row r="104" spans="1:61" s="6" customFormat="1" ht="16.5">
      <c r="A104" s="7">
        <v>157</v>
      </c>
      <c r="C104" s="8">
        <v>84</v>
      </c>
      <c r="D104" s="8">
        <v>0</v>
      </c>
      <c r="E104" s="8">
        <v>0</v>
      </c>
      <c r="F104" s="8">
        <v>16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74" t="str">
        <f t="array" ref="M104">_xlfn.TEXTJOIN("-", TRUE, IF(C104:L104&gt;0, $C$2:$L$2, ""))</f>
        <v xml:space="preserve"> Ti-Mo</v>
      </c>
      <c r="N104" s="90">
        <f t="shared" si="2"/>
        <v>98</v>
      </c>
      <c r="O104" s="91">
        <f t="shared" si="3"/>
        <v>2</v>
      </c>
      <c r="P104" s="8">
        <v>1</v>
      </c>
      <c r="Q104" s="8">
        <v>1</v>
      </c>
      <c r="R104" s="8">
        <v>1000</v>
      </c>
      <c r="S104" s="8">
        <v>70</v>
      </c>
      <c r="T104" s="8">
        <v>850</v>
      </c>
      <c r="U104" s="8">
        <v>1</v>
      </c>
      <c r="V104" s="8">
        <v>1</v>
      </c>
      <c r="W104" s="8">
        <v>0</v>
      </c>
      <c r="X104" s="8">
        <v>0</v>
      </c>
      <c r="Y104" s="8">
        <v>0</v>
      </c>
      <c r="AB104" s="8">
        <v>687</v>
      </c>
      <c r="AC104" s="8"/>
      <c r="AD104" s="8">
        <v>38.42</v>
      </c>
      <c r="AN104" s="6" t="s">
        <v>129</v>
      </c>
      <c r="AO104" s="6" t="s">
        <v>130</v>
      </c>
      <c r="AP104" s="6">
        <v>27</v>
      </c>
      <c r="AQ104" s="7" t="s">
        <v>54</v>
      </c>
      <c r="AR104" s="7">
        <v>157</v>
      </c>
    </row>
    <row r="105" spans="1:61" s="6" customFormat="1" ht="16.5">
      <c r="A105" s="7">
        <v>158</v>
      </c>
      <c r="C105" s="8">
        <v>83</v>
      </c>
      <c r="D105" s="8">
        <v>0</v>
      </c>
      <c r="E105" s="8">
        <v>0</v>
      </c>
      <c r="F105" s="8">
        <v>17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74" t="str">
        <f t="array" ref="M105">_xlfn.TEXTJOIN("-", TRUE, IF(C105:L105&gt;0, $C$2:$L$2, ""))</f>
        <v xml:space="preserve"> Ti-Mo</v>
      </c>
      <c r="N105" s="90">
        <f t="shared" si="2"/>
        <v>98</v>
      </c>
      <c r="O105" s="91">
        <f t="shared" si="3"/>
        <v>2</v>
      </c>
      <c r="P105" s="8">
        <v>1</v>
      </c>
      <c r="Q105" s="8">
        <v>1</v>
      </c>
      <c r="R105" s="8">
        <v>1000</v>
      </c>
      <c r="S105" s="8">
        <v>70</v>
      </c>
      <c r="T105" s="8">
        <v>850</v>
      </c>
      <c r="U105" s="8">
        <v>1</v>
      </c>
      <c r="V105" s="8">
        <v>1</v>
      </c>
      <c r="W105" s="8">
        <v>0</v>
      </c>
      <c r="X105" s="8">
        <v>0</v>
      </c>
      <c r="Y105" s="8">
        <v>0</v>
      </c>
      <c r="AB105" s="8">
        <v>722</v>
      </c>
      <c r="AC105" s="8"/>
      <c r="AD105" s="8">
        <v>23.86</v>
      </c>
      <c r="AN105" s="6" t="s">
        <v>129</v>
      </c>
      <c r="AO105" s="6" t="s">
        <v>130</v>
      </c>
      <c r="AP105" s="6">
        <v>27</v>
      </c>
      <c r="AQ105" s="7" t="s">
        <v>54</v>
      </c>
      <c r="AR105" s="7">
        <v>158</v>
      </c>
    </row>
    <row r="106" spans="1:61" s="6" customFormat="1" ht="16.5">
      <c r="A106" s="7">
        <v>159</v>
      </c>
      <c r="C106" s="8">
        <v>82</v>
      </c>
      <c r="D106" s="8">
        <v>0</v>
      </c>
      <c r="E106" s="8">
        <v>0</v>
      </c>
      <c r="F106" s="8">
        <v>18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74" t="str">
        <f t="array" ref="M106">_xlfn.TEXTJOIN("-", TRUE, IF(C106:L106&gt;0, $C$2:$L$2, ""))</f>
        <v xml:space="preserve"> Ti-Mo</v>
      </c>
      <c r="N106" s="90">
        <f t="shared" si="2"/>
        <v>98</v>
      </c>
      <c r="O106" s="91">
        <f t="shared" si="3"/>
        <v>2</v>
      </c>
      <c r="P106" s="8">
        <v>1</v>
      </c>
      <c r="Q106" s="8">
        <v>1</v>
      </c>
      <c r="R106" s="8">
        <v>1000</v>
      </c>
      <c r="S106" s="8">
        <v>70</v>
      </c>
      <c r="T106" s="8">
        <v>850</v>
      </c>
      <c r="U106" s="8">
        <v>1</v>
      </c>
      <c r="V106" s="8">
        <v>1</v>
      </c>
      <c r="W106" s="8">
        <v>0</v>
      </c>
      <c r="X106" s="8">
        <v>0</v>
      </c>
      <c r="Y106" s="8">
        <v>0</v>
      </c>
      <c r="AB106" s="8">
        <v>778</v>
      </c>
      <c r="AC106" s="8"/>
      <c r="AD106" s="8">
        <v>15.5</v>
      </c>
      <c r="AN106" s="6" t="s">
        <v>129</v>
      </c>
      <c r="AO106" s="6" t="s">
        <v>130</v>
      </c>
      <c r="AP106" s="6">
        <v>27</v>
      </c>
      <c r="AQ106" s="7" t="s">
        <v>54</v>
      </c>
      <c r="AR106" s="7">
        <v>159</v>
      </c>
    </row>
    <row r="107" spans="1:61" s="6" customFormat="1" ht="16.5">
      <c r="A107" s="12">
        <v>14</v>
      </c>
      <c r="B107" s="12"/>
      <c r="C107" s="12">
        <v>92.5</v>
      </c>
      <c r="D107" s="12">
        <v>0</v>
      </c>
      <c r="E107" s="12">
        <v>0</v>
      </c>
      <c r="F107" s="12">
        <v>7.5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74" t="str">
        <f t="array" ref="M107">_xlfn.TEXTJOIN("-", TRUE, IF(C107:L107&gt;0, $C$2:$L$2, ""))</f>
        <v xml:space="preserve"> Ti-Mo</v>
      </c>
      <c r="N107" s="90">
        <f t="shared" si="2"/>
        <v>98</v>
      </c>
      <c r="O107" s="91">
        <f t="shared" si="3"/>
        <v>2</v>
      </c>
      <c r="P107" s="12">
        <v>1</v>
      </c>
      <c r="Q107" s="12">
        <v>1</v>
      </c>
      <c r="R107" s="12"/>
      <c r="S107" s="12"/>
      <c r="T107" s="12"/>
      <c r="U107" s="12"/>
      <c r="V107" s="12"/>
      <c r="W107" s="12"/>
      <c r="X107" s="12"/>
      <c r="Y107" s="12"/>
      <c r="Z107" s="12">
        <v>70</v>
      </c>
      <c r="AA107" s="12"/>
      <c r="AB107" s="12">
        <v>1019</v>
      </c>
      <c r="AC107" s="12">
        <v>737</v>
      </c>
      <c r="AD107" s="12">
        <v>16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 t="s">
        <v>383</v>
      </c>
      <c r="AO107" s="12" t="s">
        <v>384</v>
      </c>
      <c r="AP107" s="12">
        <v>4</v>
      </c>
      <c r="AQ107" s="12" t="s">
        <v>374</v>
      </c>
      <c r="AR107" s="12">
        <v>14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s="6" customFormat="1" ht="16.5">
      <c r="A108" s="12">
        <v>15</v>
      </c>
      <c r="B108" s="12"/>
      <c r="C108" s="12">
        <v>85</v>
      </c>
      <c r="D108" s="12">
        <v>0</v>
      </c>
      <c r="E108" s="12">
        <v>0</v>
      </c>
      <c r="F108" s="12">
        <v>15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74" t="str">
        <f t="array" ref="M108">_xlfn.TEXTJOIN("-", TRUE, IF(C108:L108&gt;0, $C$2:$L$2, ""))</f>
        <v xml:space="preserve"> Ti-Mo</v>
      </c>
      <c r="N108" s="90">
        <f t="shared" si="2"/>
        <v>98</v>
      </c>
      <c r="O108" s="91">
        <f t="shared" si="3"/>
        <v>2</v>
      </c>
      <c r="P108" s="12">
        <v>1</v>
      </c>
      <c r="Q108" s="12">
        <v>1</v>
      </c>
      <c r="R108" s="12"/>
      <c r="S108" s="12"/>
      <c r="T108" s="12"/>
      <c r="U108" s="12"/>
      <c r="V108" s="12"/>
      <c r="W108" s="12"/>
      <c r="X108" s="12"/>
      <c r="Y108" s="12"/>
      <c r="Z108" s="12">
        <v>84</v>
      </c>
      <c r="AA108" s="12"/>
      <c r="AB108" s="12">
        <v>921</v>
      </c>
      <c r="AC108" s="12">
        <v>745</v>
      </c>
      <c r="AD108" s="12">
        <v>25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 t="s">
        <v>385</v>
      </c>
      <c r="AO108" s="12" t="s">
        <v>386</v>
      </c>
      <c r="AP108" s="12">
        <v>4</v>
      </c>
      <c r="AQ108" s="12" t="s">
        <v>374</v>
      </c>
      <c r="AR108" s="12">
        <v>15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s="6" customFormat="1" ht="16.5">
      <c r="A109" s="12">
        <v>37</v>
      </c>
      <c r="B109" s="12"/>
      <c r="C109" s="12">
        <v>92</v>
      </c>
      <c r="D109" s="12">
        <v>0</v>
      </c>
      <c r="E109" s="12">
        <v>0</v>
      </c>
      <c r="F109" s="12">
        <v>8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74" t="str">
        <f t="array" ref="M109">_xlfn.TEXTJOIN("-", TRUE, IF(C109:L109&gt;0, $C$2:$L$2, ""))</f>
        <v xml:space="preserve"> Ti-Mo</v>
      </c>
      <c r="N109" s="90">
        <f t="shared" si="2"/>
        <v>98</v>
      </c>
      <c r="O109" s="91">
        <f t="shared" si="3"/>
        <v>2</v>
      </c>
      <c r="P109" s="12">
        <v>1</v>
      </c>
      <c r="Q109" s="12">
        <v>1</v>
      </c>
      <c r="R109" s="12">
        <v>20</v>
      </c>
      <c r="S109" s="12">
        <v>94</v>
      </c>
      <c r="T109" s="12">
        <v>900</v>
      </c>
      <c r="U109" s="12">
        <v>0.5</v>
      </c>
      <c r="V109" s="12">
        <v>1</v>
      </c>
      <c r="W109" s="12"/>
      <c r="X109" s="12"/>
      <c r="Y109" s="12"/>
      <c r="Z109" s="12">
        <v>58.6</v>
      </c>
      <c r="AA109" s="12"/>
      <c r="AB109" s="12">
        <v>743</v>
      </c>
      <c r="AC109" s="12">
        <v>322</v>
      </c>
      <c r="AD109" s="12">
        <v>31.71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 t="s">
        <v>387</v>
      </c>
      <c r="AO109" s="12" t="s">
        <v>388</v>
      </c>
      <c r="AP109" s="12">
        <v>6</v>
      </c>
      <c r="AQ109" s="12" t="s">
        <v>374</v>
      </c>
      <c r="AR109" s="12">
        <v>37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s="6" customFormat="1" ht="16.5">
      <c r="A110" s="12">
        <v>68</v>
      </c>
      <c r="B110" s="12"/>
      <c r="C110" s="12">
        <v>89.8</v>
      </c>
      <c r="D110" s="12">
        <v>0</v>
      </c>
      <c r="E110" s="12">
        <v>0</v>
      </c>
      <c r="F110" s="12">
        <v>10.199999999999999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74" t="str">
        <f t="array" ref="M110">_xlfn.TEXTJOIN("-", TRUE, IF(C110:L110&gt;0, $C$2:$L$2, ""))</f>
        <v xml:space="preserve"> Ti-Mo</v>
      </c>
      <c r="N110" s="90">
        <f t="shared" si="2"/>
        <v>98</v>
      </c>
      <c r="O110" s="91">
        <f t="shared" si="3"/>
        <v>2</v>
      </c>
      <c r="P110" s="12">
        <v>1</v>
      </c>
      <c r="Q110" s="12">
        <v>1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>
        <v>113</v>
      </c>
      <c r="AB110" s="12">
        <v>662.99</v>
      </c>
      <c r="AC110" s="12">
        <v>741.07</v>
      </c>
      <c r="AD110" s="12">
        <v>0.71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 t="s">
        <v>389</v>
      </c>
      <c r="AO110" s="12" t="s">
        <v>390</v>
      </c>
      <c r="AP110" s="12">
        <v>14</v>
      </c>
      <c r="AQ110" s="12" t="s">
        <v>374</v>
      </c>
      <c r="AR110" s="12">
        <v>68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s="6" customFormat="1" ht="16.5">
      <c r="A111" s="12">
        <v>69</v>
      </c>
      <c r="B111" s="12"/>
      <c r="C111" s="12">
        <v>89.17</v>
      </c>
      <c r="D111" s="12">
        <v>0</v>
      </c>
      <c r="E111" s="12">
        <v>0</v>
      </c>
      <c r="F111" s="12">
        <v>10.83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74" t="str">
        <f t="array" ref="M111">_xlfn.TEXTJOIN("-", TRUE, IF(C111:L111&gt;0, $C$2:$L$2, ""))</f>
        <v xml:space="preserve"> Ti-Mo</v>
      </c>
      <c r="N111" s="90">
        <f t="shared" si="2"/>
        <v>98</v>
      </c>
      <c r="O111" s="91">
        <f t="shared" si="3"/>
        <v>2</v>
      </c>
      <c r="P111" s="12">
        <v>1</v>
      </c>
      <c r="Q111" s="12">
        <v>1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>
        <v>105.17</v>
      </c>
      <c r="AB111" s="12">
        <v>885.45</v>
      </c>
      <c r="AC111" s="12"/>
      <c r="AD111" s="12">
        <v>0.35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 t="s">
        <v>391</v>
      </c>
      <c r="AO111" s="12" t="s">
        <v>390</v>
      </c>
      <c r="AP111" s="12">
        <v>14</v>
      </c>
      <c r="AQ111" s="12" t="s">
        <v>374</v>
      </c>
      <c r="AR111" s="12">
        <v>69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s="6" customFormat="1" ht="16.5">
      <c r="A112" s="12">
        <v>70</v>
      </c>
      <c r="B112" s="12"/>
      <c r="C112" s="12">
        <v>87.11</v>
      </c>
      <c r="D112" s="12">
        <v>0</v>
      </c>
      <c r="E112" s="12">
        <v>0</v>
      </c>
      <c r="F112" s="12">
        <v>12.89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74" t="str">
        <f t="array" ref="M112">_xlfn.TEXTJOIN("-", TRUE, IF(C112:L112&gt;0, $C$2:$L$2, ""))</f>
        <v xml:space="preserve"> Ti-Mo</v>
      </c>
      <c r="N112" s="90">
        <f t="shared" si="2"/>
        <v>98</v>
      </c>
      <c r="O112" s="91">
        <f t="shared" si="3"/>
        <v>2</v>
      </c>
      <c r="P112" s="12">
        <v>1</v>
      </c>
      <c r="Q112" s="12">
        <v>1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>
        <v>104.47</v>
      </c>
      <c r="AB112" s="12">
        <v>643.1</v>
      </c>
      <c r="AC112" s="12"/>
      <c r="AD112" s="12">
        <v>0.09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 t="s">
        <v>392</v>
      </c>
      <c r="AO112" s="12" t="s">
        <v>390</v>
      </c>
      <c r="AP112" s="12">
        <v>14</v>
      </c>
      <c r="AQ112" s="12" t="s">
        <v>374</v>
      </c>
      <c r="AR112" s="12">
        <v>70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s="6" customFormat="1" ht="16.5">
      <c r="A113" s="12">
        <v>71</v>
      </c>
      <c r="B113" s="12"/>
      <c r="C113" s="12">
        <v>84.95</v>
      </c>
      <c r="D113" s="12">
        <v>0</v>
      </c>
      <c r="E113" s="12">
        <v>0</v>
      </c>
      <c r="F113" s="12">
        <v>15.05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74" t="str">
        <f t="array" ref="M113">_xlfn.TEXTJOIN("-", TRUE, IF(C113:L113&gt;0, $C$2:$L$2, ""))</f>
        <v xml:space="preserve"> Ti-Mo</v>
      </c>
      <c r="N113" s="90">
        <f t="shared" si="2"/>
        <v>98</v>
      </c>
      <c r="O113" s="91">
        <f t="shared" si="3"/>
        <v>2</v>
      </c>
      <c r="P113" s="12">
        <v>1</v>
      </c>
      <c r="Q113" s="12">
        <v>1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>
        <v>70.48</v>
      </c>
      <c r="AB113" s="12">
        <v>593.48</v>
      </c>
      <c r="AC113" s="12">
        <v>542.47</v>
      </c>
      <c r="AD113" s="12">
        <v>0.14000000000000001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 t="s">
        <v>393</v>
      </c>
      <c r="AO113" s="12" t="s">
        <v>390</v>
      </c>
      <c r="AP113" s="12">
        <v>14</v>
      </c>
      <c r="AQ113" s="12" t="s">
        <v>374</v>
      </c>
      <c r="AR113" s="12">
        <v>71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s="6" customFormat="1" ht="16.5">
      <c r="A114" s="12">
        <v>78</v>
      </c>
      <c r="B114" s="12"/>
      <c r="C114" s="12">
        <v>85</v>
      </c>
      <c r="D114" s="12">
        <v>0</v>
      </c>
      <c r="E114" s="12">
        <v>0</v>
      </c>
      <c r="F114" s="12">
        <v>15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74" t="str">
        <f t="array" ref="M114">_xlfn.TEXTJOIN("-", TRUE, IF(C114:L114&gt;0, $C$2:$L$2, ""))</f>
        <v xml:space="preserve"> Ti-Mo</v>
      </c>
      <c r="N114" s="90">
        <f t="shared" si="2"/>
        <v>98</v>
      </c>
      <c r="O114" s="91">
        <f t="shared" si="3"/>
        <v>2</v>
      </c>
      <c r="P114" s="12">
        <v>1</v>
      </c>
      <c r="Q114" s="12">
        <v>1</v>
      </c>
      <c r="R114" s="12">
        <v>1000</v>
      </c>
      <c r="S114" s="12">
        <v>70</v>
      </c>
      <c r="T114" s="12">
        <v>850</v>
      </c>
      <c r="U114" s="12">
        <v>1</v>
      </c>
      <c r="V114" s="12">
        <v>1</v>
      </c>
      <c r="W114" s="12"/>
      <c r="X114" s="12"/>
      <c r="Y114" s="12"/>
      <c r="Z114" s="12"/>
      <c r="AA114" s="12"/>
      <c r="AB114" s="12">
        <v>669</v>
      </c>
      <c r="AC114" s="12" t="s">
        <v>394</v>
      </c>
      <c r="AD114" s="12">
        <v>45.57</v>
      </c>
      <c r="AE114" s="12"/>
      <c r="AF114" s="12"/>
      <c r="AG114" s="12"/>
      <c r="AH114" s="12"/>
      <c r="AI114" s="12"/>
      <c r="AJ114" s="12"/>
      <c r="AK114" s="12"/>
      <c r="AL114" s="12"/>
      <c r="AM114" s="12"/>
      <c r="AN114" s="12" t="s">
        <v>395</v>
      </c>
      <c r="AO114" s="12" t="s">
        <v>396</v>
      </c>
      <c r="AP114" s="12">
        <v>17</v>
      </c>
      <c r="AQ114" s="12" t="s">
        <v>374</v>
      </c>
      <c r="AR114" s="12">
        <v>78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s="6" customFormat="1" ht="16.5">
      <c r="A115" s="12">
        <v>79</v>
      </c>
      <c r="B115" s="12"/>
      <c r="C115" s="12">
        <v>84</v>
      </c>
      <c r="D115" s="12">
        <v>0</v>
      </c>
      <c r="E115" s="12">
        <v>0</v>
      </c>
      <c r="F115" s="12">
        <v>16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74" t="str">
        <f t="array" ref="M115">_xlfn.TEXTJOIN("-", TRUE, IF(C115:L115&gt;0, $C$2:$L$2, ""))</f>
        <v xml:space="preserve"> Ti-Mo</v>
      </c>
      <c r="N115" s="90">
        <f t="shared" si="2"/>
        <v>98</v>
      </c>
      <c r="O115" s="91">
        <f t="shared" si="3"/>
        <v>2</v>
      </c>
      <c r="P115" s="12">
        <v>1</v>
      </c>
      <c r="Q115" s="12">
        <v>1</v>
      </c>
      <c r="R115" s="12">
        <v>1000</v>
      </c>
      <c r="S115" s="12">
        <v>70</v>
      </c>
      <c r="T115" s="12">
        <v>850</v>
      </c>
      <c r="U115" s="12">
        <v>1</v>
      </c>
      <c r="V115" s="12">
        <v>1</v>
      </c>
      <c r="W115" s="12"/>
      <c r="X115" s="12"/>
      <c r="Y115" s="12"/>
      <c r="Z115" s="12"/>
      <c r="AA115" s="12"/>
      <c r="AB115" s="12">
        <v>687</v>
      </c>
      <c r="AC115" s="12"/>
      <c r="AD115" s="12">
        <v>38.549999999999997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 t="s">
        <v>397</v>
      </c>
      <c r="AO115" s="12" t="s">
        <v>398</v>
      </c>
      <c r="AP115" s="12">
        <v>17</v>
      </c>
      <c r="AQ115" s="12" t="s">
        <v>374</v>
      </c>
      <c r="AR115" s="12">
        <v>79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s="6" customFormat="1" ht="16.5">
      <c r="A116" s="12">
        <v>80</v>
      </c>
      <c r="B116" s="12"/>
      <c r="C116" s="12">
        <v>83</v>
      </c>
      <c r="D116" s="12">
        <v>0</v>
      </c>
      <c r="E116" s="12">
        <v>0</v>
      </c>
      <c r="F116" s="12">
        <v>17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74" t="str">
        <f t="array" ref="M116">_xlfn.TEXTJOIN("-", TRUE, IF(C116:L116&gt;0, $C$2:$L$2, ""))</f>
        <v xml:space="preserve"> Ti-Mo</v>
      </c>
      <c r="N116" s="90">
        <f t="shared" si="2"/>
        <v>98</v>
      </c>
      <c r="O116" s="91">
        <f t="shared" si="3"/>
        <v>2</v>
      </c>
      <c r="P116" s="12">
        <v>1</v>
      </c>
      <c r="Q116" s="12">
        <v>1</v>
      </c>
      <c r="R116" s="12">
        <v>1000</v>
      </c>
      <c r="S116" s="12">
        <v>70</v>
      </c>
      <c r="T116" s="12">
        <v>850</v>
      </c>
      <c r="U116" s="12">
        <v>1</v>
      </c>
      <c r="V116" s="12">
        <v>1</v>
      </c>
      <c r="W116" s="12"/>
      <c r="X116" s="12"/>
      <c r="Y116" s="12"/>
      <c r="Z116" s="12"/>
      <c r="AA116" s="12"/>
      <c r="AB116" s="12">
        <v>722</v>
      </c>
      <c r="AC116" s="12"/>
      <c r="AD116" s="12">
        <v>23.82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 t="s">
        <v>399</v>
      </c>
      <c r="AO116" s="12" t="s">
        <v>400</v>
      </c>
      <c r="AP116" s="12">
        <v>17</v>
      </c>
      <c r="AQ116" s="12" t="s">
        <v>374</v>
      </c>
      <c r="AR116" s="12">
        <v>80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s="6" customFormat="1" ht="16.5">
      <c r="A117" s="12">
        <v>81</v>
      </c>
      <c r="B117" s="12"/>
      <c r="C117" s="12">
        <v>82</v>
      </c>
      <c r="D117" s="12">
        <v>0</v>
      </c>
      <c r="E117" s="12">
        <v>0</v>
      </c>
      <c r="F117" s="12">
        <v>18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74" t="str">
        <f t="array" ref="M117">_xlfn.TEXTJOIN("-", TRUE, IF(C117:L117&gt;0, $C$2:$L$2, ""))</f>
        <v xml:space="preserve"> Ti-Mo</v>
      </c>
      <c r="N117" s="90">
        <f t="shared" si="2"/>
        <v>98</v>
      </c>
      <c r="O117" s="91">
        <f t="shared" si="3"/>
        <v>2</v>
      </c>
      <c r="P117" s="12">
        <v>1</v>
      </c>
      <c r="Q117" s="12">
        <v>1</v>
      </c>
      <c r="R117" s="12">
        <v>1000</v>
      </c>
      <c r="S117" s="12">
        <v>70</v>
      </c>
      <c r="T117" s="12">
        <v>850</v>
      </c>
      <c r="U117" s="12">
        <v>1</v>
      </c>
      <c r="V117" s="12">
        <v>1</v>
      </c>
      <c r="W117" s="12"/>
      <c r="X117" s="12"/>
      <c r="Y117" s="12"/>
      <c r="Z117" s="12"/>
      <c r="AA117" s="12"/>
      <c r="AB117" s="12">
        <v>778</v>
      </c>
      <c r="AC117" s="12"/>
      <c r="AD117" s="12">
        <v>15.54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 t="s">
        <v>401</v>
      </c>
      <c r="AO117" s="12" t="s">
        <v>402</v>
      </c>
      <c r="AP117" s="12">
        <v>17</v>
      </c>
      <c r="AQ117" s="12" t="s">
        <v>374</v>
      </c>
      <c r="AR117" s="12">
        <v>81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s="6" customFormat="1" ht="16.5">
      <c r="A118" s="10">
        <v>77</v>
      </c>
      <c r="B118" s="10"/>
      <c r="C118" s="10">
        <v>85</v>
      </c>
      <c r="D118" s="10">
        <v>0</v>
      </c>
      <c r="E118" s="10">
        <v>0</v>
      </c>
      <c r="F118" s="10">
        <v>15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74" t="str">
        <f t="array" ref="M118">_xlfn.TEXTJOIN("-", TRUE, IF(C118:L118&gt;0, $C$2:$L$2, ""))</f>
        <v xml:space="preserve"> Ti-Mo</v>
      </c>
      <c r="N118" s="90">
        <f t="shared" si="2"/>
        <v>98</v>
      </c>
      <c r="O118" s="91">
        <f t="shared" si="3"/>
        <v>2</v>
      </c>
      <c r="P118" s="10" t="s">
        <v>81</v>
      </c>
      <c r="Q118" s="10">
        <v>2</v>
      </c>
      <c r="R118" s="10" t="s">
        <v>81</v>
      </c>
      <c r="S118" s="10" t="s">
        <v>81</v>
      </c>
      <c r="T118" s="10">
        <v>900</v>
      </c>
      <c r="U118" s="10">
        <v>1</v>
      </c>
      <c r="V118" s="10" t="s">
        <v>81</v>
      </c>
      <c r="W118" s="10">
        <v>0</v>
      </c>
      <c r="X118" s="10">
        <v>0</v>
      </c>
      <c r="Y118" s="10">
        <v>0</v>
      </c>
      <c r="Z118" s="10"/>
      <c r="AA118" s="10"/>
      <c r="AB118" s="10">
        <v>701</v>
      </c>
      <c r="AC118" s="10">
        <v>440</v>
      </c>
      <c r="AD118" s="10">
        <v>34</v>
      </c>
      <c r="AE118" s="10"/>
      <c r="AF118" s="10"/>
      <c r="AG118" s="10"/>
      <c r="AH118" s="10"/>
      <c r="AI118" s="10"/>
      <c r="AJ118" s="10"/>
      <c r="AK118" s="10"/>
      <c r="AL118" s="10">
        <v>252</v>
      </c>
      <c r="AM118" s="10"/>
      <c r="AN118" s="11"/>
      <c r="AO118" s="11" t="s">
        <v>131</v>
      </c>
      <c r="AP118" s="10">
        <v>16</v>
      </c>
      <c r="AQ118" s="10" t="s">
        <v>83</v>
      </c>
      <c r="AR118" s="10">
        <v>77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s="6" customFormat="1" ht="16.5">
      <c r="A119" s="93">
        <v>351</v>
      </c>
      <c r="B119" s="93" t="s">
        <v>113</v>
      </c>
      <c r="C119" s="94">
        <v>95.35</v>
      </c>
      <c r="D119" s="94">
        <v>0</v>
      </c>
      <c r="E119" s="94">
        <v>0</v>
      </c>
      <c r="F119" s="94">
        <v>4.6500000000000004</v>
      </c>
      <c r="G119" s="94">
        <v>0</v>
      </c>
      <c r="H119" s="94">
        <v>0</v>
      </c>
      <c r="I119" s="94">
        <v>0</v>
      </c>
      <c r="J119" s="94">
        <v>0</v>
      </c>
      <c r="K119" s="94">
        <v>0</v>
      </c>
      <c r="L119" s="94">
        <v>0</v>
      </c>
      <c r="M119" s="74" t="str">
        <f t="array" ref="M119">_xlfn.TEXTJOIN("-", TRUE, IF(C119:L119&gt;0, $C$2:$L$2, ""))</f>
        <v xml:space="preserve"> Ti-Mo</v>
      </c>
      <c r="N119" s="90">
        <f t="shared" si="2"/>
        <v>98</v>
      </c>
      <c r="O119" s="91">
        <f t="shared" si="3"/>
        <v>2</v>
      </c>
      <c r="P119" s="94">
        <v>1</v>
      </c>
      <c r="Q119" s="94">
        <v>1</v>
      </c>
      <c r="R119" s="93" t="s">
        <v>113</v>
      </c>
      <c r="S119" s="93" t="s">
        <v>113</v>
      </c>
      <c r="T119" s="93" t="s">
        <v>113</v>
      </c>
      <c r="U119" s="93" t="s">
        <v>113</v>
      </c>
      <c r="V119" s="93">
        <v>1</v>
      </c>
      <c r="W119" s="93" t="s">
        <v>113</v>
      </c>
      <c r="X119" s="93" t="s">
        <v>113</v>
      </c>
      <c r="Y119" s="93" t="s">
        <v>113</v>
      </c>
      <c r="Z119" s="94">
        <v>91</v>
      </c>
      <c r="AA119" s="93" t="s">
        <v>113</v>
      </c>
      <c r="AB119" s="93" t="s">
        <v>113</v>
      </c>
      <c r="AC119" s="94">
        <v>537</v>
      </c>
      <c r="AD119" s="93" t="s">
        <v>113</v>
      </c>
      <c r="AE119" s="93" t="s">
        <v>113</v>
      </c>
      <c r="AF119" s="93" t="s">
        <v>113</v>
      </c>
      <c r="AG119" s="93" t="s">
        <v>113</v>
      </c>
      <c r="AH119" s="93" t="s">
        <v>113</v>
      </c>
      <c r="AI119" s="93" t="s">
        <v>113</v>
      </c>
      <c r="AJ119" s="93" t="s">
        <v>113</v>
      </c>
      <c r="AK119" s="93" t="s">
        <v>113</v>
      </c>
      <c r="AL119" s="93" t="s">
        <v>113</v>
      </c>
      <c r="AM119" s="93"/>
      <c r="AN119" s="93" t="s">
        <v>113</v>
      </c>
      <c r="AO119" s="93" t="s">
        <v>114</v>
      </c>
      <c r="AP119" s="94">
        <v>351</v>
      </c>
      <c r="AQ119" s="94" t="s">
        <v>100</v>
      </c>
      <c r="AR119" s="93">
        <v>351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s="6" customFormat="1" ht="16.5">
      <c r="A120" s="93">
        <v>394</v>
      </c>
      <c r="B120" s="93" t="s">
        <v>113</v>
      </c>
      <c r="C120" s="94">
        <v>94.61</v>
      </c>
      <c r="D120" s="94">
        <v>0</v>
      </c>
      <c r="E120" s="94">
        <v>0</v>
      </c>
      <c r="F120" s="94">
        <v>5.3900000000000006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74" t="str">
        <f t="array" ref="M120">_xlfn.TEXTJOIN("-", TRUE, IF(C120:L120&gt;0, $C$2:$L$2, ""))</f>
        <v xml:space="preserve"> Ti-Mo</v>
      </c>
      <c r="N120" s="90">
        <f t="shared" si="2"/>
        <v>98</v>
      </c>
      <c r="O120" s="91">
        <f t="shared" si="3"/>
        <v>2</v>
      </c>
      <c r="P120" s="94">
        <v>1</v>
      </c>
      <c r="Q120" s="94">
        <v>1</v>
      </c>
      <c r="R120" s="93" t="s">
        <v>113</v>
      </c>
      <c r="S120" s="93" t="s">
        <v>113</v>
      </c>
      <c r="T120" s="93" t="s">
        <v>113</v>
      </c>
      <c r="U120" s="93" t="s">
        <v>113</v>
      </c>
      <c r="V120" s="93">
        <v>1</v>
      </c>
      <c r="W120" s="93" t="s">
        <v>113</v>
      </c>
      <c r="X120" s="93" t="s">
        <v>113</v>
      </c>
      <c r="Y120" s="93" t="s">
        <v>113</v>
      </c>
      <c r="Z120" s="94">
        <v>93</v>
      </c>
      <c r="AA120" s="93" t="s">
        <v>113</v>
      </c>
      <c r="AB120" s="93" t="s">
        <v>113</v>
      </c>
      <c r="AC120" s="94">
        <v>731</v>
      </c>
      <c r="AD120" s="93" t="s">
        <v>113</v>
      </c>
      <c r="AE120" s="93" t="s">
        <v>113</v>
      </c>
      <c r="AF120" s="93" t="s">
        <v>113</v>
      </c>
      <c r="AG120" s="93" t="s">
        <v>113</v>
      </c>
      <c r="AH120" s="93" t="s">
        <v>113</v>
      </c>
      <c r="AI120" s="93" t="s">
        <v>113</v>
      </c>
      <c r="AJ120" s="93" t="s">
        <v>113</v>
      </c>
      <c r="AK120" s="93" t="s">
        <v>113</v>
      </c>
      <c r="AL120" s="93" t="s">
        <v>113</v>
      </c>
      <c r="AM120" s="93"/>
      <c r="AN120" s="93" t="s">
        <v>113</v>
      </c>
      <c r="AO120" s="93" t="s">
        <v>114</v>
      </c>
      <c r="AP120" s="94">
        <v>394</v>
      </c>
      <c r="AQ120" s="94" t="s">
        <v>100</v>
      </c>
      <c r="AR120" s="93">
        <v>394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s="6" customFormat="1" ht="16.5">
      <c r="A121" s="93">
        <v>395</v>
      </c>
      <c r="B121" s="93" t="s">
        <v>113</v>
      </c>
      <c r="C121" s="94">
        <v>89.24</v>
      </c>
      <c r="D121" s="94">
        <v>0</v>
      </c>
      <c r="E121" s="94">
        <v>0</v>
      </c>
      <c r="F121" s="94">
        <v>10.76</v>
      </c>
      <c r="G121" s="94">
        <v>0</v>
      </c>
      <c r="H121" s="94">
        <v>0</v>
      </c>
      <c r="I121" s="94">
        <v>0</v>
      </c>
      <c r="J121" s="94">
        <v>0</v>
      </c>
      <c r="K121" s="94">
        <v>0</v>
      </c>
      <c r="L121" s="94">
        <v>0</v>
      </c>
      <c r="M121" s="74" t="str">
        <f t="array" ref="M121">_xlfn.TEXTJOIN("-", TRUE, IF(C121:L121&gt;0, $C$2:$L$2, ""))</f>
        <v xml:space="preserve"> Ti-Mo</v>
      </c>
      <c r="N121" s="90">
        <f t="shared" si="2"/>
        <v>98</v>
      </c>
      <c r="O121" s="91">
        <f t="shared" si="3"/>
        <v>2</v>
      </c>
      <c r="P121" s="94">
        <v>1</v>
      </c>
      <c r="Q121" s="94">
        <v>1</v>
      </c>
      <c r="R121" s="93" t="s">
        <v>113</v>
      </c>
      <c r="S121" s="93" t="s">
        <v>113</v>
      </c>
      <c r="T121" s="93" t="s">
        <v>113</v>
      </c>
      <c r="U121" s="93" t="s">
        <v>113</v>
      </c>
      <c r="V121" s="93">
        <v>1</v>
      </c>
      <c r="W121" s="93" t="s">
        <v>113</v>
      </c>
      <c r="X121" s="93" t="s">
        <v>113</v>
      </c>
      <c r="Y121" s="93" t="s">
        <v>113</v>
      </c>
      <c r="Z121" s="94">
        <v>75</v>
      </c>
      <c r="AA121" s="93" t="s">
        <v>113</v>
      </c>
      <c r="AB121" s="93" t="s">
        <v>113</v>
      </c>
      <c r="AC121" s="94">
        <v>823</v>
      </c>
      <c r="AD121" s="93" t="s">
        <v>113</v>
      </c>
      <c r="AE121" s="93" t="s">
        <v>113</v>
      </c>
      <c r="AF121" s="93" t="s">
        <v>113</v>
      </c>
      <c r="AG121" s="93" t="s">
        <v>113</v>
      </c>
      <c r="AH121" s="93" t="s">
        <v>113</v>
      </c>
      <c r="AI121" s="93" t="s">
        <v>113</v>
      </c>
      <c r="AJ121" s="93" t="s">
        <v>113</v>
      </c>
      <c r="AK121" s="93" t="s">
        <v>113</v>
      </c>
      <c r="AL121" s="93" t="s">
        <v>113</v>
      </c>
      <c r="AM121" s="93"/>
      <c r="AN121" s="93" t="s">
        <v>113</v>
      </c>
      <c r="AO121" s="93" t="s">
        <v>114</v>
      </c>
      <c r="AP121" s="94">
        <v>395</v>
      </c>
      <c r="AQ121" s="94" t="s">
        <v>100</v>
      </c>
      <c r="AR121" s="93">
        <v>395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s="6" customFormat="1" ht="16.5">
      <c r="A122" s="93">
        <v>396</v>
      </c>
      <c r="B122" s="93" t="s">
        <v>113</v>
      </c>
      <c r="C122" s="94">
        <v>94.75</v>
      </c>
      <c r="D122" s="94">
        <v>0</v>
      </c>
      <c r="E122" s="94">
        <v>0</v>
      </c>
      <c r="F122" s="94">
        <v>5.25</v>
      </c>
      <c r="G122" s="94">
        <v>0</v>
      </c>
      <c r="H122" s="94">
        <v>0</v>
      </c>
      <c r="I122" s="94">
        <v>0</v>
      </c>
      <c r="J122" s="94">
        <v>0</v>
      </c>
      <c r="K122" s="94">
        <v>0</v>
      </c>
      <c r="L122" s="94">
        <v>0</v>
      </c>
      <c r="M122" s="74" t="str">
        <f t="array" ref="M122">_xlfn.TEXTJOIN("-", TRUE, IF(C122:L122&gt;0, $C$2:$L$2, ""))</f>
        <v xml:space="preserve"> Ti-Mo</v>
      </c>
      <c r="N122" s="90">
        <f t="shared" si="2"/>
        <v>98</v>
      </c>
      <c r="O122" s="91">
        <f t="shared" si="3"/>
        <v>2</v>
      </c>
      <c r="P122" s="94">
        <v>1</v>
      </c>
      <c r="Q122" s="94">
        <v>1</v>
      </c>
      <c r="R122" s="93" t="s">
        <v>113</v>
      </c>
      <c r="S122" s="93" t="s">
        <v>113</v>
      </c>
      <c r="T122" s="93" t="s">
        <v>113</v>
      </c>
      <c r="U122" s="93" t="s">
        <v>113</v>
      </c>
      <c r="V122" s="93">
        <v>3</v>
      </c>
      <c r="W122" s="93" t="s">
        <v>113</v>
      </c>
      <c r="X122" s="93" t="s">
        <v>113</v>
      </c>
      <c r="Y122" s="93" t="s">
        <v>113</v>
      </c>
      <c r="Z122" s="94">
        <v>77.599999999999994</v>
      </c>
      <c r="AA122" s="93" t="s">
        <v>113</v>
      </c>
      <c r="AB122" s="93" t="s">
        <v>113</v>
      </c>
      <c r="AC122" s="94">
        <v>862</v>
      </c>
      <c r="AD122" s="93" t="s">
        <v>113</v>
      </c>
      <c r="AE122" s="93" t="s">
        <v>113</v>
      </c>
      <c r="AF122" s="93" t="s">
        <v>113</v>
      </c>
      <c r="AG122" s="93" t="s">
        <v>113</v>
      </c>
      <c r="AH122" s="93" t="s">
        <v>113</v>
      </c>
      <c r="AI122" s="93" t="s">
        <v>113</v>
      </c>
      <c r="AJ122" s="93" t="s">
        <v>113</v>
      </c>
      <c r="AK122" s="93" t="s">
        <v>113</v>
      </c>
      <c r="AL122" s="93" t="s">
        <v>113</v>
      </c>
      <c r="AM122" s="93"/>
      <c r="AN122" s="93" t="s">
        <v>113</v>
      </c>
      <c r="AO122" s="93" t="s">
        <v>114</v>
      </c>
      <c r="AP122" s="94">
        <v>396</v>
      </c>
      <c r="AQ122" s="94" t="s">
        <v>100</v>
      </c>
      <c r="AR122" s="93">
        <v>396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</row>
    <row r="123" spans="1:61" s="6" customFormat="1" ht="16.5">
      <c r="A123" s="93">
        <v>481</v>
      </c>
      <c r="B123" s="93" t="s">
        <v>113</v>
      </c>
      <c r="C123" s="94">
        <v>93.63</v>
      </c>
      <c r="D123" s="94">
        <v>0</v>
      </c>
      <c r="E123" s="94">
        <v>0</v>
      </c>
      <c r="F123" s="94">
        <v>6.370000000000001</v>
      </c>
      <c r="G123" s="94">
        <v>0</v>
      </c>
      <c r="H123" s="94">
        <v>0</v>
      </c>
      <c r="I123" s="94">
        <v>0</v>
      </c>
      <c r="J123" s="94">
        <v>0</v>
      </c>
      <c r="K123" s="94">
        <v>0</v>
      </c>
      <c r="L123" s="94">
        <v>0</v>
      </c>
      <c r="M123" s="74" t="str">
        <f t="array" ref="M123">_xlfn.TEXTJOIN("-", TRUE, IF(C123:L123&gt;0, $C$2:$L$2, ""))</f>
        <v xml:space="preserve"> Ti-Mo</v>
      </c>
      <c r="N123" s="90">
        <f t="shared" si="2"/>
        <v>98</v>
      </c>
      <c r="O123" s="91">
        <f t="shared" si="3"/>
        <v>2</v>
      </c>
      <c r="P123" s="94">
        <v>1</v>
      </c>
      <c r="Q123" s="94">
        <v>1</v>
      </c>
      <c r="R123" s="93" t="s">
        <v>113</v>
      </c>
      <c r="S123" s="93" t="s">
        <v>113</v>
      </c>
      <c r="T123" s="93" t="s">
        <v>113</v>
      </c>
      <c r="U123" s="93" t="s">
        <v>113</v>
      </c>
      <c r="V123" s="94">
        <v>1</v>
      </c>
      <c r="W123" s="93" t="s">
        <v>113</v>
      </c>
      <c r="X123" s="93" t="s">
        <v>113</v>
      </c>
      <c r="Y123" s="93" t="s">
        <v>113</v>
      </c>
      <c r="Z123" s="94">
        <v>90</v>
      </c>
      <c r="AA123" s="93" t="s">
        <v>113</v>
      </c>
      <c r="AB123" s="93" t="s">
        <v>113</v>
      </c>
      <c r="AC123" s="94">
        <v>550</v>
      </c>
      <c r="AD123" s="93" t="s">
        <v>113</v>
      </c>
      <c r="AE123" s="93" t="s">
        <v>113</v>
      </c>
      <c r="AF123" s="93" t="s">
        <v>113</v>
      </c>
      <c r="AG123" s="93" t="s">
        <v>113</v>
      </c>
      <c r="AH123" s="93" t="s">
        <v>113</v>
      </c>
      <c r="AI123" s="93" t="s">
        <v>113</v>
      </c>
      <c r="AJ123" s="93" t="s">
        <v>113</v>
      </c>
      <c r="AK123" s="93" t="s">
        <v>113</v>
      </c>
      <c r="AL123" s="93" t="s">
        <v>113</v>
      </c>
      <c r="AM123" s="93"/>
      <c r="AN123" s="93" t="s">
        <v>113</v>
      </c>
      <c r="AO123" s="93" t="s">
        <v>114</v>
      </c>
      <c r="AP123" s="94">
        <v>481</v>
      </c>
      <c r="AQ123" s="94" t="s">
        <v>100</v>
      </c>
      <c r="AR123" s="93">
        <v>481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</row>
    <row r="124" spans="1:61" s="6" customFormat="1" ht="16.5">
      <c r="A124" s="9">
        <v>2</v>
      </c>
      <c r="B124"/>
      <c r="C124" s="9">
        <v>93.75</v>
      </c>
      <c r="D124">
        <v>0</v>
      </c>
      <c r="E124" s="9">
        <v>0</v>
      </c>
      <c r="F124" s="9">
        <v>6.25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74" t="str">
        <f t="array" ref="M124">_xlfn.TEXTJOIN("-", TRUE, IF(C124:L124&gt;0, $C$2:$L$2, ""))</f>
        <v xml:space="preserve"> Ti-Mo</v>
      </c>
      <c r="N124" s="90">
        <f t="shared" si="2"/>
        <v>98</v>
      </c>
      <c r="O124" s="91">
        <f t="shared" si="3"/>
        <v>2</v>
      </c>
      <c r="P124"/>
      <c r="Q124"/>
      <c r="R124"/>
      <c r="S124"/>
      <c r="T124"/>
      <c r="U124"/>
      <c r="V124"/>
      <c r="W124"/>
      <c r="X124"/>
      <c r="Y124"/>
      <c r="Z124" s="9">
        <v>116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s="94" t="s">
        <v>382</v>
      </c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 spans="1:61" s="6" customFormat="1" ht="16.5">
      <c r="A125" s="9">
        <v>13</v>
      </c>
      <c r="B125"/>
      <c r="C125" s="9">
        <v>91.9</v>
      </c>
      <c r="D125">
        <v>0</v>
      </c>
      <c r="E125" s="9">
        <v>0</v>
      </c>
      <c r="F125" s="9">
        <v>8.1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74" t="str">
        <f t="array" ref="M125">_xlfn.TEXTJOIN("-", TRUE, IF(C125:L125&gt;0, $C$2:$L$2, ""))</f>
        <v xml:space="preserve"> Ti-Mo</v>
      </c>
      <c r="N125" s="90">
        <f t="shared" si="2"/>
        <v>98</v>
      </c>
      <c r="O125" s="91">
        <f t="shared" si="3"/>
        <v>2</v>
      </c>
      <c r="P125"/>
      <c r="Q125"/>
      <c r="R125"/>
      <c r="S125"/>
      <c r="T125"/>
      <c r="U125"/>
      <c r="V125"/>
      <c r="W125"/>
      <c r="X125"/>
      <c r="Y125"/>
      <c r="Z125" s="9">
        <v>78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 s="94" t="s">
        <v>382</v>
      </c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 spans="1:61" s="6" customFormat="1" ht="16.5">
      <c r="A126" s="9">
        <v>20</v>
      </c>
      <c r="B126"/>
      <c r="C126" s="9">
        <v>77.8</v>
      </c>
      <c r="D126">
        <v>0</v>
      </c>
      <c r="E126" s="9">
        <v>0</v>
      </c>
      <c r="F126" s="9">
        <v>22.2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74" t="str">
        <f t="array" ref="M126">_xlfn.TEXTJOIN("-", TRUE, IF(C126:L126&gt;0, $C$2:$L$2, ""))</f>
        <v xml:space="preserve"> Ti-Mo</v>
      </c>
      <c r="N126" s="90">
        <f t="shared" si="2"/>
        <v>98</v>
      </c>
      <c r="O126" s="91">
        <f t="shared" si="3"/>
        <v>2</v>
      </c>
      <c r="P126"/>
      <c r="Q126"/>
      <c r="R126"/>
      <c r="S126"/>
      <c r="T126"/>
      <c r="U126"/>
      <c r="V126"/>
      <c r="W126"/>
      <c r="X126"/>
      <c r="Y126"/>
      <c r="Z126" s="9">
        <v>99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s="94" t="s">
        <v>382</v>
      </c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 spans="1:61" s="6" customFormat="1" ht="16.5">
      <c r="A127" s="9">
        <v>21</v>
      </c>
      <c r="B127"/>
      <c r="C127" s="9">
        <v>88.2</v>
      </c>
      <c r="D127">
        <v>0</v>
      </c>
      <c r="E127" s="9">
        <v>0</v>
      </c>
      <c r="F127" s="9">
        <v>11.8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74" t="str">
        <f t="array" ref="M127">_xlfn.TEXTJOIN("-", TRUE, IF(C127:L127&gt;0, $C$2:$L$2, ""))</f>
        <v xml:space="preserve"> Ti-Mo</v>
      </c>
      <c r="N127" s="90">
        <f t="shared" si="2"/>
        <v>98</v>
      </c>
      <c r="O127" s="91">
        <f t="shared" si="3"/>
        <v>2</v>
      </c>
      <c r="P127"/>
      <c r="Q127"/>
      <c r="R127"/>
      <c r="S127"/>
      <c r="T127"/>
      <c r="U127"/>
      <c r="V127"/>
      <c r="W127"/>
      <c r="X127"/>
      <c r="Y127"/>
      <c r="Z127" s="9">
        <v>116</v>
      </c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s="94" t="s">
        <v>382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1:61" s="6" customFormat="1" ht="16.5">
      <c r="A128" s="9">
        <v>65</v>
      </c>
      <c r="B128"/>
      <c r="C128" s="9">
        <v>96.11</v>
      </c>
      <c r="D128">
        <v>0</v>
      </c>
      <c r="E128" s="9">
        <v>0</v>
      </c>
      <c r="F128" s="9">
        <v>3.89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74" t="str">
        <f t="array" ref="M128">_xlfn.TEXTJOIN("-", TRUE, IF(C128:L128&gt;0, $C$2:$L$2, ""))</f>
        <v xml:space="preserve"> Ti-Mo</v>
      </c>
      <c r="N128" s="90">
        <f t="shared" si="2"/>
        <v>98</v>
      </c>
      <c r="O128" s="91">
        <f t="shared" si="3"/>
        <v>2</v>
      </c>
      <c r="P128"/>
      <c r="Q128"/>
      <c r="R128"/>
      <c r="S128"/>
      <c r="T128"/>
      <c r="U128"/>
      <c r="V128"/>
      <c r="W128"/>
      <c r="X128"/>
      <c r="Y128"/>
      <c r="Z128" s="9">
        <v>70</v>
      </c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s="94" t="s">
        <v>382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spans="1:61" s="6" customFormat="1" ht="16.5">
      <c r="A129" s="9">
        <v>66</v>
      </c>
      <c r="B129"/>
      <c r="C129" s="9">
        <v>91.91</v>
      </c>
      <c r="D129">
        <v>0</v>
      </c>
      <c r="E129" s="9">
        <v>0</v>
      </c>
      <c r="F129" s="9">
        <v>8.09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74" t="str">
        <f t="array" ref="M129">_xlfn.TEXTJOIN("-", TRUE, IF(C129:L129&gt;0, $C$2:$L$2, ""))</f>
        <v xml:space="preserve"> Ti-Mo</v>
      </c>
      <c r="N129" s="90">
        <f t="shared" si="2"/>
        <v>98</v>
      </c>
      <c r="O129" s="91">
        <f t="shared" si="3"/>
        <v>2</v>
      </c>
      <c r="P129"/>
      <c r="Q129"/>
      <c r="R129"/>
      <c r="S129"/>
      <c r="T129"/>
      <c r="U129"/>
      <c r="V129"/>
      <c r="W129"/>
      <c r="X129"/>
      <c r="Y129"/>
      <c r="Z129" s="9">
        <v>84</v>
      </c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 s="94" t="s">
        <v>382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</row>
    <row r="130" spans="1:61" s="6" customFormat="1" ht="16.5">
      <c r="A130" s="9">
        <v>81</v>
      </c>
      <c r="B130"/>
      <c r="C130" s="9">
        <v>96.8</v>
      </c>
      <c r="D130">
        <v>0</v>
      </c>
      <c r="E130" s="9">
        <v>0</v>
      </c>
      <c r="F130" s="9">
        <v>3.2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74" t="str">
        <f t="array" ref="M130">_xlfn.TEXTJOIN("-", TRUE, IF(C130:L130&gt;0, $C$2:$L$2, ""))</f>
        <v xml:space="preserve"> Ti-Mo</v>
      </c>
      <c r="N130" s="90">
        <f t="shared" si="2"/>
        <v>98</v>
      </c>
      <c r="O130" s="91">
        <f t="shared" si="3"/>
        <v>2</v>
      </c>
      <c r="P130"/>
      <c r="Q130"/>
      <c r="R130"/>
      <c r="S130"/>
      <c r="T130"/>
      <c r="U130"/>
      <c r="V130"/>
      <c r="W130"/>
      <c r="X130"/>
      <c r="Y130"/>
      <c r="Z130" s="9">
        <v>83.73</v>
      </c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s="94" t="s">
        <v>382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</row>
    <row r="131" spans="1:61" s="6" customFormat="1" ht="16.5">
      <c r="A131" s="9">
        <v>82</v>
      </c>
      <c r="B131"/>
      <c r="C131" s="9">
        <v>95.5</v>
      </c>
      <c r="D131">
        <v>0</v>
      </c>
      <c r="E131" s="9">
        <v>0</v>
      </c>
      <c r="F131" s="9">
        <v>4.5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74" t="str">
        <f t="array" ref="M131">_xlfn.TEXTJOIN("-", TRUE, IF(C131:L131&gt;0, $C$2:$L$2, ""))</f>
        <v xml:space="preserve"> Ti-Mo</v>
      </c>
      <c r="N131" s="90">
        <f t="shared" ref="N131:N194" si="4">IF(COUNTIF(M$3:M$1206, M131)&gt;1, MATCH(M131, M:M, 0), "")</f>
        <v>98</v>
      </c>
      <c r="O131" s="91">
        <f t="shared" ref="O131:O194" si="5">COUNTIF(C131:L131, "&lt;&gt;0")</f>
        <v>2</v>
      </c>
      <c r="P131"/>
      <c r="Q131"/>
      <c r="R131"/>
      <c r="S131"/>
      <c r="T131"/>
      <c r="U131"/>
      <c r="V131"/>
      <c r="W131"/>
      <c r="X131"/>
      <c r="Y131"/>
      <c r="Z131" s="9">
        <v>88.36</v>
      </c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 s="94" t="s">
        <v>382</v>
      </c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</row>
    <row r="132" spans="1:61" s="6" customFormat="1" ht="16.5">
      <c r="A132" s="9">
        <v>83</v>
      </c>
      <c r="B132"/>
      <c r="C132" s="9">
        <v>94</v>
      </c>
      <c r="D132">
        <v>0</v>
      </c>
      <c r="E132" s="9">
        <v>0</v>
      </c>
      <c r="F132" s="9">
        <v>6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74" t="str">
        <f t="array" ref="M132">_xlfn.TEXTJOIN("-", TRUE, IF(C132:L132&gt;0, $C$2:$L$2, ""))</f>
        <v xml:space="preserve"> Ti-Mo</v>
      </c>
      <c r="N132" s="90">
        <f t="shared" si="4"/>
        <v>98</v>
      </c>
      <c r="O132" s="91">
        <f t="shared" si="5"/>
        <v>2</v>
      </c>
      <c r="P132"/>
      <c r="Q132"/>
      <c r="R132"/>
      <c r="S132"/>
      <c r="T132"/>
      <c r="U132"/>
      <c r="V132"/>
      <c r="W132"/>
      <c r="X132"/>
      <c r="Y132"/>
      <c r="Z132" s="9">
        <v>111.7</v>
      </c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 s="94" t="s">
        <v>382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</row>
    <row r="133" spans="1:61" s="6" customFormat="1" ht="16.5">
      <c r="A133" s="9">
        <v>84</v>
      </c>
      <c r="B133"/>
      <c r="C133" s="9">
        <v>93</v>
      </c>
      <c r="D133">
        <v>0</v>
      </c>
      <c r="E133" s="9">
        <v>0</v>
      </c>
      <c r="F133" s="9">
        <v>7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74" t="str">
        <f t="array" ref="M133">_xlfn.TEXTJOIN("-", TRUE, IF(C133:L133&gt;0, $C$2:$L$2, ""))</f>
        <v xml:space="preserve"> Ti-Mo</v>
      </c>
      <c r="N133" s="90">
        <f t="shared" si="4"/>
        <v>98</v>
      </c>
      <c r="O133" s="91">
        <f t="shared" si="5"/>
        <v>2</v>
      </c>
      <c r="P133"/>
      <c r="Q133"/>
      <c r="R133"/>
      <c r="S133"/>
      <c r="T133"/>
      <c r="U133"/>
      <c r="V133"/>
      <c r="W133"/>
      <c r="X133"/>
      <c r="Y133"/>
      <c r="Z133" s="9">
        <v>99.55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s="94" t="s">
        <v>382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</row>
    <row r="134" spans="1:61" s="6" customFormat="1" ht="16.5">
      <c r="A134" s="9">
        <v>85</v>
      </c>
      <c r="B134"/>
      <c r="C134" s="9">
        <v>92</v>
      </c>
      <c r="D134">
        <v>0</v>
      </c>
      <c r="E134" s="9">
        <v>0</v>
      </c>
      <c r="F134" s="9">
        <v>8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74" t="str">
        <f t="array" ref="M134">_xlfn.TEXTJOIN("-", TRUE, IF(C134:L134&gt;0, $C$2:$L$2, ""))</f>
        <v xml:space="preserve"> Ti-Mo</v>
      </c>
      <c r="N134" s="90">
        <f t="shared" si="4"/>
        <v>98</v>
      </c>
      <c r="O134" s="91">
        <f t="shared" si="5"/>
        <v>2</v>
      </c>
      <c r="P134"/>
      <c r="Q134"/>
      <c r="R134"/>
      <c r="S134"/>
      <c r="T134"/>
      <c r="U134"/>
      <c r="V134"/>
      <c r="W134"/>
      <c r="X134"/>
      <c r="Y134"/>
      <c r="Z134" s="9">
        <v>82.84</v>
      </c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 s="94" t="s">
        <v>382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 spans="1:61" s="6" customFormat="1" ht="16.5">
      <c r="A135" s="9">
        <v>86</v>
      </c>
      <c r="B135"/>
      <c r="C135" s="9">
        <v>88</v>
      </c>
      <c r="D135">
        <v>0</v>
      </c>
      <c r="E135" s="9">
        <v>0</v>
      </c>
      <c r="F135" s="9">
        <v>12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74" t="str">
        <f t="array" ref="M135">_xlfn.TEXTJOIN("-", TRUE, IF(C135:L135&gt;0, $C$2:$L$2, ""))</f>
        <v xml:space="preserve"> Ti-Mo</v>
      </c>
      <c r="N135" s="90">
        <f t="shared" si="4"/>
        <v>98</v>
      </c>
      <c r="O135" s="91">
        <f t="shared" si="5"/>
        <v>2</v>
      </c>
      <c r="P135"/>
      <c r="Q135"/>
      <c r="R135"/>
      <c r="S135"/>
      <c r="T135"/>
      <c r="U135"/>
      <c r="V135"/>
      <c r="W135"/>
      <c r="X135"/>
      <c r="Y135"/>
      <c r="Z135" s="9">
        <v>89.7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 s="94" t="s">
        <v>382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 spans="1:61" s="6" customFormat="1" ht="16.5">
      <c r="A136" s="9">
        <v>150</v>
      </c>
      <c r="B136"/>
      <c r="C136" s="9">
        <v>94.74</v>
      </c>
      <c r="D136">
        <v>0</v>
      </c>
      <c r="E136" s="9">
        <v>0</v>
      </c>
      <c r="F136" s="9">
        <v>5.26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74" t="str">
        <f t="array" ref="M136">_xlfn.TEXTJOIN("-", TRUE, IF(C136:L136&gt;0, $C$2:$L$2, ""))</f>
        <v xml:space="preserve"> Ti-Mo</v>
      </c>
      <c r="N136" s="90">
        <f t="shared" si="4"/>
        <v>98</v>
      </c>
      <c r="O136" s="91">
        <f t="shared" si="5"/>
        <v>2</v>
      </c>
      <c r="P136"/>
      <c r="Q136"/>
      <c r="R136"/>
      <c r="S136"/>
      <c r="T136"/>
      <c r="U136"/>
      <c r="V136"/>
      <c r="W136"/>
      <c r="X136"/>
      <c r="Y136"/>
      <c r="Z136" s="9">
        <v>113</v>
      </c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 s="94" t="s">
        <v>382</v>
      </c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 spans="1:61" s="6" customFormat="1" ht="16.5">
      <c r="A137" s="9">
        <v>151</v>
      </c>
      <c r="B137"/>
      <c r="C137" s="9">
        <v>94.29</v>
      </c>
      <c r="D137">
        <v>0</v>
      </c>
      <c r="E137" s="9">
        <v>0</v>
      </c>
      <c r="F137" s="9">
        <v>5.71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74" t="str">
        <f t="array" ref="M137">_xlfn.TEXTJOIN("-", TRUE, IF(C137:L137&gt;0, $C$2:$L$2, ""))</f>
        <v xml:space="preserve"> Ti-Mo</v>
      </c>
      <c r="N137" s="90">
        <f t="shared" si="4"/>
        <v>98</v>
      </c>
      <c r="O137" s="91">
        <f t="shared" si="5"/>
        <v>2</v>
      </c>
      <c r="P137"/>
      <c r="Q137"/>
      <c r="R137"/>
      <c r="S137"/>
      <c r="T137"/>
      <c r="U137"/>
      <c r="V137"/>
      <c r="W137"/>
      <c r="X137"/>
      <c r="Y137"/>
      <c r="Z137" s="9">
        <v>105.17</v>
      </c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 s="94" t="s">
        <v>382</v>
      </c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1:61" s="6" customFormat="1" ht="16.5">
      <c r="A138" s="9">
        <v>152</v>
      </c>
      <c r="B138"/>
      <c r="C138" s="9">
        <v>93.13</v>
      </c>
      <c r="D138">
        <v>0</v>
      </c>
      <c r="E138" s="9">
        <v>0</v>
      </c>
      <c r="F138" s="9">
        <v>6.87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74" t="str">
        <f t="array" ref="M138">_xlfn.TEXTJOIN("-", TRUE, IF(C138:L138&gt;0, $C$2:$L$2, ""))</f>
        <v xml:space="preserve"> Ti-Mo</v>
      </c>
      <c r="N138" s="90">
        <f t="shared" si="4"/>
        <v>98</v>
      </c>
      <c r="O138" s="91">
        <f t="shared" si="5"/>
        <v>2</v>
      </c>
      <c r="P138"/>
      <c r="Q138"/>
      <c r="R138"/>
      <c r="S138"/>
      <c r="T138"/>
      <c r="U138"/>
      <c r="V138"/>
      <c r="W138"/>
      <c r="X138"/>
      <c r="Y138"/>
      <c r="Z138" s="9">
        <v>104.47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 s="94" t="s">
        <v>382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1:61" s="6" customFormat="1" ht="16.5">
      <c r="A139" s="9">
        <v>153</v>
      </c>
      <c r="B139"/>
      <c r="C139" s="9">
        <v>91.88</v>
      </c>
      <c r="D139">
        <v>0</v>
      </c>
      <c r="E139" s="9">
        <v>0</v>
      </c>
      <c r="F139" s="9">
        <v>8.1199999999999992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74" t="str">
        <f t="array" ref="M139">_xlfn.TEXTJOIN("-", TRUE, IF(C139:L139&gt;0, $C$2:$L$2, ""))</f>
        <v xml:space="preserve"> Ti-Mo</v>
      </c>
      <c r="N139" s="90">
        <f t="shared" si="4"/>
        <v>98</v>
      </c>
      <c r="O139" s="91">
        <f t="shared" si="5"/>
        <v>2</v>
      </c>
      <c r="P139"/>
      <c r="Q139"/>
      <c r="R139"/>
      <c r="S139"/>
      <c r="T139"/>
      <c r="U139"/>
      <c r="V139"/>
      <c r="W139"/>
      <c r="X139"/>
      <c r="Y139"/>
      <c r="Z139" s="9">
        <v>70.48</v>
      </c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 s="94" t="s">
        <v>382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1:61" s="6" customFormat="1" ht="16.5">
      <c r="A140" s="7">
        <v>160</v>
      </c>
      <c r="C140" s="8">
        <v>90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10</v>
      </c>
      <c r="K140" s="8">
        <v>0</v>
      </c>
      <c r="L140" s="8">
        <v>0</v>
      </c>
      <c r="M140" s="74" t="str">
        <f t="array" ref="M140">_xlfn.TEXTJOIN("-", TRUE, IF(C140:L140&gt;0, $C$2:$L$2, ""))</f>
        <v xml:space="preserve"> Ti-Cr</v>
      </c>
      <c r="N140" s="90">
        <f t="shared" si="4"/>
        <v>140</v>
      </c>
      <c r="O140" s="91">
        <f t="shared" si="5"/>
        <v>2</v>
      </c>
      <c r="P140" s="8">
        <v>1</v>
      </c>
      <c r="Q140" s="8">
        <v>1</v>
      </c>
      <c r="R140" s="8">
        <v>1000</v>
      </c>
      <c r="S140" s="8">
        <v>70</v>
      </c>
      <c r="T140" s="8">
        <v>850</v>
      </c>
      <c r="U140" s="8">
        <v>1</v>
      </c>
      <c r="V140" s="8">
        <v>1</v>
      </c>
      <c r="W140" s="8">
        <v>0</v>
      </c>
      <c r="X140" s="8">
        <v>0</v>
      </c>
      <c r="Y140" s="8">
        <v>0</v>
      </c>
      <c r="AB140" s="8">
        <v>863</v>
      </c>
      <c r="AC140" s="8"/>
      <c r="AD140" s="8">
        <v>18.97</v>
      </c>
      <c r="AN140" s="6" t="s">
        <v>163</v>
      </c>
      <c r="AO140" s="6" t="s">
        <v>164</v>
      </c>
      <c r="AP140" s="6">
        <v>28</v>
      </c>
      <c r="AQ140" s="7" t="s">
        <v>54</v>
      </c>
      <c r="AR140" s="7">
        <v>160</v>
      </c>
    </row>
    <row r="141" spans="1:61" s="6" customFormat="1" ht="16.5">
      <c r="A141" s="7">
        <v>161</v>
      </c>
      <c r="C141" s="8">
        <v>89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11</v>
      </c>
      <c r="K141" s="8">
        <v>0</v>
      </c>
      <c r="L141" s="8">
        <v>0</v>
      </c>
      <c r="M141" s="74" t="str">
        <f t="array" ref="M141">_xlfn.TEXTJOIN("-", TRUE, IF(C141:L141&gt;0, $C$2:$L$2, ""))</f>
        <v xml:space="preserve"> Ti-Cr</v>
      </c>
      <c r="N141" s="90">
        <f t="shared" si="4"/>
        <v>140</v>
      </c>
      <c r="O141" s="91">
        <f t="shared" si="5"/>
        <v>2</v>
      </c>
      <c r="P141" s="8">
        <v>1</v>
      </c>
      <c r="Q141" s="8">
        <v>1</v>
      </c>
      <c r="R141" s="8">
        <v>1000</v>
      </c>
      <c r="S141" s="8">
        <v>70</v>
      </c>
      <c r="T141" s="8">
        <v>850</v>
      </c>
      <c r="U141" s="8">
        <v>1</v>
      </c>
      <c r="V141" s="8">
        <v>1</v>
      </c>
      <c r="W141" s="8">
        <v>0</v>
      </c>
      <c r="X141" s="8">
        <v>0</v>
      </c>
      <c r="Y141" s="8">
        <v>0</v>
      </c>
      <c r="AB141" s="8">
        <v>833</v>
      </c>
      <c r="AC141" s="8"/>
      <c r="AD141" s="8">
        <v>16.829999999999998</v>
      </c>
      <c r="AN141" s="6" t="s">
        <v>163</v>
      </c>
      <c r="AO141" s="6" t="s">
        <v>164</v>
      </c>
      <c r="AP141" s="6">
        <v>28</v>
      </c>
      <c r="AQ141" s="7" t="s">
        <v>54</v>
      </c>
      <c r="AR141" s="7">
        <v>161</v>
      </c>
    </row>
    <row r="142" spans="1:61" s="6" customFormat="1" ht="16.5">
      <c r="A142" s="7">
        <v>162</v>
      </c>
      <c r="C142" s="8">
        <v>88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12</v>
      </c>
      <c r="K142" s="8">
        <v>0</v>
      </c>
      <c r="L142" s="8">
        <v>0</v>
      </c>
      <c r="M142" s="74" t="str">
        <f t="array" ref="M142">_xlfn.TEXTJOIN("-", TRUE, IF(C142:L142&gt;0, $C$2:$L$2, ""))</f>
        <v xml:space="preserve"> Ti-Cr</v>
      </c>
      <c r="N142" s="90">
        <f t="shared" si="4"/>
        <v>140</v>
      </c>
      <c r="O142" s="91">
        <f t="shared" si="5"/>
        <v>2</v>
      </c>
      <c r="P142" s="8">
        <v>1</v>
      </c>
      <c r="Q142" s="8">
        <v>1</v>
      </c>
      <c r="R142" s="8">
        <v>1000</v>
      </c>
      <c r="S142" s="8">
        <v>70</v>
      </c>
      <c r="T142" s="8">
        <v>850</v>
      </c>
      <c r="U142" s="8">
        <v>1</v>
      </c>
      <c r="V142" s="8">
        <v>1</v>
      </c>
      <c r="W142" s="8">
        <v>0</v>
      </c>
      <c r="X142" s="8">
        <v>0</v>
      </c>
      <c r="Y142" s="8">
        <v>0</v>
      </c>
      <c r="AB142" s="8">
        <v>753</v>
      </c>
      <c r="AC142" s="8"/>
      <c r="AD142" s="8">
        <v>13.27</v>
      </c>
      <c r="AN142" s="6" t="s">
        <v>163</v>
      </c>
      <c r="AO142" s="6" t="s">
        <v>164</v>
      </c>
      <c r="AP142" s="6">
        <v>28</v>
      </c>
      <c r="AQ142" s="7" t="s">
        <v>54</v>
      </c>
      <c r="AR142" s="7">
        <v>162</v>
      </c>
    </row>
    <row r="143" spans="1:61" s="6" customFormat="1" ht="16.5">
      <c r="A143" s="7">
        <v>163</v>
      </c>
      <c r="C143" s="8">
        <v>87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13</v>
      </c>
      <c r="K143" s="8">
        <v>0</v>
      </c>
      <c r="L143" s="8">
        <v>0</v>
      </c>
      <c r="M143" s="74" t="str">
        <f t="array" ref="M143">_xlfn.TEXTJOIN("-", TRUE, IF(C143:L143&gt;0, $C$2:$L$2, ""))</f>
        <v xml:space="preserve"> Ti-Cr</v>
      </c>
      <c r="N143" s="90">
        <f t="shared" si="4"/>
        <v>140</v>
      </c>
      <c r="O143" s="91">
        <f t="shared" si="5"/>
        <v>2</v>
      </c>
      <c r="P143" s="8">
        <v>1</v>
      </c>
      <c r="Q143" s="8">
        <v>1</v>
      </c>
      <c r="R143" s="8">
        <v>1000</v>
      </c>
      <c r="S143" s="8">
        <v>70</v>
      </c>
      <c r="T143" s="8">
        <v>850</v>
      </c>
      <c r="U143" s="8">
        <v>1</v>
      </c>
      <c r="V143" s="8">
        <v>1</v>
      </c>
      <c r="W143" s="8">
        <v>0</v>
      </c>
      <c r="X143" s="8">
        <v>0</v>
      </c>
      <c r="Y143" s="8">
        <v>0</v>
      </c>
      <c r="AB143" s="8">
        <v>785</v>
      </c>
      <c r="AC143" s="8"/>
      <c r="AD143" s="8">
        <v>12.6</v>
      </c>
      <c r="AN143" s="6" t="s">
        <v>163</v>
      </c>
      <c r="AO143" s="6" t="s">
        <v>164</v>
      </c>
      <c r="AP143" s="6">
        <v>28</v>
      </c>
      <c r="AQ143" s="7" t="s">
        <v>54</v>
      </c>
      <c r="AR143" s="7">
        <v>163</v>
      </c>
    </row>
    <row r="144" spans="1:61" s="6" customFormat="1" ht="16.5">
      <c r="A144" s="7">
        <v>164</v>
      </c>
      <c r="C144" s="8">
        <v>86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14</v>
      </c>
      <c r="K144" s="8">
        <v>0</v>
      </c>
      <c r="L144" s="8">
        <v>0</v>
      </c>
      <c r="M144" s="74" t="str">
        <f t="array" ref="M144">_xlfn.TEXTJOIN("-", TRUE, IF(C144:L144&gt;0, $C$2:$L$2, ""))</f>
        <v xml:space="preserve"> Ti-Cr</v>
      </c>
      <c r="N144" s="90">
        <f t="shared" si="4"/>
        <v>140</v>
      </c>
      <c r="O144" s="91">
        <f t="shared" si="5"/>
        <v>2</v>
      </c>
      <c r="P144" s="8">
        <v>1</v>
      </c>
      <c r="Q144" s="8">
        <v>1</v>
      </c>
      <c r="R144" s="8">
        <v>1000</v>
      </c>
      <c r="S144" s="8">
        <v>70</v>
      </c>
      <c r="T144" s="8">
        <v>850</v>
      </c>
      <c r="U144" s="8">
        <v>1</v>
      </c>
      <c r="V144" s="8">
        <v>1</v>
      </c>
      <c r="W144" s="8">
        <v>0</v>
      </c>
      <c r="X144" s="8">
        <v>0</v>
      </c>
      <c r="Y144" s="8">
        <v>0</v>
      </c>
      <c r="AB144" s="8">
        <v>789</v>
      </c>
      <c r="AC144" s="8"/>
      <c r="AD144" s="8">
        <v>13.52</v>
      </c>
      <c r="AN144" s="6" t="s">
        <v>163</v>
      </c>
      <c r="AO144" s="6" t="s">
        <v>164</v>
      </c>
      <c r="AP144" s="6">
        <v>28</v>
      </c>
      <c r="AQ144" s="7" t="s">
        <v>54</v>
      </c>
      <c r="AR144" s="7">
        <v>164</v>
      </c>
    </row>
    <row r="145" spans="1:61" s="6" customFormat="1" ht="16.5">
      <c r="A145" s="12">
        <v>77</v>
      </c>
      <c r="B145" s="12"/>
      <c r="C145" s="12">
        <v>88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12</v>
      </c>
      <c r="K145" s="12">
        <v>0</v>
      </c>
      <c r="L145" s="12">
        <v>0</v>
      </c>
      <c r="M145" s="74" t="str">
        <f t="array" ref="M145">_xlfn.TEXTJOIN("-", TRUE, IF(C145:L145&gt;0, $C$2:$L$2, ""))</f>
        <v xml:space="preserve"> Ti-Cr</v>
      </c>
      <c r="N145" s="90">
        <f t="shared" si="4"/>
        <v>140</v>
      </c>
      <c r="O145" s="91">
        <f t="shared" si="5"/>
        <v>2</v>
      </c>
      <c r="P145" s="12">
        <v>1</v>
      </c>
      <c r="Q145" s="12">
        <v>1</v>
      </c>
      <c r="R145" s="12">
        <v>1000</v>
      </c>
      <c r="S145" s="12">
        <v>70</v>
      </c>
      <c r="T145" s="12">
        <v>850</v>
      </c>
      <c r="U145" s="12">
        <v>1</v>
      </c>
      <c r="V145" s="12">
        <v>1</v>
      </c>
      <c r="W145" s="12"/>
      <c r="X145" s="12"/>
      <c r="Y145" s="12"/>
      <c r="Z145" s="12"/>
      <c r="AA145" s="12"/>
      <c r="AB145" s="12">
        <v>754</v>
      </c>
      <c r="AC145" s="12"/>
      <c r="AD145" s="12">
        <v>13.31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 t="s">
        <v>403</v>
      </c>
      <c r="AO145" s="12" t="s">
        <v>404</v>
      </c>
      <c r="AP145" s="12">
        <v>16</v>
      </c>
      <c r="AQ145" s="12" t="s">
        <v>374</v>
      </c>
      <c r="AR145" s="12">
        <v>77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</row>
    <row r="146" spans="1:61" s="6" customFormat="1" ht="16.5">
      <c r="A146" s="12">
        <v>82</v>
      </c>
      <c r="B146" s="12"/>
      <c r="C146" s="12">
        <v>90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10</v>
      </c>
      <c r="K146" s="12">
        <v>0</v>
      </c>
      <c r="L146" s="12">
        <v>0</v>
      </c>
      <c r="M146" s="74" t="str">
        <f t="array" ref="M146">_xlfn.TEXTJOIN("-", TRUE, IF(C146:L146&gt;0, $C$2:$L$2, ""))</f>
        <v xml:space="preserve"> Ti-Cr</v>
      </c>
      <c r="N146" s="90">
        <f t="shared" si="4"/>
        <v>140</v>
      </c>
      <c r="O146" s="91">
        <f t="shared" si="5"/>
        <v>2</v>
      </c>
      <c r="P146" s="12">
        <v>1</v>
      </c>
      <c r="Q146" s="12">
        <v>1</v>
      </c>
      <c r="R146" s="12">
        <v>1000</v>
      </c>
      <c r="S146" s="12">
        <v>70</v>
      </c>
      <c r="T146" s="12">
        <v>850</v>
      </c>
      <c r="U146" s="12">
        <v>1</v>
      </c>
      <c r="V146" s="12">
        <v>1</v>
      </c>
      <c r="W146" s="12"/>
      <c r="X146" s="12"/>
      <c r="Y146" s="12"/>
      <c r="Z146" s="12"/>
      <c r="AA146" s="12"/>
      <c r="AB146" s="12">
        <v>863</v>
      </c>
      <c r="AC146" s="12"/>
      <c r="AD146" s="12">
        <v>18.989999999999998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2" t="s">
        <v>405</v>
      </c>
      <c r="AO146" s="12" t="s">
        <v>406</v>
      </c>
      <c r="AP146" s="12">
        <v>18</v>
      </c>
      <c r="AQ146" s="12" t="s">
        <v>374</v>
      </c>
      <c r="AR146" s="12">
        <v>82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</row>
    <row r="147" spans="1:61" s="6" customFormat="1" ht="16.5">
      <c r="A147" s="12">
        <v>83</v>
      </c>
      <c r="B147" s="12"/>
      <c r="C147" s="12">
        <v>89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11</v>
      </c>
      <c r="K147" s="12">
        <v>0</v>
      </c>
      <c r="L147" s="12">
        <v>0</v>
      </c>
      <c r="M147" s="74" t="str">
        <f t="array" ref="M147">_xlfn.TEXTJOIN("-", TRUE, IF(C147:L147&gt;0, $C$2:$L$2, ""))</f>
        <v xml:space="preserve"> Ti-Cr</v>
      </c>
      <c r="N147" s="90">
        <f t="shared" si="4"/>
        <v>140</v>
      </c>
      <c r="O147" s="91">
        <f t="shared" si="5"/>
        <v>2</v>
      </c>
      <c r="P147" s="12">
        <v>1</v>
      </c>
      <c r="Q147" s="12">
        <v>1</v>
      </c>
      <c r="R147" s="12">
        <v>1000</v>
      </c>
      <c r="S147" s="12">
        <v>70</v>
      </c>
      <c r="T147" s="12">
        <v>850</v>
      </c>
      <c r="U147" s="12">
        <v>1</v>
      </c>
      <c r="V147" s="12">
        <v>1</v>
      </c>
      <c r="W147" s="12"/>
      <c r="X147" s="12"/>
      <c r="Y147" s="12"/>
      <c r="Z147" s="12"/>
      <c r="AA147" s="12"/>
      <c r="AB147" s="12">
        <v>833</v>
      </c>
      <c r="AC147" s="12"/>
      <c r="AD147" s="12">
        <v>16.84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 t="s">
        <v>407</v>
      </c>
      <c r="AO147" s="12" t="s">
        <v>408</v>
      </c>
      <c r="AP147" s="12">
        <v>18</v>
      </c>
      <c r="AQ147" s="12" t="s">
        <v>374</v>
      </c>
      <c r="AR147" s="12">
        <v>83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 spans="1:61" s="6" customFormat="1" ht="16.5">
      <c r="A148" s="12">
        <v>84</v>
      </c>
      <c r="B148" s="12"/>
      <c r="C148" s="12">
        <v>88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12</v>
      </c>
      <c r="K148" s="12">
        <v>0</v>
      </c>
      <c r="L148" s="12">
        <v>0</v>
      </c>
      <c r="M148" s="74" t="str">
        <f t="array" ref="M148">_xlfn.TEXTJOIN("-", TRUE, IF(C148:L148&gt;0, $C$2:$L$2, ""))</f>
        <v xml:space="preserve"> Ti-Cr</v>
      </c>
      <c r="N148" s="90">
        <f t="shared" si="4"/>
        <v>140</v>
      </c>
      <c r="O148" s="91">
        <f t="shared" si="5"/>
        <v>2</v>
      </c>
      <c r="P148" s="12">
        <v>1</v>
      </c>
      <c r="Q148" s="12">
        <v>1</v>
      </c>
      <c r="R148" s="12">
        <v>1000</v>
      </c>
      <c r="S148" s="12">
        <v>70</v>
      </c>
      <c r="T148" s="12">
        <v>850</v>
      </c>
      <c r="U148" s="12">
        <v>1</v>
      </c>
      <c r="V148" s="12">
        <v>1</v>
      </c>
      <c r="W148" s="12"/>
      <c r="X148" s="12"/>
      <c r="Y148" s="12"/>
      <c r="Z148" s="12"/>
      <c r="AA148" s="12"/>
      <c r="AB148" s="12">
        <v>753</v>
      </c>
      <c r="AC148" s="12"/>
      <c r="AD148" s="12">
        <v>13.29</v>
      </c>
      <c r="AE148" s="12"/>
      <c r="AF148" s="12"/>
      <c r="AG148" s="12"/>
      <c r="AH148" s="12"/>
      <c r="AI148" s="12"/>
      <c r="AJ148" s="12"/>
      <c r="AK148" s="12"/>
      <c r="AL148" s="12"/>
      <c r="AM148" s="12"/>
      <c r="AN148" s="12" t="s">
        <v>409</v>
      </c>
      <c r="AO148" s="12" t="s">
        <v>410</v>
      </c>
      <c r="AP148" s="12">
        <v>18</v>
      </c>
      <c r="AQ148" s="12" t="s">
        <v>374</v>
      </c>
      <c r="AR148" s="12">
        <v>84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</row>
    <row r="149" spans="1:61" s="6" customFormat="1" ht="16.5">
      <c r="A149" s="12">
        <v>85</v>
      </c>
      <c r="B149" s="12"/>
      <c r="C149" s="12">
        <v>87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13</v>
      </c>
      <c r="K149" s="12">
        <v>0</v>
      </c>
      <c r="L149" s="12">
        <v>0</v>
      </c>
      <c r="M149" s="74" t="str">
        <f t="array" ref="M149">_xlfn.TEXTJOIN("-", TRUE, IF(C149:L149&gt;0, $C$2:$L$2, ""))</f>
        <v xml:space="preserve"> Ti-Cr</v>
      </c>
      <c r="N149" s="90">
        <f t="shared" si="4"/>
        <v>140</v>
      </c>
      <c r="O149" s="91">
        <f t="shared" si="5"/>
        <v>2</v>
      </c>
      <c r="P149" s="12">
        <v>1</v>
      </c>
      <c r="Q149" s="12">
        <v>1</v>
      </c>
      <c r="R149" s="12">
        <v>1000</v>
      </c>
      <c r="S149" s="12">
        <v>70</v>
      </c>
      <c r="T149" s="12">
        <v>850</v>
      </c>
      <c r="U149" s="12">
        <v>1</v>
      </c>
      <c r="V149" s="12">
        <v>1</v>
      </c>
      <c r="W149" s="12"/>
      <c r="X149" s="12"/>
      <c r="Y149" s="12"/>
      <c r="Z149" s="12"/>
      <c r="AA149" s="12"/>
      <c r="AB149" s="12">
        <v>785</v>
      </c>
      <c r="AC149" s="12"/>
      <c r="AD149" s="12">
        <v>12.58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 t="s">
        <v>411</v>
      </c>
      <c r="AO149" s="12" t="s">
        <v>412</v>
      </c>
      <c r="AP149" s="12">
        <v>18</v>
      </c>
      <c r="AQ149" s="12" t="s">
        <v>374</v>
      </c>
      <c r="AR149" s="12">
        <v>85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</row>
    <row r="150" spans="1:61" s="6" customFormat="1" ht="16.5">
      <c r="A150" s="12">
        <v>86</v>
      </c>
      <c r="B150" s="12"/>
      <c r="C150" s="12">
        <v>86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14</v>
      </c>
      <c r="K150" s="12">
        <v>0</v>
      </c>
      <c r="L150" s="12">
        <v>0</v>
      </c>
      <c r="M150" s="74" t="str">
        <f t="array" ref="M150">_xlfn.TEXTJOIN("-", TRUE, IF(C150:L150&gt;0, $C$2:$L$2, ""))</f>
        <v xml:space="preserve"> Ti-Cr</v>
      </c>
      <c r="N150" s="90">
        <f t="shared" si="4"/>
        <v>140</v>
      </c>
      <c r="O150" s="91">
        <f t="shared" si="5"/>
        <v>2</v>
      </c>
      <c r="P150" s="12">
        <v>1</v>
      </c>
      <c r="Q150" s="12">
        <v>1</v>
      </c>
      <c r="R150" s="12">
        <v>1000</v>
      </c>
      <c r="S150" s="12">
        <v>70</v>
      </c>
      <c r="T150" s="12">
        <v>850</v>
      </c>
      <c r="U150" s="12">
        <v>1</v>
      </c>
      <c r="V150" s="12">
        <v>1</v>
      </c>
      <c r="W150" s="12"/>
      <c r="X150" s="12"/>
      <c r="Y150" s="12"/>
      <c r="Z150" s="12"/>
      <c r="AA150" s="12"/>
      <c r="AB150" s="12">
        <v>789</v>
      </c>
      <c r="AC150" s="12"/>
      <c r="AD150" s="12">
        <v>13.49</v>
      </c>
      <c r="AE150" s="12"/>
      <c r="AF150" s="12"/>
      <c r="AG150" s="12"/>
      <c r="AH150" s="12"/>
      <c r="AI150" s="12"/>
      <c r="AJ150" s="12"/>
      <c r="AK150" s="12"/>
      <c r="AL150" s="12"/>
      <c r="AM150" s="12"/>
      <c r="AN150" s="12" t="s">
        <v>413</v>
      </c>
      <c r="AO150" s="12" t="s">
        <v>414</v>
      </c>
      <c r="AP150" s="12">
        <v>18</v>
      </c>
      <c r="AQ150" s="12" t="s">
        <v>374</v>
      </c>
      <c r="AR150" s="12">
        <v>86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</row>
    <row r="151" spans="1:61" s="6" customFormat="1" ht="16.5">
      <c r="A151" s="10">
        <v>52</v>
      </c>
      <c r="B151" s="10"/>
      <c r="C151" s="10">
        <v>94.129000000000005</v>
      </c>
      <c r="D151" s="10">
        <v>5.73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74" t="str">
        <f t="array" ref="M151">_xlfn.TEXTJOIN("-", TRUE, IF(C151:L151&gt;0, $C$2:$L$2, ""))</f>
        <v xml:space="preserve"> Ti-Al</v>
      </c>
      <c r="N151" s="90">
        <f t="shared" si="4"/>
        <v>151</v>
      </c>
      <c r="O151" s="91">
        <f t="shared" si="5"/>
        <v>2</v>
      </c>
      <c r="P151" s="10" t="s">
        <v>81</v>
      </c>
      <c r="Q151" s="10">
        <v>2</v>
      </c>
      <c r="R151" s="10" t="s">
        <v>81</v>
      </c>
      <c r="S151" s="10" t="s">
        <v>81</v>
      </c>
      <c r="T151" s="10">
        <v>830</v>
      </c>
      <c r="U151" s="10">
        <v>2</v>
      </c>
      <c r="V151" s="10">
        <v>2</v>
      </c>
      <c r="W151" s="10">
        <v>0</v>
      </c>
      <c r="X151" s="10">
        <v>0</v>
      </c>
      <c r="Y151" s="10">
        <v>0</v>
      </c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>
        <v>29.8</v>
      </c>
      <c r="AL151" s="10"/>
      <c r="AM151" s="10"/>
      <c r="AN151" s="11"/>
      <c r="AO151" s="11" t="s">
        <v>228</v>
      </c>
      <c r="AP151" s="10">
        <v>9</v>
      </c>
      <c r="AQ151" s="10" t="s">
        <v>83</v>
      </c>
      <c r="AR151" s="10">
        <v>52</v>
      </c>
      <c r="AS151" s="16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</row>
    <row r="152" spans="1:61" s="102" customFormat="1" ht="16.5">
      <c r="A152" s="96">
        <v>57</v>
      </c>
      <c r="B152" s="96"/>
      <c r="C152" s="96">
        <v>94.129000000000005</v>
      </c>
      <c r="D152" s="96">
        <v>5.73</v>
      </c>
      <c r="E152" s="96">
        <v>0</v>
      </c>
      <c r="F152" s="96">
        <v>0</v>
      </c>
      <c r="G152" s="96">
        <v>0</v>
      </c>
      <c r="H152" s="96">
        <v>0</v>
      </c>
      <c r="I152" s="96">
        <v>0</v>
      </c>
      <c r="J152" s="96">
        <v>0</v>
      </c>
      <c r="K152" s="96">
        <v>0</v>
      </c>
      <c r="L152" s="96">
        <v>0</v>
      </c>
      <c r="M152" s="97" t="str">
        <f t="array" ref="M152">_xlfn.TEXTJOIN("-", TRUE, IF(C152:L152&gt;0, $C$2:$L$2, ""))</f>
        <v xml:space="preserve"> Ti-Al</v>
      </c>
      <c r="N152" s="98">
        <f t="shared" si="4"/>
        <v>151</v>
      </c>
      <c r="O152" s="99">
        <f t="shared" si="5"/>
        <v>2</v>
      </c>
      <c r="P152" s="96" t="s">
        <v>81</v>
      </c>
      <c r="Q152" s="96" t="s">
        <v>81</v>
      </c>
      <c r="R152" s="96" t="s">
        <v>81</v>
      </c>
      <c r="S152" s="96" t="s">
        <v>81</v>
      </c>
      <c r="T152" s="96">
        <v>1000</v>
      </c>
      <c r="U152" s="96">
        <v>1</v>
      </c>
      <c r="V152" s="96" t="s">
        <v>81</v>
      </c>
      <c r="W152" s="96">
        <v>0</v>
      </c>
      <c r="X152" s="96">
        <v>0</v>
      </c>
      <c r="Y152" s="96">
        <v>0</v>
      </c>
      <c r="Z152" s="96"/>
      <c r="AA152" s="96"/>
      <c r="AB152" s="96">
        <v>932</v>
      </c>
      <c r="AC152" s="96"/>
      <c r="AD152" s="96"/>
      <c r="AE152" s="96"/>
      <c r="AF152" s="96"/>
      <c r="AG152" s="96"/>
      <c r="AH152" s="96"/>
      <c r="AI152" s="96"/>
      <c r="AJ152" s="96"/>
      <c r="AK152" s="96">
        <v>34.35</v>
      </c>
      <c r="AL152" s="96"/>
      <c r="AM152" s="96"/>
      <c r="AN152" s="100"/>
      <c r="AO152" s="100" t="s">
        <v>229</v>
      </c>
      <c r="AP152" s="96">
        <v>10</v>
      </c>
      <c r="AQ152" s="96" t="s">
        <v>83</v>
      </c>
      <c r="AR152" s="96">
        <v>57</v>
      </c>
      <c r="AS152" s="96" t="s">
        <v>151</v>
      </c>
      <c r="AT152" s="96" t="s">
        <v>415</v>
      </c>
      <c r="AU152" s="101"/>
      <c r="AV152" s="101"/>
      <c r="AW152" s="101"/>
      <c r="AX152" s="101"/>
      <c r="AY152" s="101"/>
      <c r="AZ152" s="101"/>
      <c r="BA152" s="101"/>
      <c r="BB152" s="101"/>
      <c r="BC152" s="101"/>
      <c r="BD152" s="101"/>
      <c r="BE152" s="101"/>
      <c r="BF152" s="101"/>
      <c r="BG152" s="101"/>
      <c r="BH152" s="101"/>
      <c r="BI152" s="101"/>
    </row>
    <row r="153" spans="1:61" s="102" customFormat="1" ht="16.5">
      <c r="A153" s="96">
        <v>58</v>
      </c>
      <c r="B153" s="96"/>
      <c r="C153" s="96">
        <v>94.207999999999998</v>
      </c>
      <c r="D153" s="96">
        <v>5.73</v>
      </c>
      <c r="E153" s="96">
        <v>0</v>
      </c>
      <c r="F153" s="96">
        <v>0</v>
      </c>
      <c r="G153" s="96">
        <v>0</v>
      </c>
      <c r="H153" s="96">
        <v>0</v>
      </c>
      <c r="I153" s="96">
        <v>0</v>
      </c>
      <c r="J153" s="96">
        <v>0</v>
      </c>
      <c r="K153" s="96">
        <v>0</v>
      </c>
      <c r="L153" s="96">
        <v>0</v>
      </c>
      <c r="M153" s="97" t="str">
        <f t="array" ref="M153">_xlfn.TEXTJOIN("-", TRUE, IF(C153:L153&gt;0, $C$2:$L$2, ""))</f>
        <v xml:space="preserve"> Ti-Al</v>
      </c>
      <c r="N153" s="98">
        <f t="shared" si="4"/>
        <v>151</v>
      </c>
      <c r="O153" s="99">
        <f t="shared" si="5"/>
        <v>2</v>
      </c>
      <c r="P153" s="96" t="s">
        <v>81</v>
      </c>
      <c r="Q153" s="96" t="s">
        <v>81</v>
      </c>
      <c r="R153" s="96" t="s">
        <v>81</v>
      </c>
      <c r="S153" s="96" t="s">
        <v>81</v>
      </c>
      <c r="T153" s="96">
        <v>1000</v>
      </c>
      <c r="U153" s="96">
        <v>1</v>
      </c>
      <c r="V153" s="96" t="s">
        <v>81</v>
      </c>
      <c r="W153" s="96">
        <v>0</v>
      </c>
      <c r="X153" s="96">
        <v>0</v>
      </c>
      <c r="Y153" s="96">
        <v>0</v>
      </c>
      <c r="Z153" s="96"/>
      <c r="AA153" s="96"/>
      <c r="AB153" s="96">
        <v>695</v>
      </c>
      <c r="AC153" s="96"/>
      <c r="AD153" s="96"/>
      <c r="AE153" s="96"/>
      <c r="AF153" s="96"/>
      <c r="AG153" s="96"/>
      <c r="AH153" s="96"/>
      <c r="AI153" s="96"/>
      <c r="AJ153" s="96"/>
      <c r="AK153" s="96">
        <v>102.85</v>
      </c>
      <c r="AL153" s="96"/>
      <c r="AM153" s="96"/>
      <c r="AN153" s="100"/>
      <c r="AO153" s="100" t="s">
        <v>229</v>
      </c>
      <c r="AP153" s="96">
        <v>10</v>
      </c>
      <c r="AQ153" s="96" t="s">
        <v>83</v>
      </c>
      <c r="AR153" s="96">
        <v>58</v>
      </c>
      <c r="AS153" s="96" t="s">
        <v>151</v>
      </c>
      <c r="AT153" s="96" t="s">
        <v>415</v>
      </c>
      <c r="AU153" s="101"/>
      <c r="AV153" s="101"/>
      <c r="AW153" s="101"/>
      <c r="AX153" s="101"/>
      <c r="AY153" s="101"/>
      <c r="AZ153" s="101"/>
      <c r="BA153" s="101"/>
      <c r="BB153" s="101"/>
      <c r="BC153" s="101"/>
      <c r="BD153" s="101"/>
      <c r="BE153" s="101"/>
      <c r="BF153" s="101"/>
      <c r="BG153" s="101"/>
      <c r="BH153" s="101"/>
      <c r="BI153" s="101"/>
    </row>
    <row r="154" spans="1:61" s="6" customFormat="1" ht="16.5">
      <c r="A154" s="10">
        <v>82</v>
      </c>
      <c r="B154" s="10"/>
      <c r="C154" s="10">
        <v>93.977000000000004</v>
      </c>
      <c r="D154" s="10">
        <v>5.96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74" t="str">
        <f t="array" ref="M154">_xlfn.TEXTJOIN("-", TRUE, IF(C154:L154&gt;0, $C$2:$L$2, ""))</f>
        <v xml:space="preserve"> Ti-Al</v>
      </c>
      <c r="N154" s="90">
        <f t="shared" si="4"/>
        <v>151</v>
      </c>
      <c r="O154" s="91">
        <f t="shared" si="5"/>
        <v>2</v>
      </c>
      <c r="P154" s="10">
        <v>2</v>
      </c>
      <c r="Q154" s="10">
        <v>2</v>
      </c>
      <c r="R154" s="10">
        <v>1150</v>
      </c>
      <c r="S154" s="10">
        <v>70</v>
      </c>
      <c r="T154" s="10">
        <v>1000</v>
      </c>
      <c r="U154" s="10">
        <v>1</v>
      </c>
      <c r="V154" s="10">
        <v>2</v>
      </c>
      <c r="W154" s="10">
        <v>0</v>
      </c>
      <c r="X154" s="10">
        <v>0</v>
      </c>
      <c r="Y154" s="10">
        <v>0</v>
      </c>
      <c r="Z154" s="10"/>
      <c r="AA154" s="10"/>
      <c r="AB154" s="10">
        <v>684</v>
      </c>
      <c r="AC154" s="10"/>
      <c r="AD154" s="10">
        <v>19.5</v>
      </c>
      <c r="AE154" s="10"/>
      <c r="AF154" s="10"/>
      <c r="AG154" s="10"/>
      <c r="AH154" s="10"/>
      <c r="AI154" s="10"/>
      <c r="AJ154" s="10"/>
      <c r="AK154" s="10">
        <v>960</v>
      </c>
      <c r="AL154" s="10"/>
      <c r="AM154" s="10"/>
      <c r="AN154" s="11"/>
      <c r="AO154" s="11" t="s">
        <v>230</v>
      </c>
      <c r="AP154" s="10">
        <v>18</v>
      </c>
      <c r="AQ154" s="10" t="s">
        <v>83</v>
      </c>
      <c r="AR154" s="11" t="s">
        <v>416</v>
      </c>
      <c r="AS154" s="10" t="s">
        <v>151</v>
      </c>
      <c r="AT154" s="11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</row>
    <row r="155" spans="1:61" s="6" customFormat="1" ht="16.5">
      <c r="A155" s="93">
        <v>405</v>
      </c>
      <c r="B155" s="93" t="s">
        <v>113</v>
      </c>
      <c r="C155" s="94">
        <v>93.06</v>
      </c>
      <c r="D155" s="94">
        <v>0</v>
      </c>
      <c r="E155" s="94">
        <v>0</v>
      </c>
      <c r="F155" s="94">
        <v>0</v>
      </c>
      <c r="G155" s="94">
        <v>0</v>
      </c>
      <c r="H155" s="94">
        <v>0</v>
      </c>
      <c r="I155" s="94">
        <v>0</v>
      </c>
      <c r="J155" s="94">
        <v>0</v>
      </c>
      <c r="K155" s="94">
        <v>6.94</v>
      </c>
      <c r="L155" s="94">
        <v>0</v>
      </c>
      <c r="M155" s="74" t="str">
        <f t="array" ref="M155">_xlfn.TEXTJOIN("-", TRUE, IF(C155:L155&gt;0, $C$2:$L$2, ""))</f>
        <v xml:space="preserve"> Ti-Fe</v>
      </c>
      <c r="N155" s="90">
        <f t="shared" si="4"/>
        <v>155</v>
      </c>
      <c r="O155" s="91">
        <f t="shared" si="5"/>
        <v>2</v>
      </c>
      <c r="P155" s="94">
        <v>1</v>
      </c>
      <c r="Q155" s="95" t="s">
        <v>173</v>
      </c>
      <c r="R155" s="93">
        <v>0</v>
      </c>
      <c r="S155" s="93">
        <v>0</v>
      </c>
      <c r="T155" s="93">
        <v>0</v>
      </c>
      <c r="U155" s="93">
        <v>0</v>
      </c>
      <c r="V155" s="93">
        <v>0</v>
      </c>
      <c r="W155" s="93">
        <v>0</v>
      </c>
      <c r="X155" s="93">
        <v>0</v>
      </c>
      <c r="Y155" s="93">
        <v>0</v>
      </c>
      <c r="Z155" s="94">
        <v>129</v>
      </c>
      <c r="AA155" s="93" t="s">
        <v>113</v>
      </c>
      <c r="AB155" s="93" t="s">
        <v>113</v>
      </c>
      <c r="AC155" s="94">
        <v>1560</v>
      </c>
      <c r="AD155" s="93" t="s">
        <v>113</v>
      </c>
      <c r="AE155" s="93" t="s">
        <v>113</v>
      </c>
      <c r="AF155" s="93" t="s">
        <v>113</v>
      </c>
      <c r="AG155" s="93" t="s">
        <v>113</v>
      </c>
      <c r="AH155" s="93" t="s">
        <v>113</v>
      </c>
      <c r="AI155" s="93" t="s">
        <v>113</v>
      </c>
      <c r="AJ155" s="93" t="s">
        <v>113</v>
      </c>
      <c r="AK155" s="93" t="s">
        <v>113</v>
      </c>
      <c r="AL155" s="93" t="s">
        <v>113</v>
      </c>
      <c r="AM155" s="93"/>
      <c r="AN155" s="93" t="s">
        <v>113</v>
      </c>
      <c r="AO155" s="93" t="s">
        <v>174</v>
      </c>
      <c r="AP155" s="94">
        <v>405</v>
      </c>
      <c r="AQ155" s="94" t="s">
        <v>100</v>
      </c>
      <c r="AR155" s="93">
        <v>405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</row>
    <row r="156" spans="1:61" s="6" customFormat="1" ht="16.5">
      <c r="A156" s="93">
        <v>434</v>
      </c>
      <c r="B156" s="93" t="s">
        <v>113</v>
      </c>
      <c r="C156" s="94">
        <v>93.94</v>
      </c>
      <c r="D156" s="94">
        <v>0</v>
      </c>
      <c r="E156" s="94">
        <v>0</v>
      </c>
      <c r="F156" s="94">
        <v>0</v>
      </c>
      <c r="G156" s="94">
        <v>0</v>
      </c>
      <c r="H156" s="94">
        <v>0</v>
      </c>
      <c r="I156" s="94">
        <v>0</v>
      </c>
      <c r="J156" s="94">
        <v>0</v>
      </c>
      <c r="K156" s="94">
        <v>6.0600000000000005</v>
      </c>
      <c r="L156" s="94">
        <v>0</v>
      </c>
      <c r="M156" s="74" t="str">
        <f t="array" ref="M156">_xlfn.TEXTJOIN("-", TRUE, IF(C156:L156&gt;0, $C$2:$L$2, ""))</f>
        <v xml:space="preserve"> Ti-Fe</v>
      </c>
      <c r="N156" s="90">
        <f t="shared" si="4"/>
        <v>155</v>
      </c>
      <c r="O156" s="91">
        <f t="shared" si="5"/>
        <v>2</v>
      </c>
      <c r="P156" s="94">
        <v>1</v>
      </c>
      <c r="Q156" s="95" t="s">
        <v>173</v>
      </c>
      <c r="R156" s="93">
        <v>0</v>
      </c>
      <c r="S156" s="93">
        <v>0</v>
      </c>
      <c r="T156" s="93">
        <v>0</v>
      </c>
      <c r="U156" s="93">
        <v>0</v>
      </c>
      <c r="V156" s="93">
        <v>0</v>
      </c>
      <c r="W156" s="93">
        <v>0</v>
      </c>
      <c r="X156" s="93">
        <v>0</v>
      </c>
      <c r="Y156" s="93">
        <v>0</v>
      </c>
      <c r="Z156" s="94">
        <v>130</v>
      </c>
      <c r="AA156" s="93" t="s">
        <v>113</v>
      </c>
      <c r="AB156" s="93" t="s">
        <v>113</v>
      </c>
      <c r="AC156" s="94">
        <v>1847</v>
      </c>
      <c r="AD156" s="93" t="s">
        <v>113</v>
      </c>
      <c r="AE156" s="93" t="s">
        <v>113</v>
      </c>
      <c r="AF156" s="93" t="s">
        <v>113</v>
      </c>
      <c r="AG156" s="93" t="s">
        <v>113</v>
      </c>
      <c r="AH156" s="93" t="s">
        <v>113</v>
      </c>
      <c r="AI156" s="93" t="s">
        <v>113</v>
      </c>
      <c r="AJ156" s="93" t="s">
        <v>113</v>
      </c>
      <c r="AK156" s="93" t="s">
        <v>113</v>
      </c>
      <c r="AL156" s="93" t="s">
        <v>113</v>
      </c>
      <c r="AM156" s="93"/>
      <c r="AN156" s="93" t="s">
        <v>113</v>
      </c>
      <c r="AO156" s="93" t="s">
        <v>174</v>
      </c>
      <c r="AP156" s="94">
        <v>434</v>
      </c>
      <c r="AQ156" s="94" t="s">
        <v>100</v>
      </c>
      <c r="AR156" s="93">
        <v>434</v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</row>
    <row r="157" spans="1:61" s="6" customFormat="1" ht="16.5">
      <c r="A157" s="9">
        <v>64</v>
      </c>
      <c r="B157"/>
      <c r="C157" s="9">
        <v>30</v>
      </c>
      <c r="D157">
        <v>0</v>
      </c>
      <c r="E157" s="9">
        <v>70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74" t="str">
        <f t="array" ref="M157">_xlfn.TEXTJOIN("-", TRUE, IF(C157:L157&gt;0, $C$2:$L$2, ""))</f>
        <v xml:space="preserve"> Ti-Zr</v>
      </c>
      <c r="N157" s="90">
        <f t="shared" si="4"/>
        <v>157</v>
      </c>
      <c r="O157" s="91">
        <f t="shared" si="5"/>
        <v>2</v>
      </c>
      <c r="P157"/>
      <c r="Q157"/>
      <c r="R157"/>
      <c r="S157"/>
      <c r="T157"/>
      <c r="U157"/>
      <c r="V157"/>
      <c r="W157"/>
      <c r="X157"/>
      <c r="Y157"/>
      <c r="Z157" s="9">
        <v>74.7</v>
      </c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s="94" t="s">
        <v>382</v>
      </c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 spans="1:61" s="6" customFormat="1" ht="16.5">
      <c r="A158" s="9">
        <v>72</v>
      </c>
      <c r="B158"/>
      <c r="C158" s="9">
        <v>91.53</v>
      </c>
      <c r="D158">
        <v>0</v>
      </c>
      <c r="E158" s="9">
        <v>8.4700000000000006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74" t="str">
        <f t="array" ref="M158">_xlfn.TEXTJOIN("-", TRUE, IF(C158:L158&gt;0, $C$2:$L$2, ""))</f>
        <v xml:space="preserve"> Ti-Zr</v>
      </c>
      <c r="N158" s="90">
        <f t="shared" si="4"/>
        <v>157</v>
      </c>
      <c r="O158" s="91">
        <f t="shared" si="5"/>
        <v>2</v>
      </c>
      <c r="P158"/>
      <c r="Q158"/>
      <c r="R158"/>
      <c r="S158"/>
      <c r="T158"/>
      <c r="U158"/>
      <c r="V158"/>
      <c r="W158"/>
      <c r="X158"/>
      <c r="Y158"/>
      <c r="Z158" s="9">
        <v>110.5</v>
      </c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 s="94" t="s">
        <v>382</v>
      </c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</row>
    <row r="159" spans="1:61" s="6" customFormat="1" ht="16.5">
      <c r="A159" s="9">
        <v>111</v>
      </c>
      <c r="B159"/>
      <c r="C159" s="9">
        <v>72.5</v>
      </c>
      <c r="D159">
        <v>0</v>
      </c>
      <c r="E159" s="9">
        <v>27.5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74" t="str">
        <f t="array" ref="M159">_xlfn.TEXTJOIN("-", TRUE, IF(C159:L159&gt;0, $C$2:$L$2, ""))</f>
        <v xml:space="preserve"> Ti-Zr</v>
      </c>
      <c r="N159" s="90">
        <f t="shared" si="4"/>
        <v>157</v>
      </c>
      <c r="O159" s="91">
        <f t="shared" si="5"/>
        <v>2</v>
      </c>
      <c r="P159"/>
      <c r="Q159"/>
      <c r="R159"/>
      <c r="S159"/>
      <c r="T159"/>
      <c r="U159"/>
      <c r="V159"/>
      <c r="W159"/>
      <c r="X159"/>
      <c r="Y159"/>
      <c r="Z159" s="9">
        <v>94.61</v>
      </c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 s="94" t="s">
        <v>382</v>
      </c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</row>
    <row r="160" spans="1:61" s="6" customFormat="1" ht="16.5">
      <c r="A160" s="7">
        <v>42</v>
      </c>
      <c r="C160" s="8">
        <v>59.47</v>
      </c>
      <c r="D160" s="8">
        <v>0</v>
      </c>
      <c r="E160" s="8">
        <v>1.53</v>
      </c>
      <c r="F160" s="8">
        <v>0</v>
      </c>
      <c r="G160" s="8">
        <v>0</v>
      </c>
      <c r="H160" s="8">
        <v>0</v>
      </c>
      <c r="I160" s="8">
        <v>39</v>
      </c>
      <c r="J160" s="8">
        <v>0</v>
      </c>
      <c r="K160" s="8">
        <v>0</v>
      </c>
      <c r="L160" s="8">
        <v>0</v>
      </c>
      <c r="M160" s="74" t="str">
        <f t="array" ref="M160">_xlfn.TEXTJOIN("-", TRUE, IF(C160:L160&gt;0, $C$2:$L$2, ""))</f>
        <v xml:space="preserve"> Ti-Zr-Nb</v>
      </c>
      <c r="N160" s="90">
        <f t="shared" si="4"/>
        <v>160</v>
      </c>
      <c r="O160" s="91">
        <f t="shared" si="5"/>
        <v>3</v>
      </c>
      <c r="P160" s="8">
        <v>2</v>
      </c>
      <c r="Q160" s="8">
        <v>0</v>
      </c>
      <c r="R160" s="8">
        <v>0</v>
      </c>
      <c r="S160" s="8">
        <v>0</v>
      </c>
      <c r="T160" s="8">
        <v>850</v>
      </c>
      <c r="U160" s="8">
        <v>1</v>
      </c>
      <c r="V160" s="8">
        <v>1</v>
      </c>
      <c r="W160" s="8">
        <v>0</v>
      </c>
      <c r="X160" s="8">
        <v>0</v>
      </c>
      <c r="Y160" s="8">
        <v>0</v>
      </c>
      <c r="AB160" s="8">
        <v>598.70000000000005</v>
      </c>
      <c r="AD160" s="8">
        <v>21.88</v>
      </c>
      <c r="AN160" s="6" t="s">
        <v>72</v>
      </c>
      <c r="AO160" s="6" t="s">
        <v>73</v>
      </c>
      <c r="AP160" s="6">
        <v>4</v>
      </c>
      <c r="AQ160" s="7" t="s">
        <v>54</v>
      </c>
      <c r="AR160" s="7">
        <v>42</v>
      </c>
    </row>
    <row r="161" spans="1:44" s="6" customFormat="1" ht="16.5">
      <c r="A161" s="7">
        <v>43</v>
      </c>
      <c r="C161" s="8">
        <v>58.24</v>
      </c>
      <c r="D161" s="8">
        <v>0</v>
      </c>
      <c r="E161" s="8">
        <v>3.04</v>
      </c>
      <c r="F161" s="8">
        <v>0</v>
      </c>
      <c r="G161" s="8">
        <v>0</v>
      </c>
      <c r="H161" s="8">
        <v>0</v>
      </c>
      <c r="I161" s="8">
        <v>38.72</v>
      </c>
      <c r="J161" s="8">
        <v>0</v>
      </c>
      <c r="K161" s="8">
        <v>0</v>
      </c>
      <c r="L161" s="8">
        <v>0</v>
      </c>
      <c r="M161" s="74" t="str">
        <f t="array" ref="M161">_xlfn.TEXTJOIN("-", TRUE, IF(C161:L161&gt;0, $C$2:$L$2, ""))</f>
        <v xml:space="preserve"> Ti-Zr-Nb</v>
      </c>
      <c r="N161" s="90">
        <f t="shared" si="4"/>
        <v>160</v>
      </c>
      <c r="O161" s="91">
        <f t="shared" si="5"/>
        <v>3</v>
      </c>
      <c r="P161" s="8">
        <v>2</v>
      </c>
      <c r="Q161" s="8">
        <v>0</v>
      </c>
      <c r="R161" s="8">
        <v>0</v>
      </c>
      <c r="S161" s="8">
        <v>0</v>
      </c>
      <c r="T161" s="8">
        <v>850</v>
      </c>
      <c r="U161" s="8">
        <v>1</v>
      </c>
      <c r="V161" s="8">
        <v>1</v>
      </c>
      <c r="W161" s="8">
        <v>0</v>
      </c>
      <c r="X161" s="8">
        <v>0</v>
      </c>
      <c r="Y161" s="8">
        <v>0</v>
      </c>
      <c r="AB161" s="8">
        <v>667.1</v>
      </c>
      <c r="AD161" s="8">
        <v>11.03</v>
      </c>
      <c r="AN161" s="6" t="s">
        <v>72</v>
      </c>
      <c r="AO161" s="6" t="s">
        <v>73</v>
      </c>
      <c r="AP161" s="6">
        <v>4</v>
      </c>
      <c r="AQ161" s="7" t="s">
        <v>54</v>
      </c>
      <c r="AR161" s="7">
        <v>43</v>
      </c>
    </row>
    <row r="162" spans="1:44" s="6" customFormat="1" ht="16.5">
      <c r="A162" s="7">
        <v>44</v>
      </c>
      <c r="C162" s="8">
        <v>57.03</v>
      </c>
      <c r="D162" s="8">
        <v>0</v>
      </c>
      <c r="E162" s="8">
        <v>4.53</v>
      </c>
      <c r="F162" s="8">
        <v>0</v>
      </c>
      <c r="G162" s="8">
        <v>0</v>
      </c>
      <c r="H162" s="8">
        <v>0</v>
      </c>
      <c r="I162" s="8">
        <v>38.44</v>
      </c>
      <c r="J162" s="8">
        <v>0</v>
      </c>
      <c r="K162" s="8">
        <v>0</v>
      </c>
      <c r="L162" s="8">
        <v>0</v>
      </c>
      <c r="M162" s="74" t="str">
        <f t="array" ref="M162">_xlfn.TEXTJOIN("-", TRUE, IF(C162:L162&gt;0, $C$2:$L$2, ""))</f>
        <v xml:space="preserve"> Ti-Zr-Nb</v>
      </c>
      <c r="N162" s="90">
        <f t="shared" si="4"/>
        <v>160</v>
      </c>
      <c r="O162" s="91">
        <f t="shared" si="5"/>
        <v>3</v>
      </c>
      <c r="P162" s="8">
        <v>2</v>
      </c>
      <c r="Q162" s="8">
        <v>0</v>
      </c>
      <c r="R162" s="8">
        <v>0</v>
      </c>
      <c r="S162" s="8">
        <v>0</v>
      </c>
      <c r="T162" s="8">
        <v>850</v>
      </c>
      <c r="U162" s="8">
        <v>1</v>
      </c>
      <c r="V162" s="8">
        <v>1</v>
      </c>
      <c r="W162" s="8">
        <v>0</v>
      </c>
      <c r="X162" s="8">
        <v>0</v>
      </c>
      <c r="Y162" s="8">
        <v>0</v>
      </c>
      <c r="AB162" s="8">
        <v>768.2</v>
      </c>
      <c r="AD162" s="8">
        <v>5.26</v>
      </c>
      <c r="AN162" s="6" t="s">
        <v>72</v>
      </c>
      <c r="AO162" s="6" t="s">
        <v>73</v>
      </c>
      <c r="AP162" s="6">
        <v>4</v>
      </c>
      <c r="AQ162" s="7" t="s">
        <v>54</v>
      </c>
      <c r="AR162" s="7">
        <v>44</v>
      </c>
    </row>
    <row r="163" spans="1:44" s="6" customFormat="1" ht="16.5">
      <c r="A163" s="7">
        <v>45</v>
      </c>
      <c r="C163" s="8">
        <v>55.84</v>
      </c>
      <c r="D163" s="8">
        <v>0</v>
      </c>
      <c r="E163" s="8">
        <v>6</v>
      </c>
      <c r="F163" s="8">
        <v>0</v>
      </c>
      <c r="G163" s="8">
        <v>0</v>
      </c>
      <c r="H163" s="8">
        <v>0</v>
      </c>
      <c r="I163" s="8">
        <v>38.159999999999997</v>
      </c>
      <c r="J163" s="8">
        <v>0</v>
      </c>
      <c r="K163" s="8">
        <v>0</v>
      </c>
      <c r="L163" s="8">
        <v>0</v>
      </c>
      <c r="M163" s="74" t="str">
        <f t="array" ref="M163">_xlfn.TEXTJOIN("-", TRUE, IF(C163:L163&gt;0, $C$2:$L$2, ""))</f>
        <v xml:space="preserve"> Ti-Zr-Nb</v>
      </c>
      <c r="N163" s="90">
        <f t="shared" si="4"/>
        <v>160</v>
      </c>
      <c r="O163" s="91">
        <f t="shared" si="5"/>
        <v>3</v>
      </c>
      <c r="P163" s="8">
        <v>2</v>
      </c>
      <c r="Q163" s="8">
        <v>0</v>
      </c>
      <c r="R163" s="8">
        <v>0</v>
      </c>
      <c r="S163" s="8">
        <v>0</v>
      </c>
      <c r="T163" s="8">
        <v>850</v>
      </c>
      <c r="U163" s="8">
        <v>1</v>
      </c>
      <c r="V163" s="8">
        <v>1</v>
      </c>
      <c r="W163" s="8">
        <v>0</v>
      </c>
      <c r="X163" s="8">
        <v>0</v>
      </c>
      <c r="Y163" s="8">
        <v>0</v>
      </c>
      <c r="AB163" s="8">
        <v>746.6</v>
      </c>
      <c r="AD163" s="8">
        <v>3.88</v>
      </c>
      <c r="AN163" s="6" t="s">
        <v>72</v>
      </c>
      <c r="AO163" s="6" t="s">
        <v>73</v>
      </c>
      <c r="AP163" s="6">
        <v>4</v>
      </c>
      <c r="AQ163" s="7" t="s">
        <v>54</v>
      </c>
      <c r="AR163" s="7">
        <v>45</v>
      </c>
    </row>
    <row r="164" spans="1:44" s="6" customFormat="1" ht="16.5">
      <c r="A164" s="7">
        <v>46</v>
      </c>
      <c r="C164" s="8">
        <v>53.5</v>
      </c>
      <c r="D164" s="8">
        <v>0</v>
      </c>
      <c r="E164" s="8">
        <v>8.8699999999999992</v>
      </c>
      <c r="F164" s="8">
        <v>0</v>
      </c>
      <c r="G164" s="8">
        <v>0</v>
      </c>
      <c r="H164" s="8">
        <v>0</v>
      </c>
      <c r="I164" s="8">
        <v>37.630000000000003</v>
      </c>
      <c r="J164" s="8">
        <v>0</v>
      </c>
      <c r="K164" s="8">
        <v>0</v>
      </c>
      <c r="L164" s="8">
        <v>0</v>
      </c>
      <c r="M164" s="74" t="str">
        <f t="array" ref="M164">_xlfn.TEXTJOIN("-", TRUE, IF(C164:L164&gt;0, $C$2:$L$2, ""))</f>
        <v xml:space="preserve"> Ti-Zr-Nb</v>
      </c>
      <c r="N164" s="90">
        <f t="shared" si="4"/>
        <v>160</v>
      </c>
      <c r="O164" s="91">
        <f t="shared" si="5"/>
        <v>3</v>
      </c>
      <c r="P164" s="8">
        <v>2</v>
      </c>
      <c r="Q164" s="8">
        <v>0</v>
      </c>
      <c r="R164" s="8">
        <v>0</v>
      </c>
      <c r="S164" s="8">
        <v>0</v>
      </c>
      <c r="T164" s="8">
        <v>850</v>
      </c>
      <c r="U164" s="8">
        <v>1</v>
      </c>
      <c r="V164" s="8">
        <v>1</v>
      </c>
      <c r="W164" s="8">
        <v>0</v>
      </c>
      <c r="X164" s="8">
        <v>0</v>
      </c>
      <c r="Y164" s="8">
        <v>0</v>
      </c>
      <c r="AB164" s="8">
        <v>655.29999999999995</v>
      </c>
      <c r="AD164" s="8">
        <v>8.0500000000000007</v>
      </c>
      <c r="AN164" s="6" t="s">
        <v>72</v>
      </c>
      <c r="AO164" s="6" t="s">
        <v>73</v>
      </c>
      <c r="AP164" s="6">
        <v>4</v>
      </c>
      <c r="AQ164" s="7" t="s">
        <v>54</v>
      </c>
      <c r="AR164" s="7">
        <v>46</v>
      </c>
    </row>
    <row r="165" spans="1:44" s="6" customFormat="1" ht="16.5">
      <c r="A165" s="7">
        <v>87</v>
      </c>
      <c r="C165" s="8">
        <v>62.04</v>
      </c>
      <c r="D165" s="8">
        <v>0</v>
      </c>
      <c r="E165" s="8">
        <v>3.11</v>
      </c>
      <c r="F165" s="8">
        <v>0</v>
      </c>
      <c r="G165" s="8">
        <v>0</v>
      </c>
      <c r="H165" s="8">
        <v>0</v>
      </c>
      <c r="I165" s="8">
        <v>34.85</v>
      </c>
      <c r="J165" s="8">
        <v>0</v>
      </c>
      <c r="K165" s="8">
        <v>0</v>
      </c>
      <c r="L165" s="8">
        <v>0</v>
      </c>
      <c r="M165" s="74" t="str">
        <f t="array" ref="M165">_xlfn.TEXTJOIN("-", TRUE, IF(C165:L165&gt;0, $C$2:$L$2, ""))</f>
        <v xml:space="preserve"> Ti-Zr-Nb</v>
      </c>
      <c r="N165" s="90">
        <f t="shared" si="4"/>
        <v>160</v>
      </c>
      <c r="O165" s="91">
        <f t="shared" si="5"/>
        <v>3</v>
      </c>
      <c r="P165" s="8">
        <v>1</v>
      </c>
      <c r="Q165" s="8">
        <v>1</v>
      </c>
      <c r="R165" s="8">
        <v>20</v>
      </c>
      <c r="S165" s="8">
        <v>95</v>
      </c>
      <c r="T165" s="8">
        <v>900</v>
      </c>
      <c r="U165" s="8">
        <v>0.5</v>
      </c>
      <c r="V165" s="8">
        <v>1</v>
      </c>
      <c r="W165" s="8">
        <v>0</v>
      </c>
      <c r="X165" s="8">
        <v>0</v>
      </c>
      <c r="Y165" s="8">
        <v>0</v>
      </c>
      <c r="AB165" s="8">
        <v>459</v>
      </c>
      <c r="AD165" s="8">
        <v>38.22</v>
      </c>
      <c r="AN165" s="6" t="s">
        <v>85</v>
      </c>
      <c r="AO165" s="6" t="s">
        <v>86</v>
      </c>
      <c r="AP165" s="6">
        <v>12</v>
      </c>
      <c r="AQ165" s="7" t="s">
        <v>54</v>
      </c>
      <c r="AR165" s="7">
        <v>87</v>
      </c>
    </row>
    <row r="166" spans="1:44" s="6" customFormat="1" ht="16.5">
      <c r="A166" s="7">
        <v>88</v>
      </c>
      <c r="C166" s="8">
        <v>59.52</v>
      </c>
      <c r="D166" s="8">
        <v>0</v>
      </c>
      <c r="E166" s="8">
        <v>6.13</v>
      </c>
      <c r="F166" s="8">
        <v>0</v>
      </c>
      <c r="G166" s="8">
        <v>0</v>
      </c>
      <c r="H166" s="8">
        <v>0</v>
      </c>
      <c r="I166" s="8">
        <v>34.35</v>
      </c>
      <c r="J166" s="8">
        <v>0</v>
      </c>
      <c r="K166" s="8">
        <v>0</v>
      </c>
      <c r="L166" s="8">
        <v>0</v>
      </c>
      <c r="M166" s="74" t="str">
        <f t="array" ref="M166">_xlfn.TEXTJOIN("-", TRUE, IF(C166:L166&gt;0, $C$2:$L$2, ""))</f>
        <v xml:space="preserve"> Ti-Zr-Nb</v>
      </c>
      <c r="N166" s="90">
        <f t="shared" si="4"/>
        <v>160</v>
      </c>
      <c r="O166" s="91">
        <f t="shared" si="5"/>
        <v>3</v>
      </c>
      <c r="P166" s="8">
        <v>1</v>
      </c>
      <c r="Q166" s="8">
        <v>1</v>
      </c>
      <c r="R166" s="8">
        <v>20</v>
      </c>
      <c r="S166" s="8">
        <v>95</v>
      </c>
      <c r="T166" s="8">
        <v>900</v>
      </c>
      <c r="U166" s="8">
        <v>0.5</v>
      </c>
      <c r="V166" s="8">
        <v>1</v>
      </c>
      <c r="W166" s="8">
        <v>0</v>
      </c>
      <c r="X166" s="8">
        <v>0</v>
      </c>
      <c r="Y166" s="8">
        <v>0</v>
      </c>
      <c r="AB166" s="8">
        <v>468</v>
      </c>
      <c r="AD166" s="8">
        <v>40.65</v>
      </c>
      <c r="AN166" s="6" t="s">
        <v>85</v>
      </c>
      <c r="AO166" s="6" t="s">
        <v>87</v>
      </c>
      <c r="AP166" s="6">
        <v>12</v>
      </c>
      <c r="AQ166" s="7" t="s">
        <v>54</v>
      </c>
      <c r="AR166" s="7">
        <v>88</v>
      </c>
    </row>
    <row r="167" spans="1:44" s="6" customFormat="1" ht="16.5">
      <c r="A167" s="7">
        <v>89</v>
      </c>
      <c r="C167" s="8">
        <v>57.08</v>
      </c>
      <c r="D167" s="8">
        <v>0</v>
      </c>
      <c r="E167" s="8">
        <v>9.07</v>
      </c>
      <c r="F167" s="8">
        <v>0</v>
      </c>
      <c r="G167" s="8">
        <v>0</v>
      </c>
      <c r="H167" s="8">
        <v>0</v>
      </c>
      <c r="I167" s="8">
        <v>33.85</v>
      </c>
      <c r="J167" s="8">
        <v>0</v>
      </c>
      <c r="K167" s="8">
        <v>0</v>
      </c>
      <c r="L167" s="8">
        <v>0</v>
      </c>
      <c r="M167" s="74" t="str">
        <f t="array" ref="M167">_xlfn.TEXTJOIN("-", TRUE, IF(C167:L167&gt;0, $C$2:$L$2, ""))</f>
        <v xml:space="preserve"> Ti-Zr-Nb</v>
      </c>
      <c r="N167" s="90">
        <f t="shared" si="4"/>
        <v>160</v>
      </c>
      <c r="O167" s="91">
        <f t="shared" si="5"/>
        <v>3</v>
      </c>
      <c r="P167" s="8">
        <v>1</v>
      </c>
      <c r="Q167" s="8">
        <v>1</v>
      </c>
      <c r="R167" s="8">
        <v>20</v>
      </c>
      <c r="S167" s="8">
        <v>95</v>
      </c>
      <c r="T167" s="8">
        <v>900</v>
      </c>
      <c r="U167" s="8">
        <v>0.5</v>
      </c>
      <c r="V167" s="8">
        <v>1</v>
      </c>
      <c r="W167" s="8">
        <v>0</v>
      </c>
      <c r="X167" s="8">
        <v>0</v>
      </c>
      <c r="Y167" s="8">
        <v>0</v>
      </c>
      <c r="AB167" s="8">
        <v>456</v>
      </c>
      <c r="AD167" s="8">
        <v>28.57</v>
      </c>
      <c r="AN167" s="6" t="s">
        <v>85</v>
      </c>
      <c r="AO167" s="6" t="s">
        <v>88</v>
      </c>
      <c r="AP167" s="6">
        <v>12</v>
      </c>
      <c r="AQ167" s="7" t="s">
        <v>54</v>
      </c>
      <c r="AR167" s="7">
        <v>89</v>
      </c>
    </row>
    <row r="168" spans="1:44" s="6" customFormat="1" ht="16.5">
      <c r="A168" s="7">
        <v>90</v>
      </c>
      <c r="C168" s="8">
        <v>54.71</v>
      </c>
      <c r="D168" s="8">
        <v>0</v>
      </c>
      <c r="E168" s="8">
        <v>11.92</v>
      </c>
      <c r="F168" s="8">
        <v>0</v>
      </c>
      <c r="G168" s="8">
        <v>0</v>
      </c>
      <c r="H168" s="8">
        <v>0</v>
      </c>
      <c r="I168" s="8">
        <v>33.369999999999997</v>
      </c>
      <c r="J168" s="8">
        <v>0</v>
      </c>
      <c r="K168" s="8">
        <v>0</v>
      </c>
      <c r="L168" s="8">
        <v>0</v>
      </c>
      <c r="M168" s="74" t="str">
        <f t="array" ref="M168">_xlfn.TEXTJOIN("-", TRUE, IF(C168:L168&gt;0, $C$2:$L$2, ""))</f>
        <v xml:space="preserve"> Ti-Zr-Nb</v>
      </c>
      <c r="N168" s="90">
        <f t="shared" si="4"/>
        <v>160</v>
      </c>
      <c r="O168" s="91">
        <f t="shared" si="5"/>
        <v>3</v>
      </c>
      <c r="P168" s="8">
        <v>1</v>
      </c>
      <c r="Q168" s="8">
        <v>1</v>
      </c>
      <c r="R168" s="8">
        <v>20</v>
      </c>
      <c r="S168" s="8">
        <v>95</v>
      </c>
      <c r="T168" s="8">
        <v>900</v>
      </c>
      <c r="U168" s="8">
        <v>0.5</v>
      </c>
      <c r="V168" s="8">
        <v>1</v>
      </c>
      <c r="W168" s="8">
        <v>0</v>
      </c>
      <c r="X168" s="8">
        <v>0</v>
      </c>
      <c r="Y168" s="8">
        <v>0</v>
      </c>
      <c r="AB168" s="8">
        <v>480</v>
      </c>
      <c r="AD168" s="8">
        <v>27.6</v>
      </c>
      <c r="AN168" s="6" t="s">
        <v>85</v>
      </c>
      <c r="AO168" s="6" t="s">
        <v>89</v>
      </c>
      <c r="AP168" s="6">
        <v>12</v>
      </c>
      <c r="AQ168" s="7" t="s">
        <v>54</v>
      </c>
      <c r="AR168" s="7">
        <v>90</v>
      </c>
    </row>
    <row r="169" spans="1:44" s="6" customFormat="1" ht="16.5">
      <c r="A169" s="7">
        <v>122</v>
      </c>
      <c r="C169" s="8">
        <v>74</v>
      </c>
      <c r="D169" s="8">
        <v>0</v>
      </c>
      <c r="E169" s="8">
        <v>13</v>
      </c>
      <c r="F169" s="8">
        <v>0</v>
      </c>
      <c r="G169" s="8">
        <v>0</v>
      </c>
      <c r="H169" s="8">
        <v>0</v>
      </c>
      <c r="I169" s="8">
        <v>13</v>
      </c>
      <c r="J169" s="8">
        <v>0</v>
      </c>
      <c r="K169" s="8">
        <v>0</v>
      </c>
      <c r="L169" s="8">
        <v>0</v>
      </c>
      <c r="M169" s="74" t="str">
        <f t="array" ref="M169">_xlfn.TEXTJOIN("-", TRUE, IF(C169:L169&gt;0, $C$2:$L$2, ""))</f>
        <v xml:space="preserve"> Ti-Zr-Nb</v>
      </c>
      <c r="N169" s="90">
        <f t="shared" si="4"/>
        <v>160</v>
      </c>
      <c r="O169" s="91">
        <f t="shared" si="5"/>
        <v>3</v>
      </c>
      <c r="P169" s="8">
        <v>1</v>
      </c>
      <c r="Q169" s="8">
        <v>1</v>
      </c>
      <c r="R169" s="8">
        <v>800</v>
      </c>
      <c r="S169" s="8">
        <v>35</v>
      </c>
      <c r="T169" s="8">
        <v>800</v>
      </c>
      <c r="U169" s="8">
        <v>1</v>
      </c>
      <c r="V169" s="8">
        <v>3</v>
      </c>
      <c r="W169" s="8">
        <v>0</v>
      </c>
      <c r="X169" s="8">
        <v>0</v>
      </c>
      <c r="Y169" s="8">
        <v>0</v>
      </c>
      <c r="AB169" s="8">
        <v>732</v>
      </c>
      <c r="AC169" s="8"/>
      <c r="AD169" s="8">
        <v>16.25</v>
      </c>
      <c r="AN169" s="6" t="s">
        <v>90</v>
      </c>
      <c r="AO169" s="6" t="s">
        <v>91</v>
      </c>
      <c r="AP169" s="6">
        <v>22</v>
      </c>
      <c r="AQ169" s="7" t="s">
        <v>54</v>
      </c>
      <c r="AR169" s="7">
        <v>122</v>
      </c>
    </row>
    <row r="170" spans="1:44" s="6" customFormat="1" ht="16.5">
      <c r="A170" s="7">
        <v>123</v>
      </c>
      <c r="C170" s="8">
        <v>74</v>
      </c>
      <c r="D170" s="8">
        <v>0</v>
      </c>
      <c r="E170" s="8">
        <v>13</v>
      </c>
      <c r="F170" s="8">
        <v>0</v>
      </c>
      <c r="G170" s="8">
        <v>0</v>
      </c>
      <c r="H170" s="8">
        <v>0</v>
      </c>
      <c r="I170" s="8">
        <v>13</v>
      </c>
      <c r="J170" s="8">
        <v>0</v>
      </c>
      <c r="K170" s="8">
        <v>0</v>
      </c>
      <c r="L170" s="8">
        <v>0</v>
      </c>
      <c r="M170" s="74" t="str">
        <f t="array" ref="M170">_xlfn.TEXTJOIN("-", TRUE, IF(C170:L170&gt;0, $C$2:$L$2, ""))</f>
        <v xml:space="preserve"> Ti-Zr-Nb</v>
      </c>
      <c r="N170" s="90">
        <f t="shared" si="4"/>
        <v>160</v>
      </c>
      <c r="O170" s="91">
        <f t="shared" si="5"/>
        <v>3</v>
      </c>
      <c r="P170" s="8">
        <v>1</v>
      </c>
      <c r="Q170" s="8">
        <v>1</v>
      </c>
      <c r="R170" s="8">
        <v>800</v>
      </c>
      <c r="S170" s="8">
        <v>35</v>
      </c>
      <c r="T170" s="8">
        <v>800</v>
      </c>
      <c r="U170" s="8">
        <v>1</v>
      </c>
      <c r="V170" s="8">
        <v>2</v>
      </c>
      <c r="W170" s="8">
        <v>0</v>
      </c>
      <c r="X170" s="8">
        <v>0</v>
      </c>
      <c r="Y170" s="8">
        <v>0</v>
      </c>
      <c r="AB170" s="8">
        <v>773</v>
      </c>
      <c r="AC170" s="8"/>
      <c r="AD170" s="8">
        <v>12.24</v>
      </c>
      <c r="AN170" s="6" t="s">
        <v>90</v>
      </c>
      <c r="AO170" s="6" t="s">
        <v>91</v>
      </c>
      <c r="AP170" s="6">
        <v>22</v>
      </c>
      <c r="AQ170" s="7" t="s">
        <v>54</v>
      </c>
      <c r="AR170" s="7">
        <v>123</v>
      </c>
    </row>
    <row r="171" spans="1:44" s="6" customFormat="1" ht="16.5">
      <c r="A171" s="7">
        <v>124</v>
      </c>
      <c r="C171" s="8">
        <v>74</v>
      </c>
      <c r="D171" s="8">
        <v>0</v>
      </c>
      <c r="E171" s="8">
        <v>13</v>
      </c>
      <c r="F171" s="8">
        <v>0</v>
      </c>
      <c r="G171" s="8">
        <v>0</v>
      </c>
      <c r="H171" s="8">
        <v>0</v>
      </c>
      <c r="I171" s="8">
        <v>13</v>
      </c>
      <c r="J171" s="8">
        <v>0</v>
      </c>
      <c r="K171" s="8">
        <v>0</v>
      </c>
      <c r="L171" s="8">
        <v>0</v>
      </c>
      <c r="M171" s="74" t="str">
        <f t="array" ref="M171">_xlfn.TEXTJOIN("-", TRUE, IF(C171:L171&gt;0, $C$2:$L$2, ""))</f>
        <v xml:space="preserve"> Ti-Zr-Nb</v>
      </c>
      <c r="N171" s="90">
        <f t="shared" si="4"/>
        <v>160</v>
      </c>
      <c r="O171" s="91">
        <f t="shared" si="5"/>
        <v>3</v>
      </c>
      <c r="P171" s="8">
        <v>1</v>
      </c>
      <c r="Q171" s="8">
        <v>1</v>
      </c>
      <c r="R171" s="8">
        <v>800</v>
      </c>
      <c r="S171" s="8">
        <v>35</v>
      </c>
      <c r="T171" s="8">
        <v>800</v>
      </c>
      <c r="U171" s="8">
        <v>1</v>
      </c>
      <c r="V171" s="8">
        <v>1</v>
      </c>
      <c r="W171" s="8">
        <v>0</v>
      </c>
      <c r="X171" s="8">
        <v>0</v>
      </c>
      <c r="Y171" s="8">
        <v>0</v>
      </c>
      <c r="AB171" s="8">
        <v>743</v>
      </c>
      <c r="AC171" s="8"/>
      <c r="AD171" s="8">
        <v>20.23</v>
      </c>
      <c r="AN171" s="6" t="s">
        <v>90</v>
      </c>
      <c r="AO171" s="6" t="s">
        <v>91</v>
      </c>
      <c r="AP171" s="6">
        <v>22</v>
      </c>
      <c r="AQ171" s="7" t="s">
        <v>54</v>
      </c>
      <c r="AR171" s="7">
        <v>124</v>
      </c>
    </row>
    <row r="172" spans="1:44" s="6" customFormat="1" ht="16.5">
      <c r="A172" s="7">
        <v>125</v>
      </c>
      <c r="C172" s="8">
        <v>74</v>
      </c>
      <c r="D172" s="8">
        <v>0</v>
      </c>
      <c r="E172" s="8">
        <v>13</v>
      </c>
      <c r="F172" s="8">
        <v>0</v>
      </c>
      <c r="G172" s="8">
        <v>0</v>
      </c>
      <c r="H172" s="8">
        <v>0</v>
      </c>
      <c r="I172" s="8">
        <v>13</v>
      </c>
      <c r="J172" s="8">
        <v>0</v>
      </c>
      <c r="K172" s="8">
        <v>0</v>
      </c>
      <c r="L172" s="8">
        <v>0</v>
      </c>
      <c r="M172" s="74" t="str">
        <f t="array" ref="M172">_xlfn.TEXTJOIN("-", TRUE, IF(C172:L172&gt;0, $C$2:$L$2, ""))</f>
        <v xml:space="preserve"> Ti-Zr-Nb</v>
      </c>
      <c r="N172" s="90">
        <f t="shared" si="4"/>
        <v>160</v>
      </c>
      <c r="O172" s="91">
        <f t="shared" si="5"/>
        <v>3</v>
      </c>
      <c r="P172" s="8">
        <v>1</v>
      </c>
      <c r="Q172" s="8">
        <v>1</v>
      </c>
      <c r="R172" s="8">
        <v>800</v>
      </c>
      <c r="S172" s="8">
        <v>35</v>
      </c>
      <c r="T172" s="8">
        <v>800</v>
      </c>
      <c r="U172" s="8">
        <v>1</v>
      </c>
      <c r="V172" s="8">
        <v>1</v>
      </c>
      <c r="W172" s="8">
        <v>500</v>
      </c>
      <c r="X172" s="8">
        <v>5</v>
      </c>
      <c r="Y172" s="8">
        <v>1</v>
      </c>
      <c r="AB172" s="8">
        <v>1047</v>
      </c>
      <c r="AC172" s="8"/>
      <c r="AD172" s="8">
        <v>4.26</v>
      </c>
      <c r="AN172" s="6" t="s">
        <v>90</v>
      </c>
      <c r="AO172" s="6" t="s">
        <v>91</v>
      </c>
      <c r="AP172" s="6">
        <v>22</v>
      </c>
      <c r="AQ172" s="7" t="s">
        <v>54</v>
      </c>
      <c r="AR172" s="7">
        <v>125</v>
      </c>
    </row>
    <row r="173" spans="1:44" s="6" customFormat="1" ht="16.5">
      <c r="A173" s="7">
        <v>126</v>
      </c>
      <c r="C173" s="8">
        <v>74</v>
      </c>
      <c r="D173" s="8">
        <v>0</v>
      </c>
      <c r="E173" s="8">
        <v>13</v>
      </c>
      <c r="F173" s="8">
        <v>0</v>
      </c>
      <c r="G173" s="8">
        <v>0</v>
      </c>
      <c r="H173" s="8">
        <v>0</v>
      </c>
      <c r="I173" s="8">
        <v>13</v>
      </c>
      <c r="J173" s="8">
        <v>0</v>
      </c>
      <c r="K173" s="8">
        <v>0</v>
      </c>
      <c r="L173" s="8">
        <v>0</v>
      </c>
      <c r="M173" s="74" t="str">
        <f t="array" ref="M173">_xlfn.TEXTJOIN("-", TRUE, IF(C173:L173&gt;0, $C$2:$L$2, ""))</f>
        <v xml:space="preserve"> Ti-Zr-Nb</v>
      </c>
      <c r="N173" s="90">
        <f t="shared" si="4"/>
        <v>160</v>
      </c>
      <c r="O173" s="91">
        <f t="shared" si="5"/>
        <v>3</v>
      </c>
      <c r="P173" s="8">
        <v>1</v>
      </c>
      <c r="Q173" s="8">
        <v>1</v>
      </c>
      <c r="R173" s="8">
        <v>800</v>
      </c>
      <c r="S173" s="8">
        <v>35</v>
      </c>
      <c r="T173" s="8">
        <v>650</v>
      </c>
      <c r="U173" s="8">
        <v>1</v>
      </c>
      <c r="V173" s="8">
        <v>3</v>
      </c>
      <c r="W173" s="8">
        <v>0</v>
      </c>
      <c r="X173" s="8">
        <v>0</v>
      </c>
      <c r="Y173" s="8">
        <v>0</v>
      </c>
      <c r="AB173" s="8">
        <v>791</v>
      </c>
      <c r="AC173" s="8"/>
      <c r="AD173" s="8">
        <v>11.11</v>
      </c>
      <c r="AN173" s="6" t="s">
        <v>90</v>
      </c>
      <c r="AO173" s="6" t="s">
        <v>91</v>
      </c>
      <c r="AP173" s="6">
        <v>22</v>
      </c>
      <c r="AQ173" s="7" t="s">
        <v>54</v>
      </c>
      <c r="AR173" s="7">
        <v>126</v>
      </c>
    </row>
    <row r="174" spans="1:44" s="6" customFormat="1" ht="16.5">
      <c r="A174" s="7">
        <v>127</v>
      </c>
      <c r="C174" s="8">
        <v>74</v>
      </c>
      <c r="D174" s="8">
        <v>0</v>
      </c>
      <c r="E174" s="8">
        <v>13</v>
      </c>
      <c r="F174" s="8">
        <v>0</v>
      </c>
      <c r="G174" s="8">
        <v>0</v>
      </c>
      <c r="H174" s="8">
        <v>0</v>
      </c>
      <c r="I174" s="8">
        <v>13</v>
      </c>
      <c r="J174" s="8">
        <v>0</v>
      </c>
      <c r="K174" s="8">
        <v>0</v>
      </c>
      <c r="L174" s="8">
        <v>0</v>
      </c>
      <c r="M174" s="74" t="str">
        <f t="array" ref="M174">_xlfn.TEXTJOIN("-", TRUE, IF(C174:L174&gt;0, $C$2:$L$2, ""))</f>
        <v xml:space="preserve"> Ti-Zr-Nb</v>
      </c>
      <c r="N174" s="90">
        <f t="shared" si="4"/>
        <v>160</v>
      </c>
      <c r="O174" s="91">
        <f t="shared" si="5"/>
        <v>3</v>
      </c>
      <c r="P174" s="8">
        <v>1</v>
      </c>
      <c r="Q174" s="8">
        <v>1</v>
      </c>
      <c r="R174" s="8">
        <v>800</v>
      </c>
      <c r="S174" s="8">
        <v>35</v>
      </c>
      <c r="T174" s="8">
        <v>650</v>
      </c>
      <c r="U174" s="8">
        <v>1</v>
      </c>
      <c r="V174" s="8">
        <v>2</v>
      </c>
      <c r="W174" s="8">
        <v>0</v>
      </c>
      <c r="X174" s="8">
        <v>0</v>
      </c>
      <c r="Y174" s="8">
        <v>0</v>
      </c>
      <c r="AB174" s="8">
        <v>871</v>
      </c>
      <c r="AC174" s="8"/>
      <c r="AD174" s="8">
        <v>11.15</v>
      </c>
      <c r="AN174" s="6" t="s">
        <v>90</v>
      </c>
      <c r="AO174" s="6" t="s">
        <v>91</v>
      </c>
      <c r="AP174" s="6">
        <v>22</v>
      </c>
      <c r="AQ174" s="7" t="s">
        <v>54</v>
      </c>
      <c r="AR174" s="7">
        <v>127</v>
      </c>
    </row>
    <row r="175" spans="1:44" s="6" customFormat="1" ht="16.5">
      <c r="A175" s="7">
        <v>128</v>
      </c>
      <c r="C175" s="8">
        <v>74</v>
      </c>
      <c r="D175" s="8">
        <v>0</v>
      </c>
      <c r="E175" s="8">
        <v>13</v>
      </c>
      <c r="F175" s="8">
        <v>0</v>
      </c>
      <c r="G175" s="8">
        <v>0</v>
      </c>
      <c r="H175" s="8">
        <v>0</v>
      </c>
      <c r="I175" s="8">
        <v>13</v>
      </c>
      <c r="J175" s="8">
        <v>0</v>
      </c>
      <c r="K175" s="8">
        <v>0</v>
      </c>
      <c r="L175" s="8">
        <v>0</v>
      </c>
      <c r="M175" s="74" t="str">
        <f t="array" ref="M175">_xlfn.TEXTJOIN("-", TRUE, IF(C175:L175&gt;0, $C$2:$L$2, ""))</f>
        <v xml:space="preserve"> Ti-Zr-Nb</v>
      </c>
      <c r="N175" s="90">
        <f t="shared" si="4"/>
        <v>160</v>
      </c>
      <c r="O175" s="91">
        <f t="shared" si="5"/>
        <v>3</v>
      </c>
      <c r="P175" s="8">
        <v>1</v>
      </c>
      <c r="Q175" s="8">
        <v>1</v>
      </c>
      <c r="R175" s="8">
        <v>800</v>
      </c>
      <c r="S175" s="8">
        <v>35</v>
      </c>
      <c r="T175" s="8">
        <v>650</v>
      </c>
      <c r="U175" s="8">
        <v>1</v>
      </c>
      <c r="V175" s="8">
        <v>1</v>
      </c>
      <c r="W175" s="8">
        <v>0</v>
      </c>
      <c r="X175" s="8">
        <v>0</v>
      </c>
      <c r="Y175" s="8">
        <v>0</v>
      </c>
      <c r="AB175" s="8">
        <v>807</v>
      </c>
      <c r="AC175" s="8"/>
      <c r="AD175" s="8">
        <v>16.989999999999998</v>
      </c>
      <c r="AN175" s="6" t="s">
        <v>90</v>
      </c>
      <c r="AO175" s="6" t="s">
        <v>91</v>
      </c>
      <c r="AP175" s="6">
        <v>22</v>
      </c>
      <c r="AQ175" s="7" t="s">
        <v>54</v>
      </c>
      <c r="AR175" s="7">
        <v>128</v>
      </c>
    </row>
    <row r="176" spans="1:44" s="6" customFormat="1" ht="16.5">
      <c r="A176" s="7">
        <v>129</v>
      </c>
      <c r="C176" s="8">
        <v>74</v>
      </c>
      <c r="D176" s="8">
        <v>0</v>
      </c>
      <c r="E176" s="8">
        <v>13</v>
      </c>
      <c r="F176" s="8">
        <v>0</v>
      </c>
      <c r="G176" s="8">
        <v>0</v>
      </c>
      <c r="H176" s="8">
        <v>0</v>
      </c>
      <c r="I176" s="8">
        <v>13</v>
      </c>
      <c r="J176" s="8">
        <v>0</v>
      </c>
      <c r="K176" s="8">
        <v>0</v>
      </c>
      <c r="L176" s="8">
        <v>0</v>
      </c>
      <c r="M176" s="74" t="str">
        <f t="array" ref="M176">_xlfn.TEXTJOIN("-", TRUE, IF(C176:L176&gt;0, $C$2:$L$2, ""))</f>
        <v xml:space="preserve"> Ti-Zr-Nb</v>
      </c>
      <c r="N176" s="90">
        <f t="shared" si="4"/>
        <v>160</v>
      </c>
      <c r="O176" s="91">
        <f t="shared" si="5"/>
        <v>3</v>
      </c>
      <c r="P176" s="8">
        <v>1</v>
      </c>
      <c r="Q176" s="8">
        <v>1</v>
      </c>
      <c r="R176" s="8">
        <v>800</v>
      </c>
      <c r="S176" s="8">
        <v>35</v>
      </c>
      <c r="T176" s="8">
        <v>650</v>
      </c>
      <c r="U176" s="8">
        <v>1</v>
      </c>
      <c r="V176" s="8">
        <v>1</v>
      </c>
      <c r="W176" s="8">
        <v>500</v>
      </c>
      <c r="X176" s="8">
        <v>5</v>
      </c>
      <c r="Y176" s="8">
        <v>1</v>
      </c>
      <c r="AB176" s="8">
        <v>881</v>
      </c>
      <c r="AC176" s="8"/>
      <c r="AD176" s="8">
        <v>8.34</v>
      </c>
      <c r="AN176" s="6" t="s">
        <v>90</v>
      </c>
      <c r="AO176" s="6" t="s">
        <v>91</v>
      </c>
      <c r="AP176" s="6">
        <v>22</v>
      </c>
      <c r="AQ176" s="7" t="s">
        <v>54</v>
      </c>
      <c r="AR176" s="7">
        <v>129</v>
      </c>
    </row>
    <row r="177" spans="1:61" s="6" customFormat="1" ht="16.5">
      <c r="A177" s="7">
        <v>130</v>
      </c>
      <c r="C177" s="8">
        <v>74</v>
      </c>
      <c r="D177" s="8">
        <v>0</v>
      </c>
      <c r="E177" s="8">
        <v>13</v>
      </c>
      <c r="F177" s="8">
        <v>0</v>
      </c>
      <c r="G177" s="8">
        <v>0</v>
      </c>
      <c r="H177" s="8">
        <v>0</v>
      </c>
      <c r="I177" s="8">
        <v>13</v>
      </c>
      <c r="J177" s="8">
        <v>0</v>
      </c>
      <c r="K177" s="8">
        <v>0</v>
      </c>
      <c r="L177" s="8">
        <v>0</v>
      </c>
      <c r="M177" s="74" t="str">
        <f t="array" ref="M177">_xlfn.TEXTJOIN("-", TRUE, IF(C177:L177&gt;0, $C$2:$L$2, ""))</f>
        <v xml:space="preserve"> Ti-Zr-Nb</v>
      </c>
      <c r="N177" s="90">
        <f t="shared" si="4"/>
        <v>160</v>
      </c>
      <c r="O177" s="91">
        <f t="shared" si="5"/>
        <v>3</v>
      </c>
      <c r="P177" s="8">
        <v>1</v>
      </c>
      <c r="Q177" s="8">
        <v>1</v>
      </c>
      <c r="R177" s="8">
        <v>650</v>
      </c>
      <c r="S177" s="8">
        <v>35</v>
      </c>
      <c r="T177" s="8">
        <v>700</v>
      </c>
      <c r="U177" s="8">
        <v>1</v>
      </c>
      <c r="V177" s="8">
        <v>3</v>
      </c>
      <c r="W177" s="8">
        <v>0</v>
      </c>
      <c r="X177" s="8">
        <v>0</v>
      </c>
      <c r="Y177" s="8">
        <v>0</v>
      </c>
      <c r="AB177" s="8">
        <v>814</v>
      </c>
      <c r="AC177" s="8"/>
      <c r="AD177" s="8">
        <v>19.489999999999998</v>
      </c>
      <c r="AN177" s="6" t="s">
        <v>90</v>
      </c>
      <c r="AO177" s="6" t="s">
        <v>91</v>
      </c>
      <c r="AP177" s="6">
        <v>22</v>
      </c>
      <c r="AQ177" s="7" t="s">
        <v>54</v>
      </c>
      <c r="AR177" s="7">
        <v>130</v>
      </c>
    </row>
    <row r="178" spans="1:61" s="6" customFormat="1" ht="16.5">
      <c r="A178" s="7">
        <v>131</v>
      </c>
      <c r="C178" s="8">
        <v>74</v>
      </c>
      <c r="D178" s="8">
        <v>0</v>
      </c>
      <c r="E178" s="8">
        <v>13</v>
      </c>
      <c r="F178" s="8">
        <v>0</v>
      </c>
      <c r="G178" s="8">
        <v>0</v>
      </c>
      <c r="H178" s="8">
        <v>0</v>
      </c>
      <c r="I178" s="8">
        <v>13</v>
      </c>
      <c r="J178" s="8">
        <v>0</v>
      </c>
      <c r="K178" s="8">
        <v>0</v>
      </c>
      <c r="L178" s="8">
        <v>0</v>
      </c>
      <c r="M178" s="74" t="str">
        <f t="array" ref="M178">_xlfn.TEXTJOIN("-", TRUE, IF(C178:L178&gt;0, $C$2:$L$2, ""))</f>
        <v xml:space="preserve"> Ti-Zr-Nb</v>
      </c>
      <c r="N178" s="90">
        <f t="shared" si="4"/>
        <v>160</v>
      </c>
      <c r="O178" s="91">
        <f t="shared" si="5"/>
        <v>3</v>
      </c>
      <c r="P178" s="8">
        <v>1</v>
      </c>
      <c r="Q178" s="8">
        <v>1</v>
      </c>
      <c r="R178" s="8">
        <v>650</v>
      </c>
      <c r="S178" s="8">
        <v>35</v>
      </c>
      <c r="T178" s="8">
        <v>700</v>
      </c>
      <c r="U178" s="8">
        <v>1</v>
      </c>
      <c r="V178" s="8">
        <v>2</v>
      </c>
      <c r="W178" s="8">
        <v>0</v>
      </c>
      <c r="X178" s="8">
        <v>0</v>
      </c>
      <c r="Y178" s="8">
        <v>0</v>
      </c>
      <c r="AB178" s="8">
        <v>876</v>
      </c>
      <c r="AC178" s="8"/>
      <c r="AD178" s="8">
        <v>15.45</v>
      </c>
      <c r="AN178" s="6" t="s">
        <v>90</v>
      </c>
      <c r="AO178" s="6" t="s">
        <v>91</v>
      </c>
      <c r="AP178" s="6">
        <v>22</v>
      </c>
      <c r="AQ178" s="7" t="s">
        <v>54</v>
      </c>
      <c r="AR178" s="7">
        <v>131</v>
      </c>
    </row>
    <row r="179" spans="1:61" s="6" customFormat="1" ht="16.5">
      <c r="A179" s="7">
        <v>132</v>
      </c>
      <c r="C179" s="8">
        <v>74</v>
      </c>
      <c r="D179" s="8">
        <v>0</v>
      </c>
      <c r="E179" s="8">
        <v>13</v>
      </c>
      <c r="F179" s="8">
        <v>0</v>
      </c>
      <c r="G179" s="8">
        <v>0</v>
      </c>
      <c r="H179" s="8">
        <v>0</v>
      </c>
      <c r="I179" s="8">
        <v>13</v>
      </c>
      <c r="J179" s="8">
        <v>0</v>
      </c>
      <c r="K179" s="8">
        <v>0</v>
      </c>
      <c r="L179" s="8">
        <v>0</v>
      </c>
      <c r="M179" s="74" t="str">
        <f t="array" ref="M179">_xlfn.TEXTJOIN("-", TRUE, IF(C179:L179&gt;0, $C$2:$L$2, ""))</f>
        <v xml:space="preserve"> Ti-Zr-Nb</v>
      </c>
      <c r="N179" s="90">
        <f t="shared" si="4"/>
        <v>160</v>
      </c>
      <c r="O179" s="91">
        <f t="shared" si="5"/>
        <v>3</v>
      </c>
      <c r="P179" s="8">
        <v>1</v>
      </c>
      <c r="Q179" s="8">
        <v>1</v>
      </c>
      <c r="R179" s="8">
        <v>650</v>
      </c>
      <c r="S179" s="8">
        <v>35</v>
      </c>
      <c r="T179" s="8">
        <v>700</v>
      </c>
      <c r="U179" s="8">
        <v>1</v>
      </c>
      <c r="V179" s="8">
        <v>1</v>
      </c>
      <c r="W179" s="8">
        <v>0</v>
      </c>
      <c r="X179" s="8">
        <v>0</v>
      </c>
      <c r="Y179" s="8">
        <v>0</v>
      </c>
      <c r="AB179" s="8">
        <v>804</v>
      </c>
      <c r="AC179" s="8"/>
      <c r="AD179" s="8">
        <v>20.2</v>
      </c>
      <c r="AN179" s="6" t="s">
        <v>90</v>
      </c>
      <c r="AO179" s="6" t="s">
        <v>91</v>
      </c>
      <c r="AP179" s="6">
        <v>22</v>
      </c>
      <c r="AQ179" s="7" t="s">
        <v>54</v>
      </c>
      <c r="AR179" s="7">
        <v>132</v>
      </c>
    </row>
    <row r="180" spans="1:61" s="6" customFormat="1" ht="16.5">
      <c r="A180" s="7">
        <v>133</v>
      </c>
      <c r="C180" s="8">
        <v>74</v>
      </c>
      <c r="D180" s="8">
        <v>0</v>
      </c>
      <c r="E180" s="8">
        <v>13</v>
      </c>
      <c r="F180" s="8">
        <v>0</v>
      </c>
      <c r="G180" s="8">
        <v>0</v>
      </c>
      <c r="H180" s="8">
        <v>0</v>
      </c>
      <c r="I180" s="8">
        <v>13</v>
      </c>
      <c r="J180" s="8">
        <v>0</v>
      </c>
      <c r="K180" s="8">
        <v>0</v>
      </c>
      <c r="L180" s="8">
        <v>0</v>
      </c>
      <c r="M180" s="74" t="str">
        <f t="array" ref="M180">_xlfn.TEXTJOIN("-", TRUE, IF(C180:L180&gt;0, $C$2:$L$2, ""))</f>
        <v xml:space="preserve"> Ti-Zr-Nb</v>
      </c>
      <c r="N180" s="90">
        <f t="shared" si="4"/>
        <v>160</v>
      </c>
      <c r="O180" s="91">
        <f t="shared" si="5"/>
        <v>3</v>
      </c>
      <c r="P180" s="8">
        <v>1</v>
      </c>
      <c r="Q180" s="8">
        <v>1</v>
      </c>
      <c r="R180" s="8">
        <v>650</v>
      </c>
      <c r="S180" s="8">
        <v>35</v>
      </c>
      <c r="T180" s="8">
        <v>700</v>
      </c>
      <c r="U180" s="8">
        <v>1</v>
      </c>
      <c r="V180" s="8">
        <v>1</v>
      </c>
      <c r="W180" s="8">
        <v>500</v>
      </c>
      <c r="X180" s="8">
        <v>5</v>
      </c>
      <c r="Y180" s="8">
        <v>1</v>
      </c>
      <c r="AB180" s="8">
        <v>1000</v>
      </c>
      <c r="AC180" s="8"/>
      <c r="AD180" s="8">
        <v>11.83</v>
      </c>
      <c r="AN180" s="6" t="s">
        <v>90</v>
      </c>
      <c r="AO180" s="6" t="s">
        <v>91</v>
      </c>
      <c r="AP180" s="6">
        <v>22</v>
      </c>
      <c r="AQ180" s="7" t="s">
        <v>54</v>
      </c>
      <c r="AR180" s="7">
        <v>133</v>
      </c>
    </row>
    <row r="181" spans="1:61" s="6" customFormat="1" ht="16.5">
      <c r="A181" s="7">
        <v>134</v>
      </c>
      <c r="C181" s="8">
        <v>74</v>
      </c>
      <c r="D181" s="8">
        <v>0</v>
      </c>
      <c r="E181" s="8">
        <v>13</v>
      </c>
      <c r="F181" s="8">
        <v>0</v>
      </c>
      <c r="G181" s="8">
        <v>0</v>
      </c>
      <c r="H181" s="8">
        <v>0</v>
      </c>
      <c r="I181" s="8">
        <v>13</v>
      </c>
      <c r="J181" s="8">
        <v>0</v>
      </c>
      <c r="K181" s="8">
        <v>0</v>
      </c>
      <c r="L181" s="8">
        <v>0</v>
      </c>
      <c r="M181" s="74" t="str">
        <f t="array" ref="M181">_xlfn.TEXTJOIN("-", TRUE, IF(C181:L181&gt;0, $C$2:$L$2, ""))</f>
        <v xml:space="preserve"> Ti-Zr-Nb</v>
      </c>
      <c r="N181" s="90">
        <f t="shared" si="4"/>
        <v>160</v>
      </c>
      <c r="O181" s="91">
        <f t="shared" si="5"/>
        <v>3</v>
      </c>
      <c r="P181" s="8">
        <v>1</v>
      </c>
      <c r="Q181" s="8">
        <v>1</v>
      </c>
      <c r="R181" s="8">
        <v>650</v>
      </c>
      <c r="S181" s="8">
        <v>35</v>
      </c>
      <c r="T181" s="8">
        <v>700</v>
      </c>
      <c r="U181" s="8">
        <v>1</v>
      </c>
      <c r="V181" s="8">
        <v>3</v>
      </c>
      <c r="W181" s="8">
        <v>0</v>
      </c>
      <c r="X181" s="8">
        <v>0</v>
      </c>
      <c r="Y181" s="8">
        <v>0</v>
      </c>
      <c r="AB181" s="8">
        <v>687</v>
      </c>
      <c r="AC181" s="8"/>
      <c r="AD181" s="8">
        <v>16.059999999999999</v>
      </c>
      <c r="AN181" s="6" t="s">
        <v>90</v>
      </c>
      <c r="AO181" s="6" t="s">
        <v>91</v>
      </c>
      <c r="AP181" s="6">
        <v>22</v>
      </c>
      <c r="AQ181" s="7" t="s">
        <v>54</v>
      </c>
      <c r="AR181" s="7">
        <v>134</v>
      </c>
    </row>
    <row r="182" spans="1:61" s="6" customFormat="1" ht="16.5">
      <c r="A182" s="7">
        <v>135</v>
      </c>
      <c r="C182" s="8">
        <v>74</v>
      </c>
      <c r="D182" s="8">
        <v>0</v>
      </c>
      <c r="E182" s="8">
        <v>13</v>
      </c>
      <c r="F182" s="8">
        <v>0</v>
      </c>
      <c r="G182" s="8">
        <v>0</v>
      </c>
      <c r="H182" s="8">
        <v>0</v>
      </c>
      <c r="I182" s="8">
        <v>13</v>
      </c>
      <c r="J182" s="8">
        <v>0</v>
      </c>
      <c r="K182" s="8">
        <v>0</v>
      </c>
      <c r="L182" s="8">
        <v>0</v>
      </c>
      <c r="M182" s="74" t="str">
        <f t="array" ref="M182">_xlfn.TEXTJOIN("-", TRUE, IF(C182:L182&gt;0, $C$2:$L$2, ""))</f>
        <v xml:space="preserve"> Ti-Zr-Nb</v>
      </c>
      <c r="N182" s="90">
        <f t="shared" si="4"/>
        <v>160</v>
      </c>
      <c r="O182" s="91">
        <f t="shared" si="5"/>
        <v>3</v>
      </c>
      <c r="P182" s="8">
        <v>1</v>
      </c>
      <c r="Q182" s="8">
        <v>1</v>
      </c>
      <c r="R182" s="8">
        <v>650</v>
      </c>
      <c r="S182" s="8">
        <v>35</v>
      </c>
      <c r="T182" s="8">
        <v>700</v>
      </c>
      <c r="U182" s="8">
        <v>1</v>
      </c>
      <c r="V182" s="8">
        <v>2</v>
      </c>
      <c r="W182" s="8">
        <v>0</v>
      </c>
      <c r="X182" s="8">
        <v>0</v>
      </c>
      <c r="Y182" s="8">
        <v>0</v>
      </c>
      <c r="AB182" s="8">
        <v>850</v>
      </c>
      <c r="AC182" s="8"/>
      <c r="AD182" s="8">
        <v>19.93</v>
      </c>
      <c r="AN182" s="6" t="s">
        <v>90</v>
      </c>
      <c r="AO182" s="6" t="s">
        <v>91</v>
      </c>
      <c r="AP182" s="6">
        <v>22</v>
      </c>
      <c r="AQ182" s="7" t="s">
        <v>54</v>
      </c>
      <c r="AR182" s="7">
        <v>135</v>
      </c>
    </row>
    <row r="183" spans="1:61" s="6" customFormat="1" ht="16.5">
      <c r="A183" s="7">
        <v>136</v>
      </c>
      <c r="C183" s="8">
        <v>74</v>
      </c>
      <c r="D183" s="8">
        <v>0</v>
      </c>
      <c r="E183" s="8">
        <v>13</v>
      </c>
      <c r="F183" s="8">
        <v>0</v>
      </c>
      <c r="G183" s="8">
        <v>0</v>
      </c>
      <c r="H183" s="8">
        <v>0</v>
      </c>
      <c r="I183" s="8">
        <v>13</v>
      </c>
      <c r="J183" s="8">
        <v>0</v>
      </c>
      <c r="K183" s="8">
        <v>0</v>
      </c>
      <c r="L183" s="8">
        <v>0</v>
      </c>
      <c r="M183" s="74" t="str">
        <f t="array" ref="M183">_xlfn.TEXTJOIN("-", TRUE, IF(C183:L183&gt;0, $C$2:$L$2, ""))</f>
        <v xml:space="preserve"> Ti-Zr-Nb</v>
      </c>
      <c r="N183" s="90">
        <f t="shared" si="4"/>
        <v>160</v>
      </c>
      <c r="O183" s="91">
        <f t="shared" si="5"/>
        <v>3</v>
      </c>
      <c r="P183" s="8">
        <v>1</v>
      </c>
      <c r="Q183" s="8">
        <v>1</v>
      </c>
      <c r="R183" s="8">
        <v>650</v>
      </c>
      <c r="S183" s="8">
        <v>35</v>
      </c>
      <c r="T183" s="8">
        <v>650</v>
      </c>
      <c r="U183" s="8">
        <v>1</v>
      </c>
      <c r="V183" s="8">
        <v>1</v>
      </c>
      <c r="W183" s="8">
        <v>0</v>
      </c>
      <c r="X183" s="8">
        <v>0</v>
      </c>
      <c r="Y183" s="8">
        <v>0</v>
      </c>
      <c r="AB183" s="8">
        <v>761</v>
      </c>
      <c r="AC183" s="8"/>
      <c r="AD183" s="8">
        <v>13.08</v>
      </c>
      <c r="AN183" s="6" t="s">
        <v>90</v>
      </c>
      <c r="AO183" s="6" t="s">
        <v>91</v>
      </c>
      <c r="AP183" s="6">
        <v>22</v>
      </c>
      <c r="AQ183" s="7" t="s">
        <v>54</v>
      </c>
      <c r="AR183" s="7">
        <v>136</v>
      </c>
    </row>
    <row r="184" spans="1:61" s="6" customFormat="1" ht="16.5">
      <c r="A184" s="7">
        <v>137</v>
      </c>
      <c r="C184" s="8">
        <v>74</v>
      </c>
      <c r="D184" s="8">
        <v>0</v>
      </c>
      <c r="E184" s="8">
        <v>13</v>
      </c>
      <c r="F184" s="8">
        <v>0</v>
      </c>
      <c r="G184" s="8">
        <v>0</v>
      </c>
      <c r="H184" s="8">
        <v>0</v>
      </c>
      <c r="I184" s="8">
        <v>13</v>
      </c>
      <c r="J184" s="8">
        <v>0</v>
      </c>
      <c r="K184" s="8">
        <v>0</v>
      </c>
      <c r="L184" s="8">
        <v>0</v>
      </c>
      <c r="M184" s="74" t="str">
        <f t="array" ref="M184">_xlfn.TEXTJOIN("-", TRUE, IF(C184:L184&gt;0, $C$2:$L$2, ""))</f>
        <v xml:space="preserve"> Ti-Zr-Nb</v>
      </c>
      <c r="N184" s="90">
        <f t="shared" si="4"/>
        <v>160</v>
      </c>
      <c r="O184" s="91">
        <f t="shared" si="5"/>
        <v>3</v>
      </c>
      <c r="P184" s="8">
        <v>1</v>
      </c>
      <c r="Q184" s="8">
        <v>1</v>
      </c>
      <c r="R184" s="8">
        <v>650</v>
      </c>
      <c r="S184" s="8">
        <v>35</v>
      </c>
      <c r="T184" s="8">
        <v>650</v>
      </c>
      <c r="U184" s="8">
        <v>1</v>
      </c>
      <c r="V184" s="8">
        <v>1</v>
      </c>
      <c r="W184" s="8">
        <v>500</v>
      </c>
      <c r="X184" s="8">
        <v>5</v>
      </c>
      <c r="Y184" s="8">
        <v>1</v>
      </c>
      <c r="AB184" s="8">
        <v>853</v>
      </c>
      <c r="AC184" s="8"/>
      <c r="AD184" s="8">
        <v>14.65</v>
      </c>
      <c r="AN184" s="6" t="s">
        <v>90</v>
      </c>
      <c r="AO184" s="6" t="s">
        <v>91</v>
      </c>
      <c r="AP184" s="6">
        <v>22</v>
      </c>
      <c r="AQ184" s="7" t="s">
        <v>54</v>
      </c>
      <c r="AR184" s="7">
        <v>137</v>
      </c>
    </row>
    <row r="185" spans="1:61" s="6" customFormat="1" ht="16.5">
      <c r="A185" s="7">
        <v>184</v>
      </c>
      <c r="C185" s="8">
        <v>74</v>
      </c>
      <c r="D185" s="8">
        <v>0</v>
      </c>
      <c r="E185" s="8">
        <v>13</v>
      </c>
      <c r="F185" s="8">
        <v>0</v>
      </c>
      <c r="G185" s="8">
        <v>0</v>
      </c>
      <c r="H185" s="8">
        <v>0</v>
      </c>
      <c r="I185" s="8">
        <v>13</v>
      </c>
      <c r="J185" s="8">
        <v>0</v>
      </c>
      <c r="K185" s="8">
        <v>0</v>
      </c>
      <c r="L185" s="8">
        <v>0</v>
      </c>
      <c r="M185" s="74" t="str">
        <f t="array" ref="M185">_xlfn.TEXTJOIN("-", TRUE, IF(C185:L185&gt;0, $C$2:$L$2, ""))</f>
        <v xml:space="preserve"> Ti-Zr-Nb</v>
      </c>
      <c r="N185" s="90">
        <f t="shared" si="4"/>
        <v>160</v>
      </c>
      <c r="O185" s="91">
        <f t="shared" si="5"/>
        <v>3</v>
      </c>
      <c r="P185" s="8">
        <v>1</v>
      </c>
      <c r="Q185" s="8">
        <v>1</v>
      </c>
      <c r="R185" s="8">
        <v>20</v>
      </c>
      <c r="S185" s="8">
        <v>75</v>
      </c>
      <c r="T185" s="8">
        <v>844</v>
      </c>
      <c r="U185" s="8">
        <v>0.5</v>
      </c>
      <c r="V185" s="8">
        <v>3</v>
      </c>
      <c r="W185" s="8">
        <v>0</v>
      </c>
      <c r="X185" s="8">
        <v>0</v>
      </c>
      <c r="Y185" s="8">
        <v>0</v>
      </c>
      <c r="AB185" s="8">
        <v>847</v>
      </c>
      <c r="AC185" s="8"/>
      <c r="AD185" s="8">
        <v>19.600000000000001</v>
      </c>
      <c r="AN185" s="6" t="s">
        <v>92</v>
      </c>
      <c r="AO185" s="6" t="s">
        <v>93</v>
      </c>
      <c r="AP185" s="6">
        <v>33</v>
      </c>
      <c r="AQ185" s="7" t="s">
        <v>54</v>
      </c>
      <c r="AR185" s="7">
        <v>184</v>
      </c>
    </row>
    <row r="186" spans="1:61" s="6" customFormat="1" ht="16.5">
      <c r="A186" s="7">
        <v>185</v>
      </c>
      <c r="C186" s="8">
        <v>74</v>
      </c>
      <c r="D186" s="8">
        <v>0</v>
      </c>
      <c r="E186" s="8">
        <v>13</v>
      </c>
      <c r="F186" s="8">
        <v>0</v>
      </c>
      <c r="G186" s="8">
        <v>0</v>
      </c>
      <c r="H186" s="8">
        <v>0</v>
      </c>
      <c r="I186" s="8">
        <v>13</v>
      </c>
      <c r="J186" s="8">
        <v>0</v>
      </c>
      <c r="K186" s="8">
        <v>0</v>
      </c>
      <c r="L186" s="8">
        <v>0</v>
      </c>
      <c r="M186" s="74" t="str">
        <f t="array" ref="M186">_xlfn.TEXTJOIN("-", TRUE, IF(C186:L186&gt;0, $C$2:$L$2, ""))</f>
        <v xml:space="preserve"> Ti-Zr-Nb</v>
      </c>
      <c r="N186" s="90">
        <f t="shared" si="4"/>
        <v>160</v>
      </c>
      <c r="O186" s="91">
        <f t="shared" si="5"/>
        <v>3</v>
      </c>
      <c r="P186" s="8">
        <v>1</v>
      </c>
      <c r="Q186" s="8">
        <v>1</v>
      </c>
      <c r="R186" s="8">
        <v>20</v>
      </c>
      <c r="S186" s="8">
        <v>75</v>
      </c>
      <c r="T186" s="8">
        <v>844</v>
      </c>
      <c r="U186" s="8">
        <v>0.5</v>
      </c>
      <c r="V186" s="8">
        <v>3</v>
      </c>
      <c r="W186" s="8">
        <v>400</v>
      </c>
      <c r="X186" s="8">
        <v>3</v>
      </c>
      <c r="Y186" s="8">
        <v>3</v>
      </c>
      <c r="AB186" s="8">
        <v>1003</v>
      </c>
      <c r="AC186" s="8"/>
      <c r="AD186" s="8">
        <v>14.69</v>
      </c>
      <c r="AN186" s="6" t="s">
        <v>94</v>
      </c>
      <c r="AO186" s="6" t="s">
        <v>93</v>
      </c>
      <c r="AP186" s="6">
        <v>33</v>
      </c>
      <c r="AQ186" s="7" t="s">
        <v>54</v>
      </c>
      <c r="AR186" s="7">
        <v>185</v>
      </c>
    </row>
    <row r="187" spans="1:61" s="6" customFormat="1" ht="16.5">
      <c r="A187" s="7">
        <v>188</v>
      </c>
      <c r="C187" s="8">
        <v>51.8</v>
      </c>
      <c r="D187" s="8">
        <v>0</v>
      </c>
      <c r="E187" s="8">
        <v>7.1</v>
      </c>
      <c r="F187" s="8">
        <v>0</v>
      </c>
      <c r="G187" s="8">
        <v>0</v>
      </c>
      <c r="H187" s="8">
        <v>0</v>
      </c>
      <c r="I187" s="8">
        <v>41.1</v>
      </c>
      <c r="J187" s="8">
        <v>0</v>
      </c>
      <c r="K187" s="8">
        <v>0</v>
      </c>
      <c r="L187" s="8">
        <v>0</v>
      </c>
      <c r="M187" s="74" t="str">
        <f t="array" ref="M187">_xlfn.TEXTJOIN("-", TRUE, IF(C187:L187&gt;0, $C$2:$L$2, ""))</f>
        <v xml:space="preserve"> Ti-Zr-Nb</v>
      </c>
      <c r="N187" s="90">
        <f t="shared" si="4"/>
        <v>160</v>
      </c>
      <c r="O187" s="91">
        <f t="shared" si="5"/>
        <v>3</v>
      </c>
      <c r="P187" s="8">
        <v>1</v>
      </c>
      <c r="Q187" s="8">
        <v>2</v>
      </c>
      <c r="R187" s="8">
        <v>20</v>
      </c>
      <c r="S187" s="8">
        <v>89</v>
      </c>
      <c r="T187" s="8">
        <v>1000</v>
      </c>
      <c r="U187" s="8">
        <v>2</v>
      </c>
      <c r="V187" s="8">
        <v>1</v>
      </c>
      <c r="W187" s="8">
        <v>1000</v>
      </c>
      <c r="X187" s="8">
        <v>2</v>
      </c>
      <c r="Y187" s="8">
        <v>1</v>
      </c>
      <c r="AB187" s="8">
        <v>490</v>
      </c>
      <c r="AC187" s="8"/>
      <c r="AD187" s="8">
        <v>16</v>
      </c>
      <c r="AN187" s="6" t="s">
        <v>95</v>
      </c>
      <c r="AO187" s="6" t="s">
        <v>67</v>
      </c>
      <c r="AP187" s="6">
        <v>35</v>
      </c>
      <c r="AQ187" s="7" t="s">
        <v>54</v>
      </c>
      <c r="AR187" s="7">
        <v>188</v>
      </c>
    </row>
    <row r="188" spans="1:61" s="6" customFormat="1" ht="16.5">
      <c r="A188" s="12">
        <v>57</v>
      </c>
      <c r="B188" s="12" t="s">
        <v>417</v>
      </c>
      <c r="C188" s="12">
        <v>41</v>
      </c>
      <c r="D188" s="12">
        <v>0</v>
      </c>
      <c r="E188" s="12">
        <v>25</v>
      </c>
      <c r="F188" s="12">
        <v>0</v>
      </c>
      <c r="G188" s="12">
        <v>0</v>
      </c>
      <c r="H188" s="12">
        <v>0</v>
      </c>
      <c r="I188" s="12">
        <v>34</v>
      </c>
      <c r="J188" s="12">
        <v>0</v>
      </c>
      <c r="K188" s="12">
        <v>0</v>
      </c>
      <c r="L188" s="12">
        <v>0</v>
      </c>
      <c r="M188" s="74" t="str">
        <f t="array" ref="M188">_xlfn.TEXTJOIN("-", TRUE, IF(C188:L188&gt;0, $C$2:$L$2, ""))</f>
        <v xml:space="preserve"> Ti-Zr-Nb</v>
      </c>
      <c r="N188" s="90">
        <f t="shared" si="4"/>
        <v>160</v>
      </c>
      <c r="O188" s="91">
        <f t="shared" si="5"/>
        <v>3</v>
      </c>
      <c r="P188" s="12">
        <v>1</v>
      </c>
      <c r="Q188" s="12">
        <v>1</v>
      </c>
      <c r="R188" s="12">
        <v>20</v>
      </c>
      <c r="S188" s="12">
        <v>0</v>
      </c>
      <c r="T188" s="12">
        <v>0</v>
      </c>
      <c r="U188" s="12">
        <v>0</v>
      </c>
      <c r="V188" s="12"/>
      <c r="W188" s="12"/>
      <c r="X188" s="12"/>
      <c r="Y188" s="12"/>
      <c r="Z188" s="12"/>
      <c r="AA188" s="12"/>
      <c r="AB188" s="12">
        <v>839</v>
      </c>
      <c r="AC188" s="12"/>
      <c r="AD188" s="12">
        <v>15</v>
      </c>
      <c r="AE188" s="12"/>
      <c r="AF188" s="12"/>
      <c r="AG188" s="12"/>
      <c r="AH188" s="12"/>
      <c r="AI188" s="12"/>
      <c r="AJ188" s="12"/>
      <c r="AK188" s="12"/>
      <c r="AL188" s="12"/>
      <c r="AM188" s="12"/>
      <c r="AN188" s="12" t="s">
        <v>418</v>
      </c>
      <c r="AO188" s="12" t="s">
        <v>419</v>
      </c>
      <c r="AP188" s="12">
        <v>11</v>
      </c>
      <c r="AQ188" s="12" t="s">
        <v>374</v>
      </c>
      <c r="AR188" s="12">
        <v>57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</row>
    <row r="189" spans="1:61" s="6" customFormat="1" ht="16.5">
      <c r="A189" s="12">
        <v>58</v>
      </c>
      <c r="B189" s="12"/>
      <c r="C189" s="12">
        <v>41</v>
      </c>
      <c r="D189" s="12">
        <v>0</v>
      </c>
      <c r="E189" s="12">
        <v>25</v>
      </c>
      <c r="F189" s="12">
        <v>0</v>
      </c>
      <c r="G189" s="12">
        <v>0</v>
      </c>
      <c r="H189" s="12">
        <v>0</v>
      </c>
      <c r="I189" s="12">
        <v>34</v>
      </c>
      <c r="J189" s="12">
        <v>0</v>
      </c>
      <c r="K189" s="12">
        <v>0</v>
      </c>
      <c r="L189" s="12">
        <v>0</v>
      </c>
      <c r="M189" s="74" t="str">
        <f t="array" ref="M189">_xlfn.TEXTJOIN("-", TRUE, IF(C189:L189&gt;0, $C$2:$L$2, ""))</f>
        <v xml:space="preserve"> Ti-Zr-Nb</v>
      </c>
      <c r="N189" s="90">
        <f t="shared" si="4"/>
        <v>160</v>
      </c>
      <c r="O189" s="91">
        <f t="shared" si="5"/>
        <v>3</v>
      </c>
      <c r="P189" s="12">
        <v>1</v>
      </c>
      <c r="Q189" s="12">
        <v>1</v>
      </c>
      <c r="R189" s="12">
        <v>20</v>
      </c>
      <c r="S189" s="12">
        <v>0</v>
      </c>
      <c r="T189" s="12">
        <v>890</v>
      </c>
      <c r="U189" s="12">
        <v>1</v>
      </c>
      <c r="V189" s="12">
        <v>1</v>
      </c>
      <c r="W189" s="12"/>
      <c r="X189" s="12"/>
      <c r="Y189" s="12"/>
      <c r="Z189" s="12"/>
      <c r="AA189" s="12"/>
      <c r="AB189" s="12">
        <v>747</v>
      </c>
      <c r="AC189" s="12"/>
      <c r="AD189" s="12">
        <v>12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 t="s">
        <v>420</v>
      </c>
      <c r="AO189" s="12" t="s">
        <v>421</v>
      </c>
      <c r="AP189" s="12">
        <v>11</v>
      </c>
      <c r="AQ189" s="12" t="s">
        <v>374</v>
      </c>
      <c r="AR189" s="12">
        <v>58</v>
      </c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</row>
    <row r="190" spans="1:61" s="6" customFormat="1" ht="16.5">
      <c r="A190" s="12">
        <v>59</v>
      </c>
      <c r="B190" s="12"/>
      <c r="C190" s="12">
        <v>41</v>
      </c>
      <c r="D190" s="12">
        <v>0</v>
      </c>
      <c r="E190" s="12">
        <v>25</v>
      </c>
      <c r="F190" s="12">
        <v>0</v>
      </c>
      <c r="G190" s="12">
        <v>0</v>
      </c>
      <c r="H190" s="12">
        <v>0</v>
      </c>
      <c r="I190" s="12">
        <v>34</v>
      </c>
      <c r="J190" s="12">
        <v>0</v>
      </c>
      <c r="K190" s="12">
        <v>0</v>
      </c>
      <c r="L190" s="12">
        <v>0</v>
      </c>
      <c r="M190" s="74" t="str">
        <f t="array" ref="M190">_xlfn.TEXTJOIN("-", TRUE, IF(C190:L190&gt;0, $C$2:$L$2, ""))</f>
        <v xml:space="preserve"> Ti-Zr-Nb</v>
      </c>
      <c r="N190" s="90">
        <f t="shared" si="4"/>
        <v>160</v>
      </c>
      <c r="O190" s="91">
        <f t="shared" si="5"/>
        <v>3</v>
      </c>
      <c r="P190" s="12">
        <v>1</v>
      </c>
      <c r="Q190" s="12">
        <v>1</v>
      </c>
      <c r="R190" s="12">
        <v>20</v>
      </c>
      <c r="S190" s="12">
        <v>20</v>
      </c>
      <c r="T190" s="12">
        <v>890</v>
      </c>
      <c r="U190" s="12">
        <v>1</v>
      </c>
      <c r="V190" s="12">
        <v>1</v>
      </c>
      <c r="W190" s="12"/>
      <c r="X190" s="12"/>
      <c r="Y190" s="12"/>
      <c r="Z190" s="12"/>
      <c r="AA190" s="12"/>
      <c r="AB190" s="12">
        <v>788</v>
      </c>
      <c r="AC190" s="12"/>
      <c r="AD190" s="12">
        <v>8</v>
      </c>
      <c r="AE190" s="12"/>
      <c r="AF190" s="12"/>
      <c r="AG190" s="12"/>
      <c r="AH190" s="12"/>
      <c r="AI190" s="12"/>
      <c r="AJ190" s="12"/>
      <c r="AK190" s="12"/>
      <c r="AL190" s="12"/>
      <c r="AM190" s="12"/>
      <c r="AN190" s="12" t="s">
        <v>422</v>
      </c>
      <c r="AO190" s="12" t="s">
        <v>423</v>
      </c>
      <c r="AP190" s="12">
        <v>11</v>
      </c>
      <c r="AQ190" s="12" t="s">
        <v>374</v>
      </c>
      <c r="AR190" s="12">
        <v>59</v>
      </c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</row>
    <row r="191" spans="1:61" s="6" customFormat="1" ht="16.5">
      <c r="A191" s="12">
        <v>60</v>
      </c>
      <c r="B191" s="12"/>
      <c r="C191" s="12">
        <v>41</v>
      </c>
      <c r="D191" s="12">
        <v>0</v>
      </c>
      <c r="E191" s="12">
        <v>25</v>
      </c>
      <c r="F191" s="12">
        <v>0</v>
      </c>
      <c r="G191" s="12">
        <v>0</v>
      </c>
      <c r="H191" s="12">
        <v>0</v>
      </c>
      <c r="I191" s="12">
        <v>34</v>
      </c>
      <c r="J191" s="12">
        <v>0</v>
      </c>
      <c r="K191" s="12">
        <v>0</v>
      </c>
      <c r="L191" s="12">
        <v>0</v>
      </c>
      <c r="M191" s="74" t="str">
        <f t="array" ref="M191">_xlfn.TEXTJOIN("-", TRUE, IF(C191:L191&gt;0, $C$2:$L$2, ""))</f>
        <v xml:space="preserve"> Ti-Zr-Nb</v>
      </c>
      <c r="N191" s="90">
        <f t="shared" si="4"/>
        <v>160</v>
      </c>
      <c r="O191" s="91">
        <f t="shared" si="5"/>
        <v>3</v>
      </c>
      <c r="P191" s="12">
        <v>1</v>
      </c>
      <c r="Q191" s="12">
        <v>1</v>
      </c>
      <c r="R191" s="12">
        <v>20</v>
      </c>
      <c r="S191" s="12">
        <v>56</v>
      </c>
      <c r="T191" s="12">
        <v>890</v>
      </c>
      <c r="U191" s="12">
        <v>1</v>
      </c>
      <c r="V191" s="12">
        <v>1</v>
      </c>
      <c r="W191" s="12"/>
      <c r="X191" s="12"/>
      <c r="Y191" s="12"/>
      <c r="Z191" s="12"/>
      <c r="AA191" s="12"/>
      <c r="AB191" s="12">
        <v>895</v>
      </c>
      <c r="AC191" s="12"/>
      <c r="AD191" s="12">
        <v>7</v>
      </c>
      <c r="AE191" s="12"/>
      <c r="AF191" s="12"/>
      <c r="AG191" s="12"/>
      <c r="AH191" s="12"/>
      <c r="AI191" s="12"/>
      <c r="AJ191" s="12"/>
      <c r="AK191" s="12"/>
      <c r="AL191" s="12"/>
      <c r="AM191" s="12"/>
      <c r="AN191" s="12" t="s">
        <v>424</v>
      </c>
      <c r="AO191" s="12" t="s">
        <v>425</v>
      </c>
      <c r="AP191" s="12">
        <v>11</v>
      </c>
      <c r="AQ191" s="12" t="s">
        <v>374</v>
      </c>
      <c r="AR191" s="12">
        <v>60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</row>
    <row r="192" spans="1:61" s="6" customFormat="1" ht="16.5">
      <c r="A192" s="12">
        <v>61</v>
      </c>
      <c r="B192" s="12"/>
      <c r="C192" s="12">
        <v>41</v>
      </c>
      <c r="D192" s="12">
        <v>0</v>
      </c>
      <c r="E192" s="12">
        <v>25</v>
      </c>
      <c r="F192" s="12">
        <v>0</v>
      </c>
      <c r="G192" s="12">
        <v>0</v>
      </c>
      <c r="H192" s="12">
        <v>0</v>
      </c>
      <c r="I192" s="12">
        <v>34</v>
      </c>
      <c r="J192" s="12">
        <v>0</v>
      </c>
      <c r="K192" s="12">
        <v>0</v>
      </c>
      <c r="L192" s="12">
        <v>0</v>
      </c>
      <c r="M192" s="74" t="str">
        <f t="array" ref="M192">_xlfn.TEXTJOIN("-", TRUE, IF(C192:L192&gt;0, $C$2:$L$2, ""))</f>
        <v xml:space="preserve"> Ti-Zr-Nb</v>
      </c>
      <c r="N192" s="90">
        <f t="shared" si="4"/>
        <v>160</v>
      </c>
      <c r="O192" s="91">
        <f t="shared" si="5"/>
        <v>3</v>
      </c>
      <c r="P192" s="12">
        <v>1</v>
      </c>
      <c r="Q192" s="12">
        <v>1</v>
      </c>
      <c r="R192" s="12">
        <v>20</v>
      </c>
      <c r="S192" s="12">
        <v>76</v>
      </c>
      <c r="T192" s="12">
        <v>890</v>
      </c>
      <c r="U192" s="12">
        <v>1</v>
      </c>
      <c r="V192" s="12">
        <v>1</v>
      </c>
      <c r="W192" s="12"/>
      <c r="X192" s="12"/>
      <c r="Y192" s="12"/>
      <c r="Z192" s="12"/>
      <c r="AA192" s="12"/>
      <c r="AB192" s="12">
        <v>1015</v>
      </c>
      <c r="AC192" s="12"/>
      <c r="AD192" s="12">
        <v>10</v>
      </c>
      <c r="AE192" s="12"/>
      <c r="AF192" s="12"/>
      <c r="AG192" s="12"/>
      <c r="AH192" s="12"/>
      <c r="AI192" s="12"/>
      <c r="AJ192" s="12"/>
      <c r="AK192" s="12"/>
      <c r="AL192" s="12"/>
      <c r="AM192" s="12"/>
      <c r="AN192" s="12" t="s">
        <v>426</v>
      </c>
      <c r="AO192" s="12" t="s">
        <v>427</v>
      </c>
      <c r="AP192" s="12">
        <v>11</v>
      </c>
      <c r="AQ192" s="12" t="s">
        <v>374</v>
      </c>
      <c r="AR192" s="12">
        <v>61</v>
      </c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</row>
    <row r="193" spans="1:61" s="6" customFormat="1" ht="16.5">
      <c r="A193" s="12">
        <v>62</v>
      </c>
      <c r="B193" s="12"/>
      <c r="C193" s="12">
        <v>41</v>
      </c>
      <c r="D193" s="12">
        <v>0</v>
      </c>
      <c r="E193" s="12">
        <v>25</v>
      </c>
      <c r="F193" s="12">
        <v>0</v>
      </c>
      <c r="G193" s="12">
        <v>0</v>
      </c>
      <c r="H193" s="12">
        <v>0</v>
      </c>
      <c r="I193" s="12">
        <v>34</v>
      </c>
      <c r="J193" s="12">
        <v>0</v>
      </c>
      <c r="K193" s="12">
        <v>0</v>
      </c>
      <c r="L193" s="12">
        <v>0</v>
      </c>
      <c r="M193" s="74" t="str">
        <f t="array" ref="M193">_xlfn.TEXTJOIN("-", TRUE, IF(C193:L193&gt;0, $C$2:$L$2, ""))</f>
        <v xml:space="preserve"> Ti-Zr-Nb</v>
      </c>
      <c r="N193" s="90">
        <f t="shared" si="4"/>
        <v>160</v>
      </c>
      <c r="O193" s="91">
        <f t="shared" si="5"/>
        <v>3</v>
      </c>
      <c r="P193" s="12">
        <v>1</v>
      </c>
      <c r="Q193" s="12">
        <v>1</v>
      </c>
      <c r="R193" s="12">
        <v>20</v>
      </c>
      <c r="S193" s="12">
        <v>86</v>
      </c>
      <c r="T193" s="12">
        <v>890</v>
      </c>
      <c r="U193" s="12">
        <v>1</v>
      </c>
      <c r="V193" s="12">
        <v>1</v>
      </c>
      <c r="W193" s="12"/>
      <c r="X193" s="12"/>
      <c r="Y193" s="12"/>
      <c r="Z193" s="12"/>
      <c r="AA193" s="12"/>
      <c r="AB193" s="12">
        <v>1071</v>
      </c>
      <c r="AC193" s="12"/>
      <c r="AD193" s="12">
        <v>8</v>
      </c>
      <c r="AE193" s="12"/>
      <c r="AF193" s="12"/>
      <c r="AG193" s="12"/>
      <c r="AH193" s="12"/>
      <c r="AI193" s="12"/>
      <c r="AJ193" s="12"/>
      <c r="AK193" s="12"/>
      <c r="AL193" s="12"/>
      <c r="AM193" s="12"/>
      <c r="AN193" s="12" t="s">
        <v>428</v>
      </c>
      <c r="AO193" s="12" t="s">
        <v>429</v>
      </c>
      <c r="AP193" s="12">
        <v>11</v>
      </c>
      <c r="AQ193" s="12" t="s">
        <v>374</v>
      </c>
      <c r="AR193" s="12">
        <v>62</v>
      </c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</row>
    <row r="194" spans="1:61" s="6" customFormat="1" ht="16.5">
      <c r="A194" s="93">
        <v>354</v>
      </c>
      <c r="B194" s="93" t="s">
        <v>113</v>
      </c>
      <c r="C194" s="94">
        <v>57.230000000000004</v>
      </c>
      <c r="D194" s="94">
        <v>0</v>
      </c>
      <c r="E194" s="94">
        <v>18.310000000000002</v>
      </c>
      <c r="F194" s="94">
        <v>0</v>
      </c>
      <c r="G194" s="94">
        <v>0</v>
      </c>
      <c r="H194" s="94">
        <v>0</v>
      </c>
      <c r="I194" s="94">
        <v>24.45</v>
      </c>
      <c r="J194" s="94">
        <v>0</v>
      </c>
      <c r="K194" s="94">
        <v>0</v>
      </c>
      <c r="L194" s="94">
        <v>0</v>
      </c>
      <c r="M194" s="74" t="str">
        <f t="array" ref="M194">_xlfn.TEXTJOIN("-", TRUE, IF(C194:L194&gt;0, $C$2:$L$2, ""))</f>
        <v xml:space="preserve"> Ti-Zr-Nb</v>
      </c>
      <c r="N194" s="90">
        <f t="shared" si="4"/>
        <v>160</v>
      </c>
      <c r="O194" s="91">
        <f t="shared" si="5"/>
        <v>3</v>
      </c>
      <c r="P194" s="94">
        <v>1</v>
      </c>
      <c r="Q194" s="95" t="s">
        <v>173</v>
      </c>
      <c r="R194" s="93">
        <v>0</v>
      </c>
      <c r="S194" s="93">
        <v>0</v>
      </c>
      <c r="T194" s="93">
        <v>0</v>
      </c>
      <c r="U194" s="93">
        <v>0</v>
      </c>
      <c r="V194" s="93">
        <v>0</v>
      </c>
      <c r="W194" s="93">
        <v>0</v>
      </c>
      <c r="X194" s="93">
        <v>0</v>
      </c>
      <c r="Y194" s="93">
        <v>0</v>
      </c>
      <c r="Z194" s="94">
        <v>62</v>
      </c>
      <c r="AA194" s="93" t="s">
        <v>113</v>
      </c>
      <c r="AB194" s="93" t="s">
        <v>113</v>
      </c>
      <c r="AC194" s="94">
        <v>810</v>
      </c>
      <c r="AD194" s="93" t="s">
        <v>113</v>
      </c>
      <c r="AE194" s="93" t="s">
        <v>113</v>
      </c>
      <c r="AF194" s="93" t="s">
        <v>113</v>
      </c>
      <c r="AG194" s="93" t="s">
        <v>113</v>
      </c>
      <c r="AH194" s="93" t="s">
        <v>113</v>
      </c>
      <c r="AI194" s="93" t="s">
        <v>113</v>
      </c>
      <c r="AJ194" s="93" t="s">
        <v>113</v>
      </c>
      <c r="AK194" s="93" t="s">
        <v>113</v>
      </c>
      <c r="AL194" s="93" t="s">
        <v>113</v>
      </c>
      <c r="AM194" s="93"/>
      <c r="AN194" s="93" t="s">
        <v>113</v>
      </c>
      <c r="AO194" s="93" t="s">
        <v>114</v>
      </c>
      <c r="AP194" s="94">
        <v>354</v>
      </c>
      <c r="AQ194" s="94" t="s">
        <v>100</v>
      </c>
      <c r="AR194" s="93">
        <v>354</v>
      </c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</row>
    <row r="195" spans="1:61" ht="16.5">
      <c r="A195" s="93">
        <v>355</v>
      </c>
      <c r="B195" s="93" t="s">
        <v>113</v>
      </c>
      <c r="C195" s="94">
        <v>54.09</v>
      </c>
      <c r="D195" s="94">
        <v>0</v>
      </c>
      <c r="E195" s="94">
        <v>23.9</v>
      </c>
      <c r="F195" s="94">
        <v>0</v>
      </c>
      <c r="G195" s="94">
        <v>0</v>
      </c>
      <c r="H195" s="94">
        <v>0</v>
      </c>
      <c r="I195" s="94">
        <v>22</v>
      </c>
      <c r="J195" s="94">
        <v>0</v>
      </c>
      <c r="K195" s="94">
        <v>0</v>
      </c>
      <c r="L195" s="94">
        <v>0</v>
      </c>
      <c r="M195" s="74" t="str">
        <f t="array" ref="M195">_xlfn.TEXTJOIN("-", TRUE, IF(C195:L195&gt;0, $C$2:$L$2, ""))</f>
        <v xml:space="preserve"> Ti-Zr-Nb</v>
      </c>
      <c r="N195" s="90">
        <f t="shared" ref="N195:N258" si="6">IF(COUNTIF(M$3:M$1206, M195)&gt;1, MATCH(M195, M:M, 0), "")</f>
        <v>160</v>
      </c>
      <c r="O195" s="91">
        <f t="shared" ref="O195:O258" si="7">COUNTIF(C195:L195, "&lt;&gt;0")</f>
        <v>3</v>
      </c>
      <c r="P195" s="94">
        <v>1</v>
      </c>
      <c r="Q195" s="95" t="s">
        <v>173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  <c r="Z195" s="94">
        <v>65</v>
      </c>
      <c r="AA195" s="93" t="s">
        <v>113</v>
      </c>
      <c r="AB195" s="93" t="s">
        <v>113</v>
      </c>
      <c r="AC195" s="94">
        <v>782</v>
      </c>
      <c r="AD195" s="93" t="s">
        <v>113</v>
      </c>
      <c r="AE195" s="93" t="s">
        <v>113</v>
      </c>
      <c r="AF195" s="93" t="s">
        <v>113</v>
      </c>
      <c r="AG195" s="93" t="s">
        <v>113</v>
      </c>
      <c r="AH195" s="93" t="s">
        <v>113</v>
      </c>
      <c r="AI195" s="93" t="s">
        <v>113</v>
      </c>
      <c r="AJ195" s="93" t="s">
        <v>113</v>
      </c>
      <c r="AK195" s="93" t="s">
        <v>113</v>
      </c>
      <c r="AL195" s="93" t="s">
        <v>113</v>
      </c>
      <c r="AM195" s="93"/>
      <c r="AN195" s="93" t="s">
        <v>113</v>
      </c>
      <c r="AO195" s="93" t="s">
        <v>114</v>
      </c>
      <c r="AP195" s="94">
        <v>355</v>
      </c>
      <c r="AQ195" s="94" t="s">
        <v>100</v>
      </c>
      <c r="AR195" s="93">
        <v>355</v>
      </c>
    </row>
    <row r="196" spans="1:61" ht="16.5">
      <c r="A196" s="93">
        <v>356</v>
      </c>
      <c r="B196" s="93" t="s">
        <v>113</v>
      </c>
      <c r="C196" s="94">
        <v>52.59</v>
      </c>
      <c r="D196" s="94">
        <v>0</v>
      </c>
      <c r="E196" s="94">
        <v>26.69</v>
      </c>
      <c r="F196" s="94">
        <v>0</v>
      </c>
      <c r="G196" s="94">
        <v>0</v>
      </c>
      <c r="H196" s="94">
        <v>0</v>
      </c>
      <c r="I196" s="94">
        <v>20.73</v>
      </c>
      <c r="J196" s="94">
        <v>0</v>
      </c>
      <c r="K196" s="94">
        <v>0</v>
      </c>
      <c r="L196" s="94">
        <v>0</v>
      </c>
      <c r="M196" s="74" t="str">
        <f t="array" ref="M196">_xlfn.TEXTJOIN("-", TRUE, IF(C196:L196&gt;0, $C$2:$L$2, ""))</f>
        <v xml:space="preserve"> Ti-Zr-Nb</v>
      </c>
      <c r="N196" s="90">
        <f t="shared" si="6"/>
        <v>160</v>
      </c>
      <c r="O196" s="91">
        <f t="shared" si="7"/>
        <v>3</v>
      </c>
      <c r="P196" s="94">
        <v>1</v>
      </c>
      <c r="Q196" s="95" t="s">
        <v>173</v>
      </c>
      <c r="R196" s="93">
        <v>0</v>
      </c>
      <c r="S196" s="93">
        <v>0</v>
      </c>
      <c r="T196" s="93">
        <v>0</v>
      </c>
      <c r="U196" s="93">
        <v>0</v>
      </c>
      <c r="V196" s="93">
        <v>0</v>
      </c>
      <c r="W196" s="93">
        <v>0</v>
      </c>
      <c r="X196" s="93">
        <v>0</v>
      </c>
      <c r="Y196" s="93">
        <v>0</v>
      </c>
      <c r="Z196" s="94">
        <v>64</v>
      </c>
      <c r="AA196" s="93" t="s">
        <v>113</v>
      </c>
      <c r="AB196" s="93" t="s">
        <v>113</v>
      </c>
      <c r="AC196" s="94">
        <v>729</v>
      </c>
      <c r="AD196" s="93" t="s">
        <v>113</v>
      </c>
      <c r="AE196" s="93" t="s">
        <v>113</v>
      </c>
      <c r="AF196" s="93" t="s">
        <v>113</v>
      </c>
      <c r="AG196" s="93" t="s">
        <v>113</v>
      </c>
      <c r="AH196" s="93" t="s">
        <v>113</v>
      </c>
      <c r="AI196" s="93" t="s">
        <v>113</v>
      </c>
      <c r="AJ196" s="93" t="s">
        <v>113</v>
      </c>
      <c r="AK196" s="93" t="s">
        <v>113</v>
      </c>
      <c r="AL196" s="93" t="s">
        <v>113</v>
      </c>
      <c r="AM196" s="93"/>
      <c r="AN196" s="93" t="s">
        <v>113</v>
      </c>
      <c r="AO196" s="93" t="s">
        <v>114</v>
      </c>
      <c r="AP196" s="94">
        <v>356</v>
      </c>
      <c r="AQ196" s="94" t="s">
        <v>100</v>
      </c>
      <c r="AR196" s="93">
        <v>356</v>
      </c>
    </row>
    <row r="197" spans="1:61" ht="16.5">
      <c r="A197" s="93">
        <v>357</v>
      </c>
      <c r="B197" s="93" t="s">
        <v>113</v>
      </c>
      <c r="C197" s="94">
        <v>50.27</v>
      </c>
      <c r="D197" s="94">
        <v>0</v>
      </c>
      <c r="E197" s="94">
        <v>31.119999999999997</v>
      </c>
      <c r="F197" s="94">
        <v>0</v>
      </c>
      <c r="G197" s="94">
        <v>0</v>
      </c>
      <c r="H197" s="94">
        <v>0</v>
      </c>
      <c r="I197" s="94">
        <v>18.62</v>
      </c>
      <c r="J197" s="94">
        <v>0</v>
      </c>
      <c r="K197" s="94">
        <v>0</v>
      </c>
      <c r="L197" s="94">
        <v>0</v>
      </c>
      <c r="M197" s="74" t="str">
        <f t="array" ref="M197">_xlfn.TEXTJOIN("-", TRUE, IF(C197:L197&gt;0, $C$2:$L$2, ""))</f>
        <v xml:space="preserve"> Ti-Zr-Nb</v>
      </c>
      <c r="N197" s="90">
        <f t="shared" si="6"/>
        <v>160</v>
      </c>
      <c r="O197" s="91">
        <f t="shared" si="7"/>
        <v>3</v>
      </c>
      <c r="P197" s="94">
        <v>1</v>
      </c>
      <c r="Q197" s="95" t="s">
        <v>173</v>
      </c>
      <c r="R197" s="93">
        <v>0</v>
      </c>
      <c r="S197" s="93">
        <v>0</v>
      </c>
      <c r="T197" s="93">
        <v>0</v>
      </c>
      <c r="U197" s="93">
        <v>0</v>
      </c>
      <c r="V197" s="93">
        <v>0</v>
      </c>
      <c r="W197" s="93">
        <v>0</v>
      </c>
      <c r="X197" s="93">
        <v>0</v>
      </c>
      <c r="Y197" s="93">
        <v>0</v>
      </c>
      <c r="Z197" s="94">
        <v>63</v>
      </c>
      <c r="AA197" s="93" t="s">
        <v>113</v>
      </c>
      <c r="AB197" s="93" t="s">
        <v>113</v>
      </c>
      <c r="AC197" s="94">
        <v>682</v>
      </c>
      <c r="AD197" s="93" t="s">
        <v>113</v>
      </c>
      <c r="AE197" s="93" t="s">
        <v>113</v>
      </c>
      <c r="AF197" s="93" t="s">
        <v>113</v>
      </c>
      <c r="AG197" s="93" t="s">
        <v>113</v>
      </c>
      <c r="AH197" s="93" t="s">
        <v>113</v>
      </c>
      <c r="AI197" s="93" t="s">
        <v>113</v>
      </c>
      <c r="AJ197" s="93" t="s">
        <v>113</v>
      </c>
      <c r="AK197" s="93" t="s">
        <v>113</v>
      </c>
      <c r="AL197" s="93" t="s">
        <v>113</v>
      </c>
      <c r="AM197" s="93"/>
      <c r="AN197" s="93" t="s">
        <v>113</v>
      </c>
      <c r="AO197" s="93" t="s">
        <v>114</v>
      </c>
      <c r="AP197" s="94">
        <v>357</v>
      </c>
      <c r="AQ197" s="94" t="s">
        <v>100</v>
      </c>
      <c r="AR197" s="93">
        <v>357</v>
      </c>
    </row>
    <row r="198" spans="1:61" ht="16.5">
      <c r="A198" s="93">
        <v>358</v>
      </c>
      <c r="B198" s="93" t="s">
        <v>113</v>
      </c>
      <c r="C198" s="94">
        <v>84.16</v>
      </c>
      <c r="D198" s="94">
        <v>0</v>
      </c>
      <c r="E198" s="94">
        <v>7.9200000000000008</v>
      </c>
      <c r="F198" s="94">
        <v>0</v>
      </c>
      <c r="G198" s="94">
        <v>0</v>
      </c>
      <c r="H198" s="94">
        <v>0</v>
      </c>
      <c r="I198" s="94">
        <v>7.9200000000000008</v>
      </c>
      <c r="J198" s="94">
        <v>0</v>
      </c>
      <c r="K198" s="94">
        <v>0</v>
      </c>
      <c r="L198" s="94">
        <v>0</v>
      </c>
      <c r="M198" s="74" t="str">
        <f t="array" ref="M198">_xlfn.TEXTJOIN("-", TRUE, IF(C198:L198&gt;0, $C$2:$L$2, ""))</f>
        <v xml:space="preserve"> Ti-Zr-Nb</v>
      </c>
      <c r="N198" s="90">
        <f t="shared" si="6"/>
        <v>160</v>
      </c>
      <c r="O198" s="91">
        <f t="shared" si="7"/>
        <v>3</v>
      </c>
      <c r="P198" s="94">
        <v>1</v>
      </c>
      <c r="Q198" s="94">
        <v>1</v>
      </c>
      <c r="R198" s="93" t="s">
        <v>113</v>
      </c>
      <c r="S198" s="93" t="s">
        <v>113</v>
      </c>
      <c r="T198" s="93" t="s">
        <v>113</v>
      </c>
      <c r="U198" s="93" t="s">
        <v>113</v>
      </c>
      <c r="V198" s="93">
        <v>1</v>
      </c>
      <c r="W198" s="93" t="s">
        <v>113</v>
      </c>
      <c r="X198" s="93" t="s">
        <v>113</v>
      </c>
      <c r="Y198" s="93" t="s">
        <v>113</v>
      </c>
      <c r="Z198" s="94">
        <v>66</v>
      </c>
      <c r="AA198" s="93" t="s">
        <v>113</v>
      </c>
      <c r="AB198" s="93" t="s">
        <v>113</v>
      </c>
      <c r="AC198" s="94">
        <v>501</v>
      </c>
      <c r="AD198" s="93" t="s">
        <v>113</v>
      </c>
      <c r="AE198" s="93" t="s">
        <v>113</v>
      </c>
      <c r="AF198" s="93" t="s">
        <v>113</v>
      </c>
      <c r="AG198" s="93" t="s">
        <v>113</v>
      </c>
      <c r="AH198" s="93" t="s">
        <v>113</v>
      </c>
      <c r="AI198" s="93" t="s">
        <v>113</v>
      </c>
      <c r="AJ198" s="93" t="s">
        <v>113</v>
      </c>
      <c r="AK198" s="93" t="s">
        <v>113</v>
      </c>
      <c r="AL198" s="93" t="s">
        <v>113</v>
      </c>
      <c r="AM198" s="93"/>
      <c r="AN198" s="93" t="s">
        <v>113</v>
      </c>
      <c r="AO198" s="93" t="s">
        <v>114</v>
      </c>
      <c r="AP198" s="94">
        <v>358</v>
      </c>
      <c r="AQ198" s="94" t="s">
        <v>100</v>
      </c>
      <c r="AR198" s="93">
        <v>358</v>
      </c>
    </row>
    <row r="199" spans="1:61" ht="16.5">
      <c r="A199" s="93">
        <v>490</v>
      </c>
      <c r="B199" s="93" t="s">
        <v>113</v>
      </c>
      <c r="C199" s="94">
        <v>77</v>
      </c>
      <c r="D199" s="94">
        <v>0</v>
      </c>
      <c r="E199" s="94">
        <v>1</v>
      </c>
      <c r="F199" s="94">
        <v>0</v>
      </c>
      <c r="G199" s="94">
        <v>0</v>
      </c>
      <c r="H199" s="94">
        <v>0</v>
      </c>
      <c r="I199" s="94">
        <v>22</v>
      </c>
      <c r="J199" s="94">
        <v>0</v>
      </c>
      <c r="K199" s="94">
        <v>0</v>
      </c>
      <c r="L199" s="94">
        <v>0</v>
      </c>
      <c r="M199" s="74" t="str">
        <f t="array" ref="M199">_xlfn.TEXTJOIN("-", TRUE, IF(C199:L199&gt;0, $C$2:$L$2, ""))</f>
        <v xml:space="preserve"> Ti-Zr-Nb</v>
      </c>
      <c r="N199" s="90">
        <f t="shared" si="6"/>
        <v>160</v>
      </c>
      <c r="O199" s="91">
        <f t="shared" si="7"/>
        <v>3</v>
      </c>
      <c r="P199" s="94">
        <v>1</v>
      </c>
      <c r="Q199" s="94">
        <v>1</v>
      </c>
      <c r="R199" s="93" t="s">
        <v>113</v>
      </c>
      <c r="S199" s="93" t="s">
        <v>113</v>
      </c>
      <c r="T199" s="93" t="s">
        <v>113</v>
      </c>
      <c r="U199" s="93" t="s">
        <v>113</v>
      </c>
      <c r="V199" s="94">
        <v>1</v>
      </c>
      <c r="W199" s="93" t="s">
        <v>113</v>
      </c>
      <c r="X199" s="93" t="s">
        <v>113</v>
      </c>
      <c r="Y199" s="93" t="s">
        <v>113</v>
      </c>
      <c r="Z199" s="94">
        <v>68</v>
      </c>
      <c r="AA199" s="93" t="s">
        <v>113</v>
      </c>
      <c r="AB199" s="93" t="s">
        <v>113</v>
      </c>
      <c r="AC199" s="94">
        <v>370</v>
      </c>
      <c r="AD199" s="93" t="s">
        <v>113</v>
      </c>
      <c r="AE199" s="93" t="s">
        <v>113</v>
      </c>
      <c r="AF199" s="93" t="s">
        <v>113</v>
      </c>
      <c r="AG199" s="93" t="s">
        <v>113</v>
      </c>
      <c r="AH199" s="93" t="s">
        <v>113</v>
      </c>
      <c r="AI199" s="93" t="s">
        <v>113</v>
      </c>
      <c r="AJ199" s="93" t="s">
        <v>113</v>
      </c>
      <c r="AK199" s="93" t="s">
        <v>113</v>
      </c>
      <c r="AL199" s="93" t="s">
        <v>113</v>
      </c>
      <c r="AM199" s="93"/>
      <c r="AN199" s="93" t="s">
        <v>113</v>
      </c>
      <c r="AO199" s="93" t="s">
        <v>114</v>
      </c>
      <c r="AP199" s="94">
        <v>490</v>
      </c>
      <c r="AQ199" s="94" t="s">
        <v>100</v>
      </c>
      <c r="AR199" s="93">
        <v>490</v>
      </c>
    </row>
    <row r="200" spans="1:61" ht="16.5">
      <c r="A200" s="93">
        <v>496</v>
      </c>
      <c r="B200" s="93" t="s">
        <v>113</v>
      </c>
      <c r="C200" s="94">
        <v>74</v>
      </c>
      <c r="D200" s="94">
        <v>0</v>
      </c>
      <c r="E200" s="94">
        <v>2</v>
      </c>
      <c r="F200" s="94">
        <v>0</v>
      </c>
      <c r="G200" s="94">
        <v>0</v>
      </c>
      <c r="H200" s="94">
        <v>0</v>
      </c>
      <c r="I200" s="94">
        <v>24</v>
      </c>
      <c r="J200" s="94">
        <v>0</v>
      </c>
      <c r="K200" s="94">
        <v>0</v>
      </c>
      <c r="L200" s="94">
        <v>0</v>
      </c>
      <c r="M200" s="74" t="str">
        <f t="array" ref="M200">_xlfn.TEXTJOIN("-", TRUE, IF(C200:L200&gt;0, $C$2:$L$2, ""))</f>
        <v xml:space="preserve"> Ti-Zr-Nb</v>
      </c>
      <c r="N200" s="90">
        <f t="shared" si="6"/>
        <v>160</v>
      </c>
      <c r="O200" s="91">
        <f t="shared" si="7"/>
        <v>3</v>
      </c>
      <c r="P200" s="94">
        <v>1</v>
      </c>
      <c r="Q200" s="94">
        <v>1</v>
      </c>
      <c r="R200" s="93" t="s">
        <v>113</v>
      </c>
      <c r="S200" s="93" t="s">
        <v>113</v>
      </c>
      <c r="T200" s="93" t="s">
        <v>113</v>
      </c>
      <c r="U200" s="93" t="s">
        <v>113</v>
      </c>
      <c r="V200" s="94">
        <v>1</v>
      </c>
      <c r="W200" s="93" t="s">
        <v>113</v>
      </c>
      <c r="X200" s="93" t="s">
        <v>113</v>
      </c>
      <c r="Y200" s="93" t="s">
        <v>113</v>
      </c>
      <c r="Z200" s="94">
        <v>59</v>
      </c>
      <c r="AA200" s="93" t="s">
        <v>113</v>
      </c>
      <c r="AB200" s="93" t="s">
        <v>113</v>
      </c>
      <c r="AC200" s="94">
        <v>249</v>
      </c>
      <c r="AD200" s="93" t="s">
        <v>113</v>
      </c>
      <c r="AE200" s="93" t="s">
        <v>113</v>
      </c>
      <c r="AF200" s="93" t="s">
        <v>113</v>
      </c>
      <c r="AG200" s="93" t="s">
        <v>113</v>
      </c>
      <c r="AH200" s="93" t="s">
        <v>113</v>
      </c>
      <c r="AI200" s="93" t="s">
        <v>113</v>
      </c>
      <c r="AJ200" s="93" t="s">
        <v>113</v>
      </c>
      <c r="AK200" s="93" t="s">
        <v>113</v>
      </c>
      <c r="AL200" s="93" t="s">
        <v>113</v>
      </c>
      <c r="AM200" s="93"/>
      <c r="AN200" s="93" t="s">
        <v>113</v>
      </c>
      <c r="AO200" s="93" t="s">
        <v>114</v>
      </c>
      <c r="AP200" s="94">
        <v>496</v>
      </c>
      <c r="AQ200" s="94" t="s">
        <v>100</v>
      </c>
      <c r="AR200" s="93">
        <v>496</v>
      </c>
    </row>
    <row r="201" spans="1:61" ht="16.5">
      <c r="A201" s="93">
        <v>497</v>
      </c>
      <c r="B201" s="93" t="s">
        <v>113</v>
      </c>
      <c r="C201" s="94">
        <v>72</v>
      </c>
      <c r="D201" s="94">
        <v>0</v>
      </c>
      <c r="E201" s="94">
        <v>4</v>
      </c>
      <c r="F201" s="94">
        <v>0</v>
      </c>
      <c r="G201" s="94">
        <v>0</v>
      </c>
      <c r="H201" s="94">
        <v>0</v>
      </c>
      <c r="I201" s="94">
        <v>24</v>
      </c>
      <c r="J201" s="94">
        <v>0</v>
      </c>
      <c r="K201" s="94">
        <v>0</v>
      </c>
      <c r="L201" s="94">
        <v>0</v>
      </c>
      <c r="M201" s="74" t="str">
        <f t="array" ref="M201">_xlfn.TEXTJOIN("-", TRUE, IF(C201:L201&gt;0, $C$2:$L$2, ""))</f>
        <v xml:space="preserve"> Ti-Zr-Nb</v>
      </c>
      <c r="N201" s="90">
        <f t="shared" si="6"/>
        <v>160</v>
      </c>
      <c r="O201" s="91">
        <f t="shared" si="7"/>
        <v>3</v>
      </c>
      <c r="P201" s="94">
        <v>1</v>
      </c>
      <c r="Q201" s="94">
        <v>1</v>
      </c>
      <c r="R201" s="93" t="s">
        <v>113</v>
      </c>
      <c r="S201" s="93" t="s">
        <v>113</v>
      </c>
      <c r="T201" s="93" t="s">
        <v>113</v>
      </c>
      <c r="U201" s="93" t="s">
        <v>113</v>
      </c>
      <c r="V201" s="94">
        <v>1</v>
      </c>
      <c r="W201" s="93" t="s">
        <v>113</v>
      </c>
      <c r="X201" s="93" t="s">
        <v>113</v>
      </c>
      <c r="Y201" s="93" t="s">
        <v>113</v>
      </c>
      <c r="Z201" s="94">
        <v>60</v>
      </c>
      <c r="AA201" s="93" t="s">
        <v>113</v>
      </c>
      <c r="AB201" s="93" t="s">
        <v>113</v>
      </c>
      <c r="AC201" s="94">
        <v>417</v>
      </c>
      <c r="AD201" s="93" t="s">
        <v>113</v>
      </c>
      <c r="AE201" s="93" t="s">
        <v>113</v>
      </c>
      <c r="AF201" s="93" t="s">
        <v>113</v>
      </c>
      <c r="AG201" s="93" t="s">
        <v>113</v>
      </c>
      <c r="AH201" s="93" t="s">
        <v>113</v>
      </c>
      <c r="AI201" s="93" t="s">
        <v>113</v>
      </c>
      <c r="AJ201" s="93" t="s">
        <v>113</v>
      </c>
      <c r="AK201" s="93" t="s">
        <v>113</v>
      </c>
      <c r="AL201" s="93" t="s">
        <v>113</v>
      </c>
      <c r="AM201" s="93"/>
      <c r="AN201" s="93" t="s">
        <v>113</v>
      </c>
      <c r="AO201" s="93" t="s">
        <v>114</v>
      </c>
      <c r="AP201" s="94">
        <v>497</v>
      </c>
      <c r="AQ201" s="94" t="s">
        <v>100</v>
      </c>
      <c r="AR201" s="93">
        <v>497</v>
      </c>
    </row>
    <row r="202" spans="1:61" ht="16.5">
      <c r="A202" s="9">
        <v>16</v>
      </c>
      <c r="C202" s="9">
        <v>76.319999999999993</v>
      </c>
      <c r="D202">
        <v>0</v>
      </c>
      <c r="E202" s="9">
        <v>4.8099999999999996</v>
      </c>
      <c r="F202" s="9">
        <v>0</v>
      </c>
      <c r="G202" s="9">
        <v>0</v>
      </c>
      <c r="H202" s="9">
        <v>0</v>
      </c>
      <c r="I202" s="9">
        <v>18.87</v>
      </c>
      <c r="J202" s="9">
        <v>0</v>
      </c>
      <c r="K202" s="9">
        <v>0</v>
      </c>
      <c r="L202" s="9">
        <v>0</v>
      </c>
      <c r="M202" s="74" t="str">
        <f t="array" ref="M202">_xlfn.TEXTJOIN("-", TRUE, IF(C202:L202&gt;0, $C$2:$L$2, ""))</f>
        <v xml:space="preserve"> Ti-Zr-Nb</v>
      </c>
      <c r="N202" s="90">
        <f t="shared" si="6"/>
        <v>160</v>
      </c>
      <c r="O202" s="91">
        <f t="shared" si="7"/>
        <v>3</v>
      </c>
      <c r="Z202" s="9">
        <v>65</v>
      </c>
      <c r="AQ202" s="94" t="s">
        <v>382</v>
      </c>
    </row>
    <row r="203" spans="1:61" ht="16.5">
      <c r="A203" s="9">
        <v>60</v>
      </c>
      <c r="C203" s="9">
        <v>68</v>
      </c>
      <c r="D203">
        <v>0</v>
      </c>
      <c r="E203" s="9">
        <v>12</v>
      </c>
      <c r="F203" s="9">
        <v>0</v>
      </c>
      <c r="G203" s="9">
        <v>0</v>
      </c>
      <c r="H203" s="9">
        <v>0</v>
      </c>
      <c r="I203" s="9">
        <v>20</v>
      </c>
      <c r="J203" s="9">
        <v>0</v>
      </c>
      <c r="K203" s="9">
        <v>0</v>
      </c>
      <c r="L203" s="9">
        <v>0</v>
      </c>
      <c r="M203" s="74" t="str">
        <f t="array" ref="M203">_xlfn.TEXTJOIN("-", TRUE, IF(C203:L203&gt;0, $C$2:$L$2, ""))</f>
        <v xml:space="preserve"> Ti-Zr-Nb</v>
      </c>
      <c r="N203" s="90">
        <f t="shared" si="6"/>
        <v>160</v>
      </c>
      <c r="O203" s="91">
        <f t="shared" si="7"/>
        <v>3</v>
      </c>
      <c r="Z203" s="9">
        <v>54.8</v>
      </c>
      <c r="AQ203" s="94" t="s">
        <v>382</v>
      </c>
    </row>
    <row r="204" spans="1:61" ht="16.5">
      <c r="A204" s="9">
        <v>61</v>
      </c>
      <c r="C204" s="9">
        <v>62</v>
      </c>
      <c r="D204">
        <v>0</v>
      </c>
      <c r="E204" s="9">
        <v>21</v>
      </c>
      <c r="F204" s="9">
        <v>0</v>
      </c>
      <c r="G204" s="9">
        <v>0</v>
      </c>
      <c r="H204" s="9">
        <v>0</v>
      </c>
      <c r="I204" s="9">
        <v>17</v>
      </c>
      <c r="J204" s="9">
        <v>0</v>
      </c>
      <c r="K204" s="9">
        <v>0</v>
      </c>
      <c r="L204" s="9">
        <v>0</v>
      </c>
      <c r="M204" s="74" t="str">
        <f t="array" ref="M204">_xlfn.TEXTJOIN("-", TRUE, IF(C204:L204&gt;0, $C$2:$L$2, ""))</f>
        <v xml:space="preserve"> Ti-Zr-Nb</v>
      </c>
      <c r="N204" s="90">
        <f t="shared" si="6"/>
        <v>160</v>
      </c>
      <c r="O204" s="91">
        <f t="shared" si="7"/>
        <v>3</v>
      </c>
      <c r="Z204" s="9">
        <v>52.4</v>
      </c>
      <c r="AQ204" s="94" t="s">
        <v>382</v>
      </c>
    </row>
    <row r="205" spans="1:61" ht="16.5">
      <c r="A205" s="9">
        <v>62</v>
      </c>
      <c r="C205" s="9">
        <v>51</v>
      </c>
      <c r="D205">
        <v>0</v>
      </c>
      <c r="E205" s="9">
        <v>38</v>
      </c>
      <c r="F205" s="9">
        <v>0</v>
      </c>
      <c r="G205" s="9">
        <v>0</v>
      </c>
      <c r="H205" s="9">
        <v>0</v>
      </c>
      <c r="I205" s="9">
        <v>11</v>
      </c>
      <c r="J205" s="9">
        <v>0</v>
      </c>
      <c r="K205" s="9">
        <v>0</v>
      </c>
      <c r="L205" s="9">
        <v>0</v>
      </c>
      <c r="M205" s="74" t="str">
        <f t="array" ref="M205">_xlfn.TEXTJOIN("-", TRUE, IF(C205:L205&gt;0, $C$2:$L$2, ""))</f>
        <v xml:space="preserve"> Ti-Zr-Nb</v>
      </c>
      <c r="N205" s="90">
        <f t="shared" si="6"/>
        <v>160</v>
      </c>
      <c r="O205" s="91">
        <f t="shared" si="7"/>
        <v>3</v>
      </c>
      <c r="Z205" s="9">
        <v>48.8</v>
      </c>
      <c r="AQ205" s="94" t="s">
        <v>382</v>
      </c>
    </row>
    <row r="206" spans="1:61" ht="16.5">
      <c r="A206" s="9">
        <v>63</v>
      </c>
      <c r="C206" s="9">
        <v>41</v>
      </c>
      <c r="D206">
        <v>0</v>
      </c>
      <c r="E206" s="9">
        <v>53</v>
      </c>
      <c r="F206" s="9">
        <v>0</v>
      </c>
      <c r="G206" s="9">
        <v>0</v>
      </c>
      <c r="H206" s="9">
        <v>0</v>
      </c>
      <c r="I206" s="9">
        <v>6</v>
      </c>
      <c r="J206" s="9">
        <v>0</v>
      </c>
      <c r="K206" s="9">
        <v>0</v>
      </c>
      <c r="L206" s="9">
        <v>0</v>
      </c>
      <c r="M206" s="74" t="str">
        <f t="array" ref="M206">_xlfn.TEXTJOIN("-", TRUE, IF(C206:L206&gt;0, $C$2:$L$2, ""))</f>
        <v xml:space="preserve"> Ti-Zr-Nb</v>
      </c>
      <c r="N206" s="90">
        <f t="shared" si="6"/>
        <v>160</v>
      </c>
      <c r="O206" s="91">
        <f t="shared" si="7"/>
        <v>3</v>
      </c>
      <c r="Z206" s="9">
        <v>48</v>
      </c>
      <c r="AQ206" s="94" t="s">
        <v>382</v>
      </c>
    </row>
    <row r="207" spans="1:61" ht="16.5">
      <c r="A207" s="9">
        <v>74</v>
      </c>
      <c r="C207" s="9">
        <v>84.55</v>
      </c>
      <c r="D207">
        <v>0</v>
      </c>
      <c r="E207" s="9">
        <v>7.79</v>
      </c>
      <c r="F207" s="9">
        <v>0</v>
      </c>
      <c r="G207" s="9">
        <v>0</v>
      </c>
      <c r="H207" s="9">
        <v>0</v>
      </c>
      <c r="I207" s="9">
        <v>7.66</v>
      </c>
      <c r="J207" s="9">
        <v>0</v>
      </c>
      <c r="K207" s="9">
        <v>0</v>
      </c>
      <c r="L207" s="9">
        <v>0</v>
      </c>
      <c r="M207" s="74" t="str">
        <f t="array" ref="M207">_xlfn.TEXTJOIN("-", TRUE, IF(C207:L207&gt;0, $C$2:$L$2, ""))</f>
        <v xml:space="preserve"> Ti-Zr-Nb</v>
      </c>
      <c r="N207" s="90">
        <f t="shared" si="6"/>
        <v>160</v>
      </c>
      <c r="O207" s="91">
        <f t="shared" si="7"/>
        <v>3</v>
      </c>
      <c r="Z207" s="9">
        <v>91.2</v>
      </c>
      <c r="AQ207" s="94" t="s">
        <v>382</v>
      </c>
    </row>
    <row r="208" spans="1:61" ht="16.5">
      <c r="A208" s="9">
        <v>112</v>
      </c>
      <c r="C208" s="9">
        <v>52.8</v>
      </c>
      <c r="D208">
        <v>0</v>
      </c>
      <c r="E208" s="9">
        <v>29.5</v>
      </c>
      <c r="F208" s="9">
        <v>0</v>
      </c>
      <c r="G208" s="9">
        <v>0</v>
      </c>
      <c r="H208" s="9">
        <v>0</v>
      </c>
      <c r="I208" s="9">
        <v>17.7</v>
      </c>
      <c r="J208" s="9">
        <v>0</v>
      </c>
      <c r="K208" s="9">
        <v>0</v>
      </c>
      <c r="L208" s="9">
        <v>0</v>
      </c>
      <c r="M208" s="74" t="str">
        <f t="array" ref="M208">_xlfn.TEXTJOIN("-", TRUE, IF(C208:L208&gt;0, $C$2:$L$2, ""))</f>
        <v xml:space="preserve"> Ti-Zr-Nb</v>
      </c>
      <c r="N208" s="90">
        <f t="shared" si="6"/>
        <v>160</v>
      </c>
      <c r="O208" s="91">
        <f t="shared" si="7"/>
        <v>3</v>
      </c>
      <c r="Z208" s="9">
        <v>68.2</v>
      </c>
      <c r="AQ208" s="94" t="s">
        <v>382</v>
      </c>
    </row>
    <row r="209" spans="1:43" ht="16.5">
      <c r="A209" s="9">
        <v>113</v>
      </c>
      <c r="C209" s="9">
        <v>54</v>
      </c>
      <c r="D209">
        <v>0</v>
      </c>
      <c r="E209" s="9">
        <v>20</v>
      </c>
      <c r="F209" s="9">
        <v>0</v>
      </c>
      <c r="G209" s="9">
        <v>0</v>
      </c>
      <c r="H209" s="9">
        <v>0</v>
      </c>
      <c r="I209" s="9">
        <v>26</v>
      </c>
      <c r="J209" s="9">
        <v>0</v>
      </c>
      <c r="K209" s="9">
        <v>0</v>
      </c>
      <c r="L209" s="9">
        <v>0</v>
      </c>
      <c r="M209" s="74" t="str">
        <f t="array" ref="M209">_xlfn.TEXTJOIN("-", TRUE, IF(C209:L209&gt;0, $C$2:$L$2, ""))</f>
        <v xml:space="preserve"> Ti-Zr-Nb</v>
      </c>
      <c r="N209" s="90">
        <f t="shared" si="6"/>
        <v>160</v>
      </c>
      <c r="O209" s="91">
        <f t="shared" si="7"/>
        <v>3</v>
      </c>
      <c r="Z209" s="9">
        <v>59.07</v>
      </c>
      <c r="AQ209" s="94" t="s">
        <v>382</v>
      </c>
    </row>
    <row r="210" spans="1:43" ht="16.5">
      <c r="A210" s="9">
        <v>114</v>
      </c>
      <c r="C210" s="9">
        <v>53.1</v>
      </c>
      <c r="D210">
        <v>0</v>
      </c>
      <c r="E210" s="9">
        <v>10.4</v>
      </c>
      <c r="F210" s="9">
        <v>0</v>
      </c>
      <c r="G210" s="9">
        <v>0</v>
      </c>
      <c r="H210" s="9">
        <v>0</v>
      </c>
      <c r="I210" s="9">
        <v>36.5</v>
      </c>
      <c r="J210" s="9">
        <v>0</v>
      </c>
      <c r="K210" s="9">
        <v>0</v>
      </c>
      <c r="L210" s="9">
        <v>0</v>
      </c>
      <c r="M210" s="74" t="str">
        <f t="array" ref="M210">_xlfn.TEXTJOIN("-", TRUE, IF(C210:L210&gt;0, $C$2:$L$2, ""))</f>
        <v xml:space="preserve"> Ti-Zr-Nb</v>
      </c>
      <c r="N210" s="90">
        <f t="shared" si="6"/>
        <v>160</v>
      </c>
      <c r="O210" s="91">
        <f t="shared" si="7"/>
        <v>3</v>
      </c>
      <c r="Z210" s="9">
        <v>92.18</v>
      </c>
      <c r="AQ210" s="94" t="s">
        <v>382</v>
      </c>
    </row>
    <row r="211" spans="1:43" ht="16.5">
      <c r="A211" s="9">
        <v>115</v>
      </c>
      <c r="C211" s="9">
        <v>84.09</v>
      </c>
      <c r="D211">
        <v>0</v>
      </c>
      <c r="E211" s="9">
        <v>8.1199999999999992</v>
      </c>
      <c r="F211" s="9">
        <v>0</v>
      </c>
      <c r="G211" s="9">
        <v>0</v>
      </c>
      <c r="H211" s="9">
        <v>0</v>
      </c>
      <c r="I211" s="9">
        <v>7.79</v>
      </c>
      <c r="J211" s="9">
        <v>0</v>
      </c>
      <c r="K211" s="9">
        <v>0</v>
      </c>
      <c r="L211" s="9">
        <v>0</v>
      </c>
      <c r="M211" s="74" t="str">
        <f t="array" ref="M211">_xlfn.TEXTJOIN("-", TRUE, IF(C211:L211&gt;0, $C$2:$L$2, ""))</f>
        <v xml:space="preserve"> Ti-Zr-Nb</v>
      </c>
      <c r="N211" s="90">
        <f t="shared" si="6"/>
        <v>160</v>
      </c>
      <c r="O211" s="91">
        <f t="shared" si="7"/>
        <v>3</v>
      </c>
      <c r="Z211" s="9">
        <v>80</v>
      </c>
      <c r="AQ211" s="94" t="s">
        <v>382</v>
      </c>
    </row>
    <row r="212" spans="1:43" ht="16.5">
      <c r="A212" s="9">
        <v>116</v>
      </c>
      <c r="C212" s="9">
        <v>67.53</v>
      </c>
      <c r="D212">
        <v>0</v>
      </c>
      <c r="E212" s="9">
        <v>4.8600000000000003</v>
      </c>
      <c r="F212" s="9">
        <v>0</v>
      </c>
      <c r="G212" s="9">
        <v>0</v>
      </c>
      <c r="H212" s="9">
        <v>0</v>
      </c>
      <c r="I212" s="9">
        <v>27.61</v>
      </c>
      <c r="J212" s="9">
        <v>0</v>
      </c>
      <c r="K212" s="9">
        <v>0</v>
      </c>
      <c r="L212" s="9">
        <v>0</v>
      </c>
      <c r="M212" s="74" t="str">
        <f t="array" ref="M212">_xlfn.TEXTJOIN("-", TRUE, IF(C212:L212&gt;0, $C$2:$L$2, ""))</f>
        <v xml:space="preserve"> Ti-Zr-Nb</v>
      </c>
      <c r="N212" s="90">
        <f t="shared" si="6"/>
        <v>160</v>
      </c>
      <c r="O212" s="91">
        <f t="shared" si="7"/>
        <v>3</v>
      </c>
      <c r="Z212" s="9">
        <v>65</v>
      </c>
      <c r="AQ212" s="94" t="s">
        <v>382</v>
      </c>
    </row>
    <row r="213" spans="1:43" ht="16.5">
      <c r="A213" s="9">
        <v>117</v>
      </c>
      <c r="C213" s="9">
        <v>72</v>
      </c>
      <c r="D213">
        <v>0</v>
      </c>
      <c r="E213" s="9">
        <v>3</v>
      </c>
      <c r="F213" s="9">
        <v>0</v>
      </c>
      <c r="G213" s="9">
        <v>0</v>
      </c>
      <c r="H213" s="9">
        <v>0</v>
      </c>
      <c r="I213" s="9">
        <v>25</v>
      </c>
      <c r="J213" s="9">
        <v>0</v>
      </c>
      <c r="K213" s="9">
        <v>0</v>
      </c>
      <c r="L213" s="9">
        <v>0</v>
      </c>
      <c r="M213" s="74" t="str">
        <f t="array" ref="M213">_xlfn.TEXTJOIN("-", TRUE, IF(C213:L213&gt;0, $C$2:$L$2, ""))</f>
        <v xml:space="preserve"> Ti-Zr-Nb</v>
      </c>
      <c r="N213" s="90">
        <f t="shared" si="6"/>
        <v>160</v>
      </c>
      <c r="O213" s="91">
        <f t="shared" si="7"/>
        <v>3</v>
      </c>
      <c r="Z213" s="9">
        <v>66</v>
      </c>
      <c r="AQ213" s="94" t="s">
        <v>382</v>
      </c>
    </row>
    <row r="214" spans="1:43" ht="16.5">
      <c r="A214" s="9">
        <v>118</v>
      </c>
      <c r="C214" s="9">
        <v>71</v>
      </c>
      <c r="D214">
        <v>0</v>
      </c>
      <c r="E214" s="9">
        <v>4</v>
      </c>
      <c r="F214" s="9">
        <v>0</v>
      </c>
      <c r="G214" s="9">
        <v>0</v>
      </c>
      <c r="H214" s="9">
        <v>0</v>
      </c>
      <c r="I214" s="9">
        <v>25</v>
      </c>
      <c r="J214" s="9">
        <v>0</v>
      </c>
      <c r="K214" s="9">
        <v>0</v>
      </c>
      <c r="L214" s="9">
        <v>0</v>
      </c>
      <c r="M214" s="74" t="str">
        <f t="array" ref="M214">_xlfn.TEXTJOIN("-", TRUE, IF(C214:L214&gt;0, $C$2:$L$2, ""))</f>
        <v xml:space="preserve"> Ti-Zr-Nb</v>
      </c>
      <c r="N214" s="90">
        <f t="shared" si="6"/>
        <v>160</v>
      </c>
      <c r="O214" s="91">
        <f t="shared" si="7"/>
        <v>3</v>
      </c>
      <c r="Z214" s="9">
        <v>69</v>
      </c>
      <c r="AQ214" s="94" t="s">
        <v>382</v>
      </c>
    </row>
    <row r="215" spans="1:43" ht="16.5">
      <c r="A215" s="9">
        <v>119</v>
      </c>
      <c r="C215" s="9">
        <v>69</v>
      </c>
      <c r="D215">
        <v>0</v>
      </c>
      <c r="E215" s="9">
        <v>6</v>
      </c>
      <c r="F215" s="9">
        <v>0</v>
      </c>
      <c r="G215" s="9">
        <v>0</v>
      </c>
      <c r="H215" s="9">
        <v>0</v>
      </c>
      <c r="I215" s="9">
        <v>25</v>
      </c>
      <c r="J215" s="9">
        <v>0</v>
      </c>
      <c r="K215" s="9">
        <v>0</v>
      </c>
      <c r="L215" s="9">
        <v>0</v>
      </c>
      <c r="M215" s="74" t="str">
        <f t="array" ref="M215">_xlfn.TEXTJOIN("-", TRUE, IF(C215:L215&gt;0, $C$2:$L$2, ""))</f>
        <v xml:space="preserve"> Ti-Zr-Nb</v>
      </c>
      <c r="N215" s="90">
        <f t="shared" si="6"/>
        <v>160</v>
      </c>
      <c r="O215" s="91">
        <f t="shared" si="7"/>
        <v>3</v>
      </c>
      <c r="Z215" s="9">
        <v>68</v>
      </c>
      <c r="AQ215" s="94" t="s">
        <v>382</v>
      </c>
    </row>
    <row r="216" spans="1:43" ht="16.5">
      <c r="A216" s="9">
        <v>120</v>
      </c>
      <c r="C216" s="9">
        <v>57.23</v>
      </c>
      <c r="D216">
        <v>0</v>
      </c>
      <c r="E216" s="9">
        <v>18.32</v>
      </c>
      <c r="F216" s="9">
        <v>0</v>
      </c>
      <c r="G216" s="9">
        <v>0</v>
      </c>
      <c r="H216" s="9">
        <v>0</v>
      </c>
      <c r="I216" s="9">
        <v>24.45</v>
      </c>
      <c r="J216" s="9">
        <v>0</v>
      </c>
      <c r="K216" s="9">
        <v>0</v>
      </c>
      <c r="L216" s="9">
        <v>0</v>
      </c>
      <c r="M216" s="74" t="str">
        <f t="array" ref="M216">_xlfn.TEXTJOIN("-", TRUE, IF(C216:L216&gt;0, $C$2:$L$2, ""))</f>
        <v xml:space="preserve"> Ti-Zr-Nb</v>
      </c>
      <c r="N216" s="90">
        <f t="shared" si="6"/>
        <v>160</v>
      </c>
      <c r="O216" s="91">
        <f t="shared" si="7"/>
        <v>3</v>
      </c>
      <c r="Z216" s="9">
        <v>62</v>
      </c>
      <c r="AQ216" s="94" t="s">
        <v>382</v>
      </c>
    </row>
    <row r="217" spans="1:43" ht="16.5">
      <c r="A217" s="9">
        <v>122</v>
      </c>
      <c r="C217" s="9">
        <v>75</v>
      </c>
      <c r="D217">
        <v>0</v>
      </c>
      <c r="E217" s="9">
        <v>5</v>
      </c>
      <c r="F217" s="9">
        <v>0</v>
      </c>
      <c r="G217" s="9">
        <v>0</v>
      </c>
      <c r="H217" s="9">
        <v>0</v>
      </c>
      <c r="I217" s="9">
        <v>20</v>
      </c>
      <c r="J217" s="9">
        <v>0</v>
      </c>
      <c r="K217" s="9">
        <v>0</v>
      </c>
      <c r="L217" s="9">
        <v>0</v>
      </c>
      <c r="M217" s="74" t="str">
        <f t="array" ref="M217">_xlfn.TEXTJOIN("-", TRUE, IF(C217:L217&gt;0, $C$2:$L$2, ""))</f>
        <v xml:space="preserve"> Ti-Zr-Nb</v>
      </c>
      <c r="N217" s="90">
        <f t="shared" si="6"/>
        <v>160</v>
      </c>
      <c r="O217" s="91">
        <f t="shared" si="7"/>
        <v>3</v>
      </c>
      <c r="Z217" s="9">
        <v>51.3</v>
      </c>
      <c r="AQ217" s="94" t="s">
        <v>382</v>
      </c>
    </row>
    <row r="218" spans="1:43" ht="16.5">
      <c r="A218" s="9">
        <v>123</v>
      </c>
      <c r="C218" s="9">
        <v>60</v>
      </c>
      <c r="D218">
        <v>0</v>
      </c>
      <c r="E218" s="9">
        <v>20</v>
      </c>
      <c r="F218" s="9">
        <v>0</v>
      </c>
      <c r="G218" s="9">
        <v>0</v>
      </c>
      <c r="H218" s="9">
        <v>0</v>
      </c>
      <c r="I218" s="9">
        <v>20</v>
      </c>
      <c r="J218" s="9">
        <v>0</v>
      </c>
      <c r="K218" s="9">
        <v>0</v>
      </c>
      <c r="L218" s="9">
        <v>0</v>
      </c>
      <c r="M218" s="74" t="str">
        <f t="array" ref="M218">_xlfn.TEXTJOIN("-", TRUE, IF(C218:L218&gt;0, $C$2:$L$2, ""))</f>
        <v xml:space="preserve"> Ti-Zr-Nb</v>
      </c>
      <c r="N218" s="90">
        <f t="shared" si="6"/>
        <v>160</v>
      </c>
      <c r="O218" s="91">
        <f t="shared" si="7"/>
        <v>3</v>
      </c>
      <c r="Z218" s="9">
        <v>47.3</v>
      </c>
      <c r="AQ218" s="94" t="s">
        <v>382</v>
      </c>
    </row>
    <row r="219" spans="1:43" ht="16.5">
      <c r="A219" s="9">
        <v>124</v>
      </c>
      <c r="C219" s="9">
        <v>50</v>
      </c>
      <c r="D219">
        <v>0</v>
      </c>
      <c r="E219" s="9">
        <v>30</v>
      </c>
      <c r="F219" s="9">
        <v>0</v>
      </c>
      <c r="G219" s="9">
        <v>0</v>
      </c>
      <c r="H219" s="9">
        <v>0</v>
      </c>
      <c r="I219" s="9">
        <v>20</v>
      </c>
      <c r="J219" s="9">
        <v>0</v>
      </c>
      <c r="K219" s="9">
        <v>0</v>
      </c>
      <c r="L219" s="9">
        <v>0</v>
      </c>
      <c r="M219" s="74" t="str">
        <f t="array" ref="M219">_xlfn.TEXTJOIN("-", TRUE, IF(C219:L219&gt;0, $C$2:$L$2, ""))</f>
        <v xml:space="preserve"> Ti-Zr-Nb</v>
      </c>
      <c r="N219" s="90">
        <f t="shared" si="6"/>
        <v>160</v>
      </c>
      <c r="O219" s="91">
        <f t="shared" si="7"/>
        <v>3</v>
      </c>
      <c r="Z219" s="9">
        <v>52.7</v>
      </c>
      <c r="AQ219" s="94" t="s">
        <v>382</v>
      </c>
    </row>
    <row r="220" spans="1:43" ht="16.5">
      <c r="A220" s="9">
        <v>125</v>
      </c>
      <c r="C220" s="9">
        <v>40</v>
      </c>
      <c r="D220">
        <v>0</v>
      </c>
      <c r="E220" s="9">
        <v>40</v>
      </c>
      <c r="F220" s="9">
        <v>0</v>
      </c>
      <c r="G220" s="9">
        <v>0</v>
      </c>
      <c r="H220" s="9">
        <v>0</v>
      </c>
      <c r="I220" s="9">
        <v>20</v>
      </c>
      <c r="J220" s="9">
        <v>0</v>
      </c>
      <c r="K220" s="9">
        <v>0</v>
      </c>
      <c r="L220" s="9">
        <v>0</v>
      </c>
      <c r="M220" s="74" t="str">
        <f t="array" ref="M220">_xlfn.TEXTJOIN("-", TRUE, IF(C220:L220&gt;0, $C$2:$L$2, ""))</f>
        <v xml:space="preserve"> Ti-Zr-Nb</v>
      </c>
      <c r="N220" s="90">
        <f t="shared" si="6"/>
        <v>160</v>
      </c>
      <c r="O220" s="91">
        <f t="shared" si="7"/>
        <v>3</v>
      </c>
      <c r="Z220" s="9">
        <v>50.5</v>
      </c>
      <c r="AQ220" s="94" t="s">
        <v>382</v>
      </c>
    </row>
    <row r="221" spans="1:43" ht="16.5">
      <c r="A221" s="9">
        <v>128</v>
      </c>
      <c r="C221" s="9">
        <v>21.12</v>
      </c>
      <c r="D221">
        <v>0</v>
      </c>
      <c r="E221" s="9">
        <v>39.08</v>
      </c>
      <c r="F221" s="9">
        <v>0</v>
      </c>
      <c r="G221" s="9">
        <v>0</v>
      </c>
      <c r="H221" s="9">
        <v>0</v>
      </c>
      <c r="I221" s="9">
        <v>39.799999999999997</v>
      </c>
      <c r="J221" s="9">
        <v>0</v>
      </c>
      <c r="K221" s="9">
        <v>0</v>
      </c>
      <c r="L221" s="9">
        <v>0</v>
      </c>
      <c r="M221" s="74" t="str">
        <f t="array" ref="M221">_xlfn.TEXTJOIN("-", TRUE, IF(C221:L221&gt;0, $C$2:$L$2, ""))</f>
        <v xml:space="preserve"> Ti-Zr-Nb</v>
      </c>
      <c r="N221" s="90">
        <f t="shared" si="6"/>
        <v>160</v>
      </c>
      <c r="O221" s="91">
        <f t="shared" si="7"/>
        <v>3</v>
      </c>
      <c r="Z221" s="9">
        <v>78</v>
      </c>
      <c r="AQ221" s="94" t="s">
        <v>382</v>
      </c>
    </row>
    <row r="222" spans="1:43" ht="16.5">
      <c r="A222" s="9">
        <v>129</v>
      </c>
      <c r="C222" s="9">
        <v>11.5</v>
      </c>
      <c r="D222">
        <v>0</v>
      </c>
      <c r="E222" s="9">
        <v>43.85</v>
      </c>
      <c r="F222" s="9">
        <v>0</v>
      </c>
      <c r="G222" s="9">
        <v>0</v>
      </c>
      <c r="H222" s="9">
        <v>0</v>
      </c>
      <c r="I222" s="9">
        <v>44.65</v>
      </c>
      <c r="J222" s="9">
        <v>0</v>
      </c>
      <c r="K222" s="9">
        <v>0</v>
      </c>
      <c r="L222" s="9">
        <v>0</v>
      </c>
      <c r="M222" s="74" t="str">
        <f t="array" ref="M222">_xlfn.TEXTJOIN("-", TRUE, IF(C222:L222&gt;0, $C$2:$L$2, ""))</f>
        <v xml:space="preserve"> Ti-Zr-Nb</v>
      </c>
      <c r="N222" s="90">
        <f t="shared" si="6"/>
        <v>160</v>
      </c>
      <c r="O222" s="91">
        <f t="shared" si="7"/>
        <v>3</v>
      </c>
      <c r="Z222" s="9">
        <v>75</v>
      </c>
      <c r="AQ222" s="94" t="s">
        <v>382</v>
      </c>
    </row>
    <row r="223" spans="1:43" ht="16.5">
      <c r="A223" s="9">
        <v>136</v>
      </c>
      <c r="C223" s="9">
        <v>57.24</v>
      </c>
      <c r="D223">
        <v>0</v>
      </c>
      <c r="E223" s="9">
        <v>18.309999999999999</v>
      </c>
      <c r="F223" s="9">
        <v>0</v>
      </c>
      <c r="G223" s="9">
        <v>0</v>
      </c>
      <c r="H223" s="9">
        <v>0</v>
      </c>
      <c r="I223" s="9">
        <v>24.45</v>
      </c>
      <c r="J223" s="9">
        <v>0</v>
      </c>
      <c r="K223" s="9">
        <v>0</v>
      </c>
      <c r="L223" s="9">
        <v>0</v>
      </c>
      <c r="M223" s="74" t="str">
        <f t="array" ref="M223">_xlfn.TEXTJOIN("-", TRUE, IF(C223:L223&gt;0, $C$2:$L$2, ""))</f>
        <v xml:space="preserve"> Ti-Zr-Nb</v>
      </c>
      <c r="N223" s="90">
        <f t="shared" si="6"/>
        <v>160</v>
      </c>
      <c r="O223" s="91">
        <f t="shared" si="7"/>
        <v>3</v>
      </c>
      <c r="Z223" s="9">
        <v>62</v>
      </c>
      <c r="AQ223" s="94" t="s">
        <v>382</v>
      </c>
    </row>
    <row r="224" spans="1:43" ht="16.5">
      <c r="A224" s="9">
        <v>137</v>
      </c>
      <c r="C224" s="9">
        <v>54.1</v>
      </c>
      <c r="D224">
        <v>0</v>
      </c>
      <c r="E224" s="9">
        <v>23.9</v>
      </c>
      <c r="F224" s="9">
        <v>0</v>
      </c>
      <c r="G224" s="9">
        <v>0</v>
      </c>
      <c r="H224" s="9">
        <v>0</v>
      </c>
      <c r="I224" s="9">
        <v>22</v>
      </c>
      <c r="J224" s="9">
        <v>0</v>
      </c>
      <c r="K224" s="9">
        <v>0</v>
      </c>
      <c r="L224" s="9">
        <v>0</v>
      </c>
      <c r="M224" s="74" t="str">
        <f t="array" ref="M224">_xlfn.TEXTJOIN("-", TRUE, IF(C224:L224&gt;0, $C$2:$L$2, ""))</f>
        <v xml:space="preserve"> Ti-Zr-Nb</v>
      </c>
      <c r="N224" s="90">
        <f t="shared" si="6"/>
        <v>160</v>
      </c>
      <c r="O224" s="91">
        <f t="shared" si="7"/>
        <v>3</v>
      </c>
      <c r="Z224" s="9">
        <v>65</v>
      </c>
      <c r="AQ224" s="94" t="s">
        <v>382</v>
      </c>
    </row>
    <row r="225" spans="1:61" ht="16.5">
      <c r="A225" s="9">
        <v>138</v>
      </c>
      <c r="C225" s="9">
        <v>52.58</v>
      </c>
      <c r="D225">
        <v>0</v>
      </c>
      <c r="E225" s="9">
        <v>26.69</v>
      </c>
      <c r="F225" s="9">
        <v>0</v>
      </c>
      <c r="G225" s="9">
        <v>0</v>
      </c>
      <c r="H225" s="9">
        <v>0</v>
      </c>
      <c r="I225" s="9">
        <v>20.73</v>
      </c>
      <c r="J225" s="9">
        <v>0</v>
      </c>
      <c r="K225" s="9">
        <v>0</v>
      </c>
      <c r="L225" s="9">
        <v>0</v>
      </c>
      <c r="M225" s="74" t="str">
        <f t="array" ref="M225">_xlfn.TEXTJOIN("-", TRUE, IF(C225:L225&gt;0, $C$2:$L$2, ""))</f>
        <v xml:space="preserve"> Ti-Zr-Nb</v>
      </c>
      <c r="N225" s="90">
        <f t="shared" si="6"/>
        <v>160</v>
      </c>
      <c r="O225" s="91">
        <f t="shared" si="7"/>
        <v>3</v>
      </c>
      <c r="Z225" s="9">
        <v>64</v>
      </c>
      <c r="AQ225" s="94" t="s">
        <v>382</v>
      </c>
    </row>
    <row r="226" spans="1:61" ht="16.5">
      <c r="A226" s="9">
        <v>139</v>
      </c>
      <c r="C226" s="9">
        <v>50.26</v>
      </c>
      <c r="D226">
        <v>0</v>
      </c>
      <c r="E226" s="9">
        <v>31.12</v>
      </c>
      <c r="F226" s="9">
        <v>0</v>
      </c>
      <c r="G226" s="9">
        <v>0</v>
      </c>
      <c r="H226" s="9">
        <v>0</v>
      </c>
      <c r="I226" s="9">
        <v>18.62</v>
      </c>
      <c r="J226" s="9">
        <v>0</v>
      </c>
      <c r="K226" s="9">
        <v>0</v>
      </c>
      <c r="L226" s="9">
        <v>0</v>
      </c>
      <c r="M226" s="74" t="str">
        <f t="array" ref="M226">_xlfn.TEXTJOIN("-", TRUE, IF(C226:L226&gt;0, $C$2:$L$2, ""))</f>
        <v xml:space="preserve"> Ti-Zr-Nb</v>
      </c>
      <c r="N226" s="90">
        <f t="shared" si="6"/>
        <v>160</v>
      </c>
      <c r="O226" s="91">
        <f t="shared" si="7"/>
        <v>3</v>
      </c>
      <c r="Z226" s="9">
        <v>63</v>
      </c>
      <c r="AQ226" s="94" t="s">
        <v>382</v>
      </c>
    </row>
    <row r="227" spans="1:61" ht="16.5">
      <c r="A227" s="9">
        <v>141</v>
      </c>
      <c r="C227" s="9">
        <v>38</v>
      </c>
      <c r="D227">
        <v>0</v>
      </c>
      <c r="E227" s="9">
        <v>32</v>
      </c>
      <c r="F227" s="9">
        <v>0</v>
      </c>
      <c r="G227" s="9">
        <v>0</v>
      </c>
      <c r="H227" s="9">
        <v>0</v>
      </c>
      <c r="I227" s="9">
        <v>30</v>
      </c>
      <c r="J227" s="9">
        <v>0</v>
      </c>
      <c r="K227" s="9">
        <v>0</v>
      </c>
      <c r="L227" s="9">
        <v>0</v>
      </c>
      <c r="M227" s="74" t="str">
        <f t="array" ref="M227">_xlfn.TEXTJOIN("-", TRUE, IF(C227:L227&gt;0, $C$2:$L$2, ""))</f>
        <v xml:space="preserve"> Ti-Zr-Nb</v>
      </c>
      <c r="N227" s="90">
        <f t="shared" si="6"/>
        <v>160</v>
      </c>
      <c r="O227" s="91">
        <f t="shared" si="7"/>
        <v>3</v>
      </c>
      <c r="Z227" s="9">
        <v>65</v>
      </c>
      <c r="AQ227" s="94" t="s">
        <v>382</v>
      </c>
    </row>
    <row r="228" spans="1:61" ht="16.5">
      <c r="A228" s="9">
        <v>142</v>
      </c>
      <c r="C228" s="9">
        <v>41</v>
      </c>
      <c r="D228">
        <v>0</v>
      </c>
      <c r="E228" s="9">
        <v>25</v>
      </c>
      <c r="F228" s="9">
        <v>0</v>
      </c>
      <c r="G228" s="9">
        <v>0</v>
      </c>
      <c r="H228" s="9">
        <v>0</v>
      </c>
      <c r="I228" s="9">
        <v>34</v>
      </c>
      <c r="J228" s="9">
        <v>0</v>
      </c>
      <c r="K228" s="9">
        <v>0</v>
      </c>
      <c r="L228" s="9">
        <v>0</v>
      </c>
      <c r="M228" s="74" t="str">
        <f t="array" ref="M228">_xlfn.TEXTJOIN("-", TRUE, IF(C228:L228&gt;0, $C$2:$L$2, ""))</f>
        <v xml:space="preserve"> Ti-Zr-Nb</v>
      </c>
      <c r="N228" s="90">
        <f t="shared" si="6"/>
        <v>160</v>
      </c>
      <c r="O228" s="91">
        <f t="shared" si="7"/>
        <v>3</v>
      </c>
      <c r="Z228" s="9">
        <v>62</v>
      </c>
      <c r="AQ228" s="94" t="s">
        <v>382</v>
      </c>
    </row>
    <row r="229" spans="1:61" ht="16.5">
      <c r="A229" s="9">
        <v>143</v>
      </c>
      <c r="C229" s="9">
        <v>55</v>
      </c>
      <c r="D229">
        <v>0</v>
      </c>
      <c r="E229" s="9">
        <v>10</v>
      </c>
      <c r="F229" s="9">
        <v>0</v>
      </c>
      <c r="G229" s="9">
        <v>0</v>
      </c>
      <c r="H229" s="9">
        <v>0</v>
      </c>
      <c r="I229" s="9">
        <v>35</v>
      </c>
      <c r="J229" s="9">
        <v>0</v>
      </c>
      <c r="K229" s="9">
        <v>0</v>
      </c>
      <c r="L229" s="9">
        <v>0</v>
      </c>
      <c r="M229" s="74" t="str">
        <f t="array" ref="M229">_xlfn.TEXTJOIN("-", TRUE, IF(C229:L229&gt;0, $C$2:$L$2, ""))</f>
        <v xml:space="preserve"> Ti-Zr-Nb</v>
      </c>
      <c r="N229" s="90">
        <f t="shared" si="6"/>
        <v>160</v>
      </c>
      <c r="O229" s="91">
        <f t="shared" si="7"/>
        <v>3</v>
      </c>
      <c r="Z229" s="9">
        <v>58.8</v>
      </c>
      <c r="AQ229" s="94" t="s">
        <v>382</v>
      </c>
    </row>
    <row r="230" spans="1:61" ht="16.5">
      <c r="A230" s="9">
        <v>144</v>
      </c>
      <c r="C230" s="9">
        <v>60</v>
      </c>
      <c r="D230">
        <v>0</v>
      </c>
      <c r="E230" s="9">
        <v>5</v>
      </c>
      <c r="F230" s="9">
        <v>0</v>
      </c>
      <c r="G230" s="9">
        <v>0</v>
      </c>
      <c r="H230" s="9">
        <v>0</v>
      </c>
      <c r="I230" s="9">
        <v>35</v>
      </c>
      <c r="J230" s="9">
        <v>0</v>
      </c>
      <c r="K230" s="9">
        <v>0</v>
      </c>
      <c r="L230" s="9">
        <v>0</v>
      </c>
      <c r="M230" s="74" t="str">
        <f t="array" ref="M230">_xlfn.TEXTJOIN("-", TRUE, IF(C230:L230&gt;0, $C$2:$L$2, ""))</f>
        <v xml:space="preserve"> Ti-Zr-Nb</v>
      </c>
      <c r="N230" s="90">
        <f t="shared" si="6"/>
        <v>160</v>
      </c>
      <c r="O230" s="91">
        <f t="shared" si="7"/>
        <v>3</v>
      </c>
      <c r="Z230" s="9">
        <v>59.8</v>
      </c>
      <c r="AQ230" s="94" t="s">
        <v>382</v>
      </c>
    </row>
    <row r="231" spans="1:61" ht="16.5">
      <c r="A231" s="9">
        <v>145</v>
      </c>
      <c r="C231" s="9">
        <v>57</v>
      </c>
      <c r="D231">
        <v>0</v>
      </c>
      <c r="E231" s="9">
        <v>6</v>
      </c>
      <c r="F231" s="9">
        <v>0</v>
      </c>
      <c r="G231" s="9">
        <v>0</v>
      </c>
      <c r="H231" s="9">
        <v>0</v>
      </c>
      <c r="I231" s="9">
        <v>37</v>
      </c>
      <c r="J231" s="9">
        <v>0</v>
      </c>
      <c r="K231" s="9">
        <v>0</v>
      </c>
      <c r="L231" s="9">
        <v>0</v>
      </c>
      <c r="M231" s="74" t="str">
        <f t="array" ref="M231">_xlfn.TEXTJOIN("-", TRUE, IF(C231:L231&gt;0, $C$2:$L$2, ""))</f>
        <v xml:space="preserve"> Ti-Zr-Nb</v>
      </c>
      <c r="N231" s="90">
        <f t="shared" si="6"/>
        <v>160</v>
      </c>
      <c r="O231" s="91">
        <f t="shared" si="7"/>
        <v>3</v>
      </c>
      <c r="Z231" s="9">
        <v>60</v>
      </c>
      <c r="AQ231" s="94" t="s">
        <v>382</v>
      </c>
    </row>
    <row r="232" spans="1:61" ht="16.5">
      <c r="A232" s="9">
        <v>146</v>
      </c>
      <c r="C232" s="9">
        <v>60</v>
      </c>
      <c r="D232">
        <v>0</v>
      </c>
      <c r="E232" s="9">
        <v>3</v>
      </c>
      <c r="F232" s="9">
        <v>0</v>
      </c>
      <c r="G232" s="9">
        <v>0</v>
      </c>
      <c r="H232" s="9">
        <v>0</v>
      </c>
      <c r="I232" s="9">
        <v>37</v>
      </c>
      <c r="J232" s="9">
        <v>0</v>
      </c>
      <c r="K232" s="9">
        <v>0</v>
      </c>
      <c r="L232" s="9">
        <v>0</v>
      </c>
      <c r="M232" s="74" t="str">
        <f t="array" ref="M232">_xlfn.TEXTJOIN("-", TRUE, IF(C232:L232&gt;0, $C$2:$L$2, ""))</f>
        <v xml:space="preserve"> Ti-Zr-Nb</v>
      </c>
      <c r="N232" s="90">
        <f t="shared" si="6"/>
        <v>160</v>
      </c>
      <c r="O232" s="91">
        <f t="shared" si="7"/>
        <v>3</v>
      </c>
      <c r="Z232" s="9">
        <v>58</v>
      </c>
      <c r="AQ232" s="94" t="s">
        <v>382</v>
      </c>
    </row>
    <row r="233" spans="1:61" ht="16.5">
      <c r="A233" s="9">
        <v>158</v>
      </c>
      <c r="C233" s="9">
        <v>67.53</v>
      </c>
      <c r="D233">
        <v>0</v>
      </c>
      <c r="E233" s="9">
        <v>4.8600000000000003</v>
      </c>
      <c r="F233" s="9">
        <v>0</v>
      </c>
      <c r="G233" s="9">
        <v>0</v>
      </c>
      <c r="H233" s="9">
        <v>0</v>
      </c>
      <c r="I233" s="9">
        <v>27.61</v>
      </c>
      <c r="J233" s="9">
        <v>0</v>
      </c>
      <c r="K233" s="9">
        <v>0</v>
      </c>
      <c r="L233" s="9">
        <v>0</v>
      </c>
      <c r="M233" s="74" t="str">
        <f t="array" ref="M233">_xlfn.TEXTJOIN("-", TRUE, IF(C233:L233&gt;0, $C$2:$L$2, ""))</f>
        <v xml:space="preserve"> Ti-Zr-Nb</v>
      </c>
      <c r="N233" s="90">
        <f t="shared" si="6"/>
        <v>160</v>
      </c>
      <c r="O233" s="91">
        <f t="shared" si="7"/>
        <v>3</v>
      </c>
      <c r="Z233" s="9">
        <v>64.900000000000006</v>
      </c>
      <c r="AQ233" s="94" t="s">
        <v>382</v>
      </c>
    </row>
    <row r="234" spans="1:61" ht="16.5">
      <c r="A234" s="9">
        <v>179</v>
      </c>
      <c r="C234" s="9">
        <v>80.38</v>
      </c>
      <c r="D234">
        <v>0</v>
      </c>
      <c r="E234" s="9">
        <v>7.44</v>
      </c>
      <c r="F234" s="9">
        <v>0</v>
      </c>
      <c r="G234" s="9">
        <v>0</v>
      </c>
      <c r="H234" s="9">
        <v>0</v>
      </c>
      <c r="I234" s="9">
        <v>12.18</v>
      </c>
      <c r="J234" s="9">
        <v>0</v>
      </c>
      <c r="K234" s="9">
        <v>0</v>
      </c>
      <c r="L234" s="9">
        <v>0</v>
      </c>
      <c r="M234" s="74" t="str">
        <f t="array" ref="M234">_xlfn.TEXTJOIN("-", TRUE, IF(C234:L234&gt;0, $C$2:$L$2, ""))</f>
        <v xml:space="preserve"> Ti-Zr-Nb</v>
      </c>
      <c r="N234" s="90">
        <f t="shared" si="6"/>
        <v>160</v>
      </c>
      <c r="O234" s="91">
        <f t="shared" si="7"/>
        <v>3</v>
      </c>
      <c r="Z234" s="9">
        <v>55</v>
      </c>
      <c r="AQ234" s="94" t="s">
        <v>382</v>
      </c>
    </row>
    <row r="235" spans="1:61" ht="16.5">
      <c r="A235" s="9">
        <v>198</v>
      </c>
      <c r="C235" s="9">
        <v>73.59</v>
      </c>
      <c r="D235">
        <v>0</v>
      </c>
      <c r="E235" s="9">
        <v>3.27</v>
      </c>
      <c r="F235" s="9">
        <v>0</v>
      </c>
      <c r="G235" s="9">
        <v>0</v>
      </c>
      <c r="H235" s="9">
        <v>0</v>
      </c>
      <c r="I235" s="9">
        <v>23.14</v>
      </c>
      <c r="J235" s="9">
        <v>0</v>
      </c>
      <c r="K235" s="9">
        <v>0</v>
      </c>
      <c r="L235" s="9">
        <v>0</v>
      </c>
      <c r="M235" s="74" t="str">
        <f t="array" ref="M235">_xlfn.TEXTJOIN("-", TRUE, IF(C235:L235&gt;0, $C$2:$L$2, ""))</f>
        <v xml:space="preserve"> Ti-Zr-Nb</v>
      </c>
      <c r="N235" s="90">
        <f t="shared" si="6"/>
        <v>160</v>
      </c>
      <c r="O235" s="91">
        <f t="shared" si="7"/>
        <v>3</v>
      </c>
      <c r="Z235" s="9">
        <v>76</v>
      </c>
      <c r="AQ235" s="94" t="s">
        <v>382</v>
      </c>
    </row>
    <row r="236" spans="1:61" ht="16.5">
      <c r="A236" s="9">
        <v>204</v>
      </c>
      <c r="C236" s="9">
        <v>74.3</v>
      </c>
      <c r="D236">
        <v>0</v>
      </c>
      <c r="E236" s="9">
        <v>9.75</v>
      </c>
      <c r="F236" s="9">
        <v>0</v>
      </c>
      <c r="G236" s="9">
        <v>0</v>
      </c>
      <c r="H236" s="9">
        <v>0</v>
      </c>
      <c r="I236" s="9">
        <v>15.95</v>
      </c>
      <c r="J236" s="9">
        <v>0</v>
      </c>
      <c r="K236" s="9">
        <v>0</v>
      </c>
      <c r="L236" s="9">
        <v>0</v>
      </c>
      <c r="M236" s="74" t="str">
        <f t="array" ref="M236">_xlfn.TEXTJOIN("-", TRUE, IF(C236:L236&gt;0, $C$2:$L$2, ""))</f>
        <v xml:space="preserve"> Ti-Zr-Nb</v>
      </c>
      <c r="N236" s="90">
        <f t="shared" si="6"/>
        <v>160</v>
      </c>
      <c r="O236" s="91">
        <f t="shared" si="7"/>
        <v>3</v>
      </c>
      <c r="Z236" s="9">
        <v>75</v>
      </c>
      <c r="AQ236" s="94" t="s">
        <v>382</v>
      </c>
    </row>
    <row r="237" spans="1:61" ht="16.5">
      <c r="A237" s="7">
        <v>101</v>
      </c>
      <c r="B237" s="6"/>
      <c r="C237" s="8">
        <v>90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8.5</v>
      </c>
      <c r="K237" s="8">
        <v>0</v>
      </c>
      <c r="L237" s="8">
        <v>1.5</v>
      </c>
      <c r="M237" s="74" t="str">
        <f t="array" ref="M237">_xlfn.TEXTJOIN("-", TRUE, IF(C237:L237&gt;0, $C$2:$L$2, ""))</f>
        <v xml:space="preserve"> Ti-Cr-Sn</v>
      </c>
      <c r="N237" s="90">
        <f t="shared" si="6"/>
        <v>237</v>
      </c>
      <c r="O237" s="91">
        <f t="shared" si="7"/>
        <v>3</v>
      </c>
      <c r="P237" s="8">
        <v>1</v>
      </c>
      <c r="Q237" s="8">
        <v>1</v>
      </c>
      <c r="R237" s="8">
        <v>20</v>
      </c>
      <c r="S237" s="8">
        <v>95</v>
      </c>
      <c r="T237" s="8">
        <v>900</v>
      </c>
      <c r="U237" s="8">
        <v>0.5</v>
      </c>
      <c r="V237" s="8">
        <v>1</v>
      </c>
      <c r="W237" s="8">
        <v>0</v>
      </c>
      <c r="X237" s="8">
        <v>0</v>
      </c>
      <c r="Y237" s="8">
        <v>0</v>
      </c>
      <c r="Z237" s="6"/>
      <c r="AA237" s="6"/>
      <c r="AB237" s="8">
        <v>1264</v>
      </c>
      <c r="AC237" s="8"/>
      <c r="AD237" s="8">
        <v>36.049999999999997</v>
      </c>
      <c r="AE237" s="6"/>
      <c r="AF237" s="6"/>
      <c r="AG237" s="6"/>
      <c r="AH237" s="6"/>
      <c r="AI237" s="6"/>
      <c r="AJ237" s="6"/>
      <c r="AK237" s="6"/>
      <c r="AL237" s="6"/>
      <c r="AM237" s="6"/>
      <c r="AN237" s="6" t="s">
        <v>133</v>
      </c>
      <c r="AO237" s="6" t="s">
        <v>134</v>
      </c>
      <c r="AP237" s="6">
        <v>15</v>
      </c>
      <c r="AQ237" s="7" t="s">
        <v>54</v>
      </c>
      <c r="AR237" s="7">
        <v>101</v>
      </c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t="16.5">
      <c r="A238" s="10">
        <v>80</v>
      </c>
      <c r="B238" s="10"/>
      <c r="C238" s="10">
        <v>90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8.52</v>
      </c>
      <c r="K238" s="10">
        <v>0</v>
      </c>
      <c r="L238" s="10">
        <v>1.48</v>
      </c>
      <c r="M238" s="74" t="str">
        <f t="array" ref="M238">_xlfn.TEXTJOIN("-", TRUE, IF(C238:L238&gt;0, $C$2:$L$2, ""))</f>
        <v xml:space="preserve"> Ti-Cr-Sn</v>
      </c>
      <c r="N238" s="90">
        <f t="shared" si="6"/>
        <v>237</v>
      </c>
      <c r="O238" s="91">
        <f t="shared" si="7"/>
        <v>3</v>
      </c>
      <c r="P238" s="10">
        <v>2</v>
      </c>
      <c r="Q238" s="10">
        <v>1</v>
      </c>
      <c r="R238" s="10" t="s">
        <v>430</v>
      </c>
      <c r="S238" s="10" t="s">
        <v>430</v>
      </c>
      <c r="T238" s="10">
        <v>890</v>
      </c>
      <c r="U238" s="10">
        <v>0.5</v>
      </c>
      <c r="V238" s="10">
        <v>1</v>
      </c>
      <c r="W238" s="10">
        <v>760</v>
      </c>
      <c r="X238" s="10">
        <v>0.5</v>
      </c>
      <c r="Y238" s="10">
        <v>1</v>
      </c>
      <c r="Z238" s="10"/>
      <c r="AA238" s="10"/>
      <c r="AB238" s="10">
        <v>806.3</v>
      </c>
      <c r="AC238" s="10">
        <v>428.2</v>
      </c>
      <c r="AD238" s="10">
        <v>44.8</v>
      </c>
      <c r="AE238" s="10"/>
      <c r="AF238" s="10"/>
      <c r="AG238" s="10"/>
      <c r="AH238" s="10"/>
      <c r="AI238" s="10"/>
      <c r="AJ238" s="10"/>
      <c r="AK238" s="10">
        <v>44.6</v>
      </c>
      <c r="AL238" s="10"/>
      <c r="AM238" s="10"/>
      <c r="AN238" s="11"/>
      <c r="AO238" s="11" t="s">
        <v>278</v>
      </c>
      <c r="AP238" s="10">
        <v>17</v>
      </c>
      <c r="AQ238" s="10" t="s">
        <v>83</v>
      </c>
      <c r="AR238" s="10" t="s">
        <v>278</v>
      </c>
      <c r="AS238" s="10" t="s">
        <v>151</v>
      </c>
    </row>
    <row r="239" spans="1:61" ht="16.5">
      <c r="A239" s="10">
        <v>88</v>
      </c>
      <c r="B239" s="10"/>
      <c r="C239" s="10">
        <v>90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8.5</v>
      </c>
      <c r="K239" s="10">
        <v>0</v>
      </c>
      <c r="L239" s="10">
        <v>1.5</v>
      </c>
      <c r="M239" s="74" t="str">
        <f t="array" ref="M239">_xlfn.TEXTJOIN("-", TRUE, IF(C239:L239&gt;0, $C$2:$L$2, ""))</f>
        <v xml:space="preserve"> Ti-Cr-Sn</v>
      </c>
      <c r="N239" s="90">
        <f t="shared" si="6"/>
        <v>237</v>
      </c>
      <c r="O239" s="91">
        <f t="shared" si="7"/>
        <v>3</v>
      </c>
      <c r="P239" s="10">
        <v>2</v>
      </c>
      <c r="Q239" s="10">
        <v>1</v>
      </c>
      <c r="R239" s="10" t="s">
        <v>81</v>
      </c>
      <c r="S239" s="10" t="s">
        <v>81</v>
      </c>
      <c r="T239" s="10">
        <v>780</v>
      </c>
      <c r="U239" s="10">
        <v>0.16666666666666699</v>
      </c>
      <c r="V239" s="10">
        <v>1</v>
      </c>
      <c r="W239" s="10">
        <v>0</v>
      </c>
      <c r="X239" s="10">
        <v>0</v>
      </c>
      <c r="Y239" s="10">
        <v>0</v>
      </c>
      <c r="Z239" s="10"/>
      <c r="AA239" s="10"/>
      <c r="AB239" s="10">
        <v>835.9</v>
      </c>
      <c r="AC239" s="10">
        <v>356.5</v>
      </c>
      <c r="AD239" s="10">
        <v>56</v>
      </c>
      <c r="AE239" s="10"/>
      <c r="AF239" s="10"/>
      <c r="AG239" s="10"/>
      <c r="AH239" s="10"/>
      <c r="AI239" s="10"/>
      <c r="AJ239" s="10"/>
      <c r="AK239" s="10">
        <v>42.11</v>
      </c>
      <c r="AL239" s="10"/>
      <c r="AM239" s="10"/>
      <c r="AN239" s="11"/>
      <c r="AO239" s="11" t="s">
        <v>135</v>
      </c>
      <c r="AP239" s="10">
        <v>21</v>
      </c>
      <c r="AQ239" s="10" t="s">
        <v>83</v>
      </c>
      <c r="AR239" s="11" t="s">
        <v>431</v>
      </c>
      <c r="AS239" s="10" t="s">
        <v>151</v>
      </c>
      <c r="AT239" s="11" t="s">
        <v>432</v>
      </c>
    </row>
    <row r="240" spans="1:61" ht="16.5">
      <c r="A240" s="10">
        <v>89</v>
      </c>
      <c r="B240" s="10"/>
      <c r="C240" s="10">
        <v>90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8.5</v>
      </c>
      <c r="K240" s="10">
        <v>0</v>
      </c>
      <c r="L240" s="10">
        <v>1.5</v>
      </c>
      <c r="M240" s="74" t="str">
        <f t="array" ref="M240">_xlfn.TEXTJOIN("-", TRUE, IF(C240:L240&gt;0, $C$2:$L$2, ""))</f>
        <v xml:space="preserve"> Ti-Cr-Sn</v>
      </c>
      <c r="N240" s="90">
        <f t="shared" si="6"/>
        <v>237</v>
      </c>
      <c r="O240" s="91">
        <f t="shared" si="7"/>
        <v>3</v>
      </c>
      <c r="P240" s="10" t="s">
        <v>81</v>
      </c>
      <c r="Q240" s="10" t="s">
        <v>81</v>
      </c>
      <c r="R240" s="10" t="s">
        <v>81</v>
      </c>
      <c r="S240" s="10" t="s">
        <v>81</v>
      </c>
      <c r="T240" s="10">
        <v>780</v>
      </c>
      <c r="U240" s="10">
        <v>0.16666666666666699</v>
      </c>
      <c r="V240" s="10">
        <v>1</v>
      </c>
      <c r="W240" s="10">
        <v>0</v>
      </c>
      <c r="X240" s="10">
        <v>0</v>
      </c>
      <c r="Y240" s="10">
        <v>0</v>
      </c>
      <c r="Z240" s="10"/>
      <c r="AA240" s="10"/>
      <c r="AB240" s="10">
        <v>1577.8</v>
      </c>
      <c r="AC240" s="10">
        <v>1019.2</v>
      </c>
      <c r="AD240" s="10">
        <v>38.6</v>
      </c>
      <c r="AE240" s="10"/>
      <c r="AF240" s="10"/>
      <c r="AG240" s="10"/>
      <c r="AH240" s="10"/>
      <c r="AI240" s="10"/>
      <c r="AJ240" s="10"/>
      <c r="AK240" s="10">
        <v>5.75</v>
      </c>
      <c r="AL240" s="10"/>
      <c r="AM240" s="10"/>
      <c r="AN240" s="11"/>
      <c r="AO240" s="11" t="s">
        <v>135</v>
      </c>
      <c r="AP240" s="10">
        <v>21</v>
      </c>
      <c r="AQ240" s="10" t="s">
        <v>83</v>
      </c>
      <c r="AR240" s="10">
        <v>89</v>
      </c>
    </row>
    <row r="241" spans="1:61" ht="16.5">
      <c r="A241" s="93">
        <v>458</v>
      </c>
      <c r="B241" s="93" t="s">
        <v>113</v>
      </c>
      <c r="C241" s="94">
        <v>91.44</v>
      </c>
      <c r="D241" s="94">
        <v>0</v>
      </c>
      <c r="E241" s="94">
        <v>0</v>
      </c>
      <c r="F241" s="94">
        <v>0</v>
      </c>
      <c r="G241" s="94">
        <v>0</v>
      </c>
      <c r="H241" s="94">
        <v>0</v>
      </c>
      <c r="I241" s="94">
        <v>0</v>
      </c>
      <c r="J241" s="94">
        <v>7.95</v>
      </c>
      <c r="K241" s="94">
        <v>0</v>
      </c>
      <c r="L241" s="94">
        <v>0.61</v>
      </c>
      <c r="M241" s="74" t="str">
        <f t="array" ref="M241">_xlfn.TEXTJOIN("-", TRUE, IF(C241:L241&gt;0, $C$2:$L$2, ""))</f>
        <v xml:space="preserve"> Ti-Cr-Sn</v>
      </c>
      <c r="N241" s="90">
        <f t="shared" si="6"/>
        <v>237</v>
      </c>
      <c r="O241" s="91">
        <f t="shared" si="7"/>
        <v>3</v>
      </c>
      <c r="P241" s="94">
        <v>1</v>
      </c>
      <c r="Q241" s="94">
        <v>1</v>
      </c>
      <c r="R241" s="93" t="s">
        <v>113</v>
      </c>
      <c r="S241" s="93" t="s">
        <v>113</v>
      </c>
      <c r="T241" s="93" t="s">
        <v>113</v>
      </c>
      <c r="U241" s="93" t="s">
        <v>113</v>
      </c>
      <c r="V241" s="93">
        <v>1</v>
      </c>
      <c r="W241" s="93" t="s">
        <v>113</v>
      </c>
      <c r="X241" s="93" t="s">
        <v>113</v>
      </c>
      <c r="Y241" s="93" t="s">
        <v>113</v>
      </c>
      <c r="Z241" s="94">
        <v>83</v>
      </c>
      <c r="AA241" s="93" t="s">
        <v>113</v>
      </c>
      <c r="AB241" s="93" t="s">
        <v>113</v>
      </c>
      <c r="AC241" s="94">
        <v>554</v>
      </c>
      <c r="AD241" s="93" t="s">
        <v>113</v>
      </c>
      <c r="AE241" s="93" t="s">
        <v>113</v>
      </c>
      <c r="AF241" s="93" t="s">
        <v>113</v>
      </c>
      <c r="AG241" s="93" t="s">
        <v>113</v>
      </c>
      <c r="AH241" s="93" t="s">
        <v>113</v>
      </c>
      <c r="AI241" s="93" t="s">
        <v>113</v>
      </c>
      <c r="AJ241" s="93" t="s">
        <v>113</v>
      </c>
      <c r="AK241" s="93" t="s">
        <v>113</v>
      </c>
      <c r="AL241" s="93" t="s">
        <v>113</v>
      </c>
      <c r="AM241" s="93"/>
      <c r="AN241" s="93" t="s">
        <v>113</v>
      </c>
      <c r="AO241" s="93" t="s">
        <v>174</v>
      </c>
      <c r="AP241" s="94">
        <v>458</v>
      </c>
      <c r="AQ241" s="94" t="s">
        <v>100</v>
      </c>
      <c r="AR241" s="93">
        <v>458</v>
      </c>
    </row>
    <row r="242" spans="1:61" ht="16.5">
      <c r="A242" s="7">
        <v>104</v>
      </c>
      <c r="B242" s="6"/>
      <c r="C242" s="8">
        <v>90</v>
      </c>
      <c r="D242" s="8">
        <v>0</v>
      </c>
      <c r="E242" s="8">
        <v>0</v>
      </c>
      <c r="F242" s="8">
        <v>7</v>
      </c>
      <c r="G242" s="8">
        <v>0</v>
      </c>
      <c r="H242" s="8">
        <v>0</v>
      </c>
      <c r="I242" s="8">
        <v>0</v>
      </c>
      <c r="J242" s="8">
        <v>3</v>
      </c>
      <c r="K242" s="8">
        <v>0</v>
      </c>
      <c r="L242" s="8">
        <v>0</v>
      </c>
      <c r="M242" s="74" t="str">
        <f t="array" ref="M242">_xlfn.TEXTJOIN("-", TRUE, IF(C242:L242&gt;0, $C$2:$L$2, ""))</f>
        <v xml:space="preserve"> Ti-Mo-Cr</v>
      </c>
      <c r="N242" s="90">
        <f t="shared" si="6"/>
        <v>242</v>
      </c>
      <c r="O242" s="91">
        <f t="shared" si="7"/>
        <v>3</v>
      </c>
      <c r="P242" s="8">
        <v>1</v>
      </c>
      <c r="Q242" s="8">
        <v>1</v>
      </c>
      <c r="R242" s="8">
        <v>20</v>
      </c>
      <c r="S242" s="8">
        <v>60</v>
      </c>
      <c r="T242" s="8">
        <v>850</v>
      </c>
      <c r="U242" s="8">
        <v>0.33</v>
      </c>
      <c r="V242" s="8">
        <v>2</v>
      </c>
      <c r="W242" s="8">
        <v>0</v>
      </c>
      <c r="X242" s="8">
        <v>0</v>
      </c>
      <c r="Y242" s="8">
        <v>0</v>
      </c>
      <c r="Z242" s="6"/>
      <c r="AA242" s="6"/>
      <c r="AB242" s="8">
        <v>958.4</v>
      </c>
      <c r="AC242" s="8"/>
      <c r="AD242" s="8">
        <v>1.1000000000000001</v>
      </c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138</v>
      </c>
      <c r="AO242" s="6" t="s">
        <v>137</v>
      </c>
      <c r="AP242" s="6">
        <v>16</v>
      </c>
      <c r="AQ242" s="7" t="s">
        <v>54</v>
      </c>
      <c r="AR242" s="7">
        <v>104</v>
      </c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t="16.5">
      <c r="A243" s="7">
        <v>105</v>
      </c>
      <c r="B243" s="6"/>
      <c r="C243" s="8">
        <v>90</v>
      </c>
      <c r="D243" s="8">
        <v>0</v>
      </c>
      <c r="E243" s="8">
        <v>0</v>
      </c>
      <c r="F243" s="8">
        <v>7</v>
      </c>
      <c r="G243" s="8">
        <v>0</v>
      </c>
      <c r="H243" s="8">
        <v>0</v>
      </c>
      <c r="I243" s="8">
        <v>0</v>
      </c>
      <c r="J243" s="8">
        <v>3</v>
      </c>
      <c r="K243" s="8">
        <v>0</v>
      </c>
      <c r="L243" s="8">
        <v>0</v>
      </c>
      <c r="M243" s="74" t="str">
        <f t="array" ref="M243">_xlfn.TEXTJOIN("-", TRUE, IF(C243:L243&gt;0, $C$2:$L$2, ""))</f>
        <v xml:space="preserve"> Ti-Mo-Cr</v>
      </c>
      <c r="N243" s="90">
        <f t="shared" si="6"/>
        <v>242</v>
      </c>
      <c r="O243" s="91">
        <f t="shared" si="7"/>
        <v>3</v>
      </c>
      <c r="P243" s="8">
        <v>1</v>
      </c>
      <c r="Q243" s="8">
        <v>1</v>
      </c>
      <c r="R243" s="8">
        <v>20</v>
      </c>
      <c r="S243" s="8">
        <v>60</v>
      </c>
      <c r="T243" s="8">
        <v>850</v>
      </c>
      <c r="U243" s="8">
        <v>0.33</v>
      </c>
      <c r="V243" s="8">
        <v>1</v>
      </c>
      <c r="W243" s="8">
        <v>0</v>
      </c>
      <c r="X243" s="8">
        <v>0</v>
      </c>
      <c r="Y243" s="8">
        <v>0</v>
      </c>
      <c r="Z243" s="6"/>
      <c r="AA243" s="6"/>
      <c r="AB243" s="8">
        <v>886.4</v>
      </c>
      <c r="AC243" s="8"/>
      <c r="AD243" s="8">
        <v>46.37</v>
      </c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138</v>
      </c>
      <c r="AO243" s="6" t="s">
        <v>137</v>
      </c>
      <c r="AP243" s="6">
        <v>16</v>
      </c>
      <c r="AQ243" s="7" t="s">
        <v>54</v>
      </c>
      <c r="AR243" s="7">
        <v>105</v>
      </c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t="16.5">
      <c r="A244" s="7">
        <v>121</v>
      </c>
      <c r="B244" s="6"/>
      <c r="C244" s="8">
        <v>75</v>
      </c>
      <c r="D244" s="8">
        <v>0</v>
      </c>
      <c r="E244" s="8">
        <v>0</v>
      </c>
      <c r="F244" s="8">
        <v>12</v>
      </c>
      <c r="G244" s="8">
        <v>0</v>
      </c>
      <c r="H244" s="8">
        <v>0</v>
      </c>
      <c r="I244" s="8">
        <v>13</v>
      </c>
      <c r="J244" s="8">
        <v>0</v>
      </c>
      <c r="K244" s="8">
        <v>0</v>
      </c>
      <c r="L244" s="8">
        <v>0</v>
      </c>
      <c r="M244" s="74" t="str">
        <f t="array" ref="M244">_xlfn.TEXTJOIN("-", TRUE, IF(C244:L244&gt;0, $C$2:$L$2, ""))</f>
        <v xml:space="preserve"> Ti-Mo-Nb</v>
      </c>
      <c r="N244" s="90">
        <f t="shared" si="6"/>
        <v>244</v>
      </c>
      <c r="O244" s="91">
        <f t="shared" si="7"/>
        <v>3</v>
      </c>
      <c r="P244" s="8">
        <v>1</v>
      </c>
      <c r="Q244" s="8">
        <v>2</v>
      </c>
      <c r="R244" s="8">
        <v>900</v>
      </c>
      <c r="S244" s="8">
        <v>80</v>
      </c>
      <c r="T244" s="8">
        <v>1000</v>
      </c>
      <c r="U244" s="8">
        <v>24</v>
      </c>
      <c r="V244" s="8">
        <v>1</v>
      </c>
      <c r="W244" s="8">
        <v>500</v>
      </c>
      <c r="X244" s="8">
        <v>24</v>
      </c>
      <c r="Y244" s="8">
        <v>1</v>
      </c>
      <c r="Z244" s="6"/>
      <c r="AA244" s="6"/>
      <c r="AB244" s="8">
        <v>1111</v>
      </c>
      <c r="AC244" s="6"/>
      <c r="AD244" s="8">
        <v>6.3</v>
      </c>
      <c r="AE244" s="6"/>
      <c r="AF244" s="6"/>
      <c r="AG244" s="6"/>
      <c r="AH244" s="6"/>
      <c r="AI244" s="6"/>
      <c r="AJ244" s="6"/>
      <c r="AK244" s="6"/>
      <c r="AL244" s="6"/>
      <c r="AM244" s="6"/>
      <c r="AN244" s="6" t="s">
        <v>153</v>
      </c>
      <c r="AO244" s="6" t="s">
        <v>154</v>
      </c>
      <c r="AP244" s="6">
        <v>21</v>
      </c>
      <c r="AQ244" s="7" t="s">
        <v>54</v>
      </c>
      <c r="AR244" s="7">
        <v>121</v>
      </c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t="16.5">
      <c r="A245" s="7">
        <v>186</v>
      </c>
      <c r="B245" s="6"/>
      <c r="C245" s="8">
        <v>80</v>
      </c>
      <c r="D245" s="8">
        <v>0</v>
      </c>
      <c r="E245" s="8">
        <v>0</v>
      </c>
      <c r="F245" s="8">
        <v>12</v>
      </c>
      <c r="G245" s="8">
        <v>0</v>
      </c>
      <c r="H245" s="8">
        <v>0</v>
      </c>
      <c r="I245" s="8">
        <v>8</v>
      </c>
      <c r="J245" s="8">
        <v>0</v>
      </c>
      <c r="K245" s="8">
        <v>0</v>
      </c>
      <c r="L245" s="8">
        <v>0</v>
      </c>
      <c r="M245" s="74" t="str">
        <f t="array" ref="M245">_xlfn.TEXTJOIN("-", TRUE, IF(C245:L245&gt;0, $C$2:$L$2, ""))</f>
        <v xml:space="preserve"> Ti-Mo-Nb</v>
      </c>
      <c r="N245" s="90">
        <f t="shared" si="6"/>
        <v>244</v>
      </c>
      <c r="O245" s="91">
        <f t="shared" si="7"/>
        <v>3</v>
      </c>
      <c r="P245" s="8">
        <v>1</v>
      </c>
      <c r="Q245" s="8">
        <v>2</v>
      </c>
      <c r="R245" s="8">
        <v>780</v>
      </c>
      <c r="S245" s="8">
        <v>80</v>
      </c>
      <c r="T245" s="8">
        <v>950</v>
      </c>
      <c r="U245" s="8">
        <v>1</v>
      </c>
      <c r="V245" s="8">
        <v>1</v>
      </c>
      <c r="W245" s="8">
        <v>0</v>
      </c>
      <c r="X245" s="8">
        <v>0</v>
      </c>
      <c r="Y245" s="8">
        <v>0</v>
      </c>
      <c r="Z245" s="6"/>
      <c r="AA245" s="6"/>
      <c r="AB245" s="8">
        <v>716</v>
      </c>
      <c r="AC245" s="8"/>
      <c r="AD245" s="8">
        <v>33</v>
      </c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155</v>
      </c>
      <c r="AO245" s="6" t="s">
        <v>156</v>
      </c>
      <c r="AP245" s="6">
        <v>34</v>
      </c>
      <c r="AQ245" s="7" t="s">
        <v>54</v>
      </c>
      <c r="AR245" s="7">
        <v>186</v>
      </c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t="16.5">
      <c r="A246" s="93">
        <v>489</v>
      </c>
      <c r="B246" s="93" t="s">
        <v>113</v>
      </c>
      <c r="C246" s="94">
        <v>77</v>
      </c>
      <c r="D246" s="94">
        <v>0</v>
      </c>
      <c r="E246" s="94">
        <v>0</v>
      </c>
      <c r="F246" s="94">
        <v>1</v>
      </c>
      <c r="G246" s="94">
        <v>0</v>
      </c>
      <c r="H246" s="94">
        <v>0</v>
      </c>
      <c r="I246" s="94">
        <v>22</v>
      </c>
      <c r="J246" s="94">
        <v>0</v>
      </c>
      <c r="K246" s="94">
        <v>0</v>
      </c>
      <c r="L246" s="94">
        <v>0</v>
      </c>
      <c r="M246" s="74" t="str">
        <f t="array" ref="M246">_xlfn.TEXTJOIN("-", TRUE, IF(C246:L246&gt;0, $C$2:$L$2, ""))</f>
        <v xml:space="preserve"> Ti-Mo-Nb</v>
      </c>
      <c r="N246" s="90">
        <f t="shared" si="6"/>
        <v>244</v>
      </c>
      <c r="O246" s="91">
        <f t="shared" si="7"/>
        <v>3</v>
      </c>
      <c r="P246" s="94">
        <v>1</v>
      </c>
      <c r="Q246" s="94">
        <v>1</v>
      </c>
      <c r="R246" s="93" t="s">
        <v>113</v>
      </c>
      <c r="S246" s="93" t="s">
        <v>113</v>
      </c>
      <c r="T246" s="93" t="s">
        <v>113</v>
      </c>
      <c r="U246" s="93" t="s">
        <v>113</v>
      </c>
      <c r="V246" s="94">
        <v>1</v>
      </c>
      <c r="W246" s="93" t="s">
        <v>113</v>
      </c>
      <c r="X246" s="93" t="s">
        <v>113</v>
      </c>
      <c r="Y246" s="93" t="s">
        <v>113</v>
      </c>
      <c r="Z246" s="94">
        <v>87</v>
      </c>
      <c r="AA246" s="93" t="s">
        <v>113</v>
      </c>
      <c r="AB246" s="93" t="s">
        <v>113</v>
      </c>
      <c r="AC246" s="94">
        <v>452</v>
      </c>
      <c r="AD246" s="93" t="s">
        <v>113</v>
      </c>
      <c r="AE246" s="93" t="s">
        <v>113</v>
      </c>
      <c r="AF246" s="93" t="s">
        <v>113</v>
      </c>
      <c r="AG246" s="93" t="s">
        <v>113</v>
      </c>
      <c r="AH246" s="93" t="s">
        <v>113</v>
      </c>
      <c r="AI246" s="93" t="s">
        <v>113</v>
      </c>
      <c r="AJ246" s="93" t="s">
        <v>113</v>
      </c>
      <c r="AK246" s="93" t="s">
        <v>113</v>
      </c>
      <c r="AL246" s="93" t="s">
        <v>113</v>
      </c>
      <c r="AM246" s="93"/>
      <c r="AN246" s="93" t="s">
        <v>113</v>
      </c>
      <c r="AO246" s="93" t="s">
        <v>114</v>
      </c>
      <c r="AP246" s="94">
        <v>489</v>
      </c>
      <c r="AQ246" s="94" t="s">
        <v>100</v>
      </c>
      <c r="AR246" s="93">
        <v>489</v>
      </c>
    </row>
    <row r="247" spans="1:61" ht="16.5">
      <c r="A247" s="93">
        <v>506</v>
      </c>
      <c r="B247" s="93" t="s">
        <v>113</v>
      </c>
      <c r="C247" s="94">
        <v>91.86</v>
      </c>
      <c r="D247" s="94">
        <v>0</v>
      </c>
      <c r="E247" s="94">
        <v>0</v>
      </c>
      <c r="F247" s="94">
        <v>6.47</v>
      </c>
      <c r="G247" s="94">
        <v>0</v>
      </c>
      <c r="H247" s="94">
        <v>0</v>
      </c>
      <c r="I247" s="94">
        <v>1.67</v>
      </c>
      <c r="J247" s="94">
        <v>0</v>
      </c>
      <c r="K247" s="94">
        <v>0</v>
      </c>
      <c r="L247" s="94">
        <v>0</v>
      </c>
      <c r="M247" s="74" t="str">
        <f t="array" ref="M247">_xlfn.TEXTJOIN("-", TRUE, IF(C247:L247&gt;0, $C$2:$L$2, ""))</f>
        <v xml:space="preserve"> Ti-Mo-Nb</v>
      </c>
      <c r="N247" s="90">
        <f t="shared" si="6"/>
        <v>244</v>
      </c>
      <c r="O247" s="91">
        <f t="shared" si="7"/>
        <v>3</v>
      </c>
      <c r="P247" s="94">
        <v>1</v>
      </c>
      <c r="Q247" s="94">
        <v>1</v>
      </c>
      <c r="R247" s="93" t="s">
        <v>113</v>
      </c>
      <c r="S247" s="93" t="s">
        <v>113</v>
      </c>
      <c r="T247" s="93" t="s">
        <v>113</v>
      </c>
      <c r="U247" s="93" t="s">
        <v>113</v>
      </c>
      <c r="V247" s="94">
        <v>1</v>
      </c>
      <c r="W247" s="93" t="s">
        <v>113</v>
      </c>
      <c r="X247" s="93" t="s">
        <v>113</v>
      </c>
      <c r="Y247" s="93" t="s">
        <v>113</v>
      </c>
      <c r="Z247" s="94">
        <v>105</v>
      </c>
      <c r="AA247" s="93" t="s">
        <v>113</v>
      </c>
      <c r="AB247" s="93" t="s">
        <v>113</v>
      </c>
      <c r="AC247" s="94">
        <v>449</v>
      </c>
      <c r="AD247" s="93" t="s">
        <v>113</v>
      </c>
      <c r="AE247" s="93" t="s">
        <v>113</v>
      </c>
      <c r="AF247" s="93" t="s">
        <v>113</v>
      </c>
      <c r="AG247" s="93" t="s">
        <v>113</v>
      </c>
      <c r="AH247" s="93" t="s">
        <v>113</v>
      </c>
      <c r="AI247" s="93" t="s">
        <v>113</v>
      </c>
      <c r="AJ247" s="93" t="s">
        <v>113</v>
      </c>
      <c r="AK247" s="93" t="s">
        <v>113</v>
      </c>
      <c r="AL247" s="93" t="s">
        <v>113</v>
      </c>
      <c r="AM247" s="93"/>
      <c r="AN247" s="93" t="s">
        <v>113</v>
      </c>
      <c r="AO247" s="93" t="s">
        <v>114</v>
      </c>
      <c r="AP247" s="94">
        <v>506</v>
      </c>
      <c r="AQ247" s="94" t="s">
        <v>100</v>
      </c>
      <c r="AR247" s="93">
        <v>506</v>
      </c>
    </row>
    <row r="248" spans="1:61" ht="16.5">
      <c r="A248" s="93">
        <v>511</v>
      </c>
      <c r="B248" s="93" t="s">
        <v>113</v>
      </c>
      <c r="C248" s="94">
        <v>72</v>
      </c>
      <c r="D248" s="94">
        <v>0</v>
      </c>
      <c r="E248" s="94">
        <v>0</v>
      </c>
      <c r="F248" s="94">
        <v>2</v>
      </c>
      <c r="G248" s="94">
        <v>0</v>
      </c>
      <c r="H248" s="94">
        <v>0</v>
      </c>
      <c r="I248" s="94">
        <v>26</v>
      </c>
      <c r="J248" s="94">
        <v>0</v>
      </c>
      <c r="K248" s="94">
        <v>0</v>
      </c>
      <c r="L248" s="94">
        <v>0</v>
      </c>
      <c r="M248" s="74" t="str">
        <f t="array" ref="M248">_xlfn.TEXTJOIN("-", TRUE, IF(C248:L248&gt;0, $C$2:$L$2, ""))</f>
        <v xml:space="preserve"> Ti-Mo-Nb</v>
      </c>
      <c r="N248" s="90">
        <f t="shared" si="6"/>
        <v>244</v>
      </c>
      <c r="O248" s="91">
        <f t="shared" si="7"/>
        <v>3</v>
      </c>
      <c r="P248" s="94">
        <v>1</v>
      </c>
      <c r="Q248" s="95" t="s">
        <v>173</v>
      </c>
      <c r="R248" s="93">
        <v>0</v>
      </c>
      <c r="S248" s="93">
        <v>0</v>
      </c>
      <c r="T248" s="93">
        <v>0</v>
      </c>
      <c r="U248" s="93">
        <v>0</v>
      </c>
      <c r="V248" s="93">
        <v>0</v>
      </c>
      <c r="W248" s="93">
        <v>0</v>
      </c>
      <c r="X248" s="93">
        <v>0</v>
      </c>
      <c r="Y248" s="93">
        <v>0</v>
      </c>
      <c r="Z248" s="94">
        <v>67</v>
      </c>
      <c r="AA248" s="93" t="s">
        <v>113</v>
      </c>
      <c r="AB248" s="93" t="s">
        <v>113</v>
      </c>
      <c r="AC248" s="94">
        <v>535</v>
      </c>
      <c r="AD248" s="93" t="s">
        <v>113</v>
      </c>
      <c r="AE248" s="93" t="s">
        <v>113</v>
      </c>
      <c r="AF248" s="93" t="s">
        <v>113</v>
      </c>
      <c r="AG248" s="93" t="s">
        <v>113</v>
      </c>
      <c r="AH248" s="93" t="s">
        <v>113</v>
      </c>
      <c r="AI248" s="93" t="s">
        <v>113</v>
      </c>
      <c r="AJ248" s="93" t="s">
        <v>113</v>
      </c>
      <c r="AK248" s="93" t="s">
        <v>113</v>
      </c>
      <c r="AL248" s="93" t="s">
        <v>113</v>
      </c>
      <c r="AM248" s="93"/>
      <c r="AN248" s="93" t="s">
        <v>113</v>
      </c>
      <c r="AO248" s="93" t="s">
        <v>114</v>
      </c>
      <c r="AP248" s="94">
        <v>511</v>
      </c>
      <c r="AQ248" s="94" t="s">
        <v>100</v>
      </c>
      <c r="AR248" s="93">
        <v>511</v>
      </c>
    </row>
    <row r="249" spans="1:61" ht="16.5">
      <c r="A249" s="93">
        <v>512</v>
      </c>
      <c r="B249" s="93" t="s">
        <v>113</v>
      </c>
      <c r="C249" s="94">
        <v>70</v>
      </c>
      <c r="D249" s="94">
        <v>0</v>
      </c>
      <c r="E249" s="94">
        <v>0</v>
      </c>
      <c r="F249" s="94">
        <v>4</v>
      </c>
      <c r="G249" s="94">
        <v>0</v>
      </c>
      <c r="H249" s="94">
        <v>0</v>
      </c>
      <c r="I249" s="94">
        <v>26</v>
      </c>
      <c r="J249" s="94">
        <v>0</v>
      </c>
      <c r="K249" s="94">
        <v>0</v>
      </c>
      <c r="L249" s="94">
        <v>0</v>
      </c>
      <c r="M249" s="74" t="str">
        <f t="array" ref="M249">_xlfn.TEXTJOIN("-", TRUE, IF(C249:L249&gt;0, $C$2:$L$2, ""))</f>
        <v xml:space="preserve"> Ti-Mo-Nb</v>
      </c>
      <c r="N249" s="90">
        <f t="shared" si="6"/>
        <v>244</v>
      </c>
      <c r="O249" s="91">
        <f t="shared" si="7"/>
        <v>3</v>
      </c>
      <c r="P249" s="94">
        <v>1</v>
      </c>
      <c r="Q249" s="95" t="s">
        <v>173</v>
      </c>
      <c r="R249" s="93">
        <v>0</v>
      </c>
      <c r="S249" s="93">
        <v>0</v>
      </c>
      <c r="T249" s="93">
        <v>0</v>
      </c>
      <c r="U249" s="93">
        <v>0</v>
      </c>
      <c r="V249" s="93">
        <v>0</v>
      </c>
      <c r="W249" s="93">
        <v>0</v>
      </c>
      <c r="X249" s="93">
        <v>0</v>
      </c>
      <c r="Y249" s="93">
        <v>0</v>
      </c>
      <c r="Z249" s="94">
        <v>64</v>
      </c>
      <c r="AA249" s="93" t="s">
        <v>113</v>
      </c>
      <c r="AB249" s="93" t="s">
        <v>113</v>
      </c>
      <c r="AC249" s="94">
        <v>621</v>
      </c>
      <c r="AD249" s="93" t="s">
        <v>113</v>
      </c>
      <c r="AE249" s="93" t="s">
        <v>113</v>
      </c>
      <c r="AF249" s="93" t="s">
        <v>113</v>
      </c>
      <c r="AG249" s="93" t="s">
        <v>113</v>
      </c>
      <c r="AH249" s="93" t="s">
        <v>113</v>
      </c>
      <c r="AI249" s="93" t="s">
        <v>113</v>
      </c>
      <c r="AJ249" s="93" t="s">
        <v>113</v>
      </c>
      <c r="AK249" s="93" t="s">
        <v>113</v>
      </c>
      <c r="AL249" s="93" t="s">
        <v>113</v>
      </c>
      <c r="AM249" s="93"/>
      <c r="AN249" s="93" t="s">
        <v>113</v>
      </c>
      <c r="AO249" s="93" t="s">
        <v>232</v>
      </c>
      <c r="AP249" s="94">
        <v>512</v>
      </c>
      <c r="AQ249" s="94" t="s">
        <v>100</v>
      </c>
      <c r="AR249" s="93">
        <v>512</v>
      </c>
    </row>
    <row r="250" spans="1:61" ht="16.5">
      <c r="A250" s="93">
        <v>513</v>
      </c>
      <c r="B250" s="93" t="s">
        <v>113</v>
      </c>
      <c r="C250" s="94">
        <v>68</v>
      </c>
      <c r="D250" s="94">
        <v>0</v>
      </c>
      <c r="E250" s="94">
        <v>0</v>
      </c>
      <c r="F250" s="94">
        <v>6</v>
      </c>
      <c r="G250" s="94">
        <v>0</v>
      </c>
      <c r="H250" s="94">
        <v>0</v>
      </c>
      <c r="I250" s="94">
        <v>26</v>
      </c>
      <c r="J250" s="94">
        <v>0</v>
      </c>
      <c r="K250" s="94">
        <v>0</v>
      </c>
      <c r="L250" s="94">
        <v>0</v>
      </c>
      <c r="M250" s="74" t="str">
        <f t="array" ref="M250">_xlfn.TEXTJOIN("-", TRUE, IF(C250:L250&gt;0, $C$2:$L$2, ""))</f>
        <v xml:space="preserve"> Ti-Mo-Nb</v>
      </c>
      <c r="N250" s="90">
        <f t="shared" si="6"/>
        <v>244</v>
      </c>
      <c r="O250" s="91">
        <f t="shared" si="7"/>
        <v>3</v>
      </c>
      <c r="P250" s="94">
        <v>1</v>
      </c>
      <c r="Q250" s="95" t="s">
        <v>173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3">
        <v>0</v>
      </c>
      <c r="Y250" s="93">
        <v>0</v>
      </c>
      <c r="Z250" s="94">
        <v>56</v>
      </c>
      <c r="AA250" s="93" t="s">
        <v>113</v>
      </c>
      <c r="AB250" s="93" t="s">
        <v>113</v>
      </c>
      <c r="AC250" s="94">
        <v>634</v>
      </c>
      <c r="AD250" s="93" t="s">
        <v>113</v>
      </c>
      <c r="AE250" s="93" t="s">
        <v>113</v>
      </c>
      <c r="AF250" s="93" t="s">
        <v>113</v>
      </c>
      <c r="AG250" s="93" t="s">
        <v>113</v>
      </c>
      <c r="AH250" s="93" t="s">
        <v>113</v>
      </c>
      <c r="AI250" s="93" t="s">
        <v>113</v>
      </c>
      <c r="AJ250" s="93" t="s">
        <v>113</v>
      </c>
      <c r="AK250" s="93" t="s">
        <v>113</v>
      </c>
      <c r="AL250" s="93" t="s">
        <v>113</v>
      </c>
      <c r="AM250" s="93"/>
      <c r="AN250" s="93" t="s">
        <v>113</v>
      </c>
      <c r="AO250" s="93" t="s">
        <v>114</v>
      </c>
      <c r="AP250" s="94">
        <v>513</v>
      </c>
      <c r="AQ250" s="94" t="s">
        <v>100</v>
      </c>
      <c r="AR250" s="93">
        <v>513</v>
      </c>
    </row>
    <row r="251" spans="1:61" ht="16.5">
      <c r="A251" s="93">
        <v>514</v>
      </c>
      <c r="B251" s="93" t="s">
        <v>113</v>
      </c>
      <c r="C251" s="94">
        <v>66</v>
      </c>
      <c r="D251" s="94">
        <v>0</v>
      </c>
      <c r="E251" s="94">
        <v>0</v>
      </c>
      <c r="F251" s="94">
        <v>8</v>
      </c>
      <c r="G251" s="94">
        <v>0</v>
      </c>
      <c r="H251" s="94">
        <v>0</v>
      </c>
      <c r="I251" s="94">
        <v>26</v>
      </c>
      <c r="J251" s="94">
        <v>0</v>
      </c>
      <c r="K251" s="94">
        <v>0</v>
      </c>
      <c r="L251" s="94">
        <v>0</v>
      </c>
      <c r="M251" s="74" t="str">
        <f t="array" ref="M251">_xlfn.TEXTJOIN("-", TRUE, IF(C251:L251&gt;0, $C$2:$L$2, ""))</f>
        <v xml:space="preserve"> Ti-Mo-Nb</v>
      </c>
      <c r="N251" s="90">
        <f t="shared" si="6"/>
        <v>244</v>
      </c>
      <c r="O251" s="91">
        <f t="shared" si="7"/>
        <v>3</v>
      </c>
      <c r="P251" s="94">
        <v>1</v>
      </c>
      <c r="Q251" s="95" t="s">
        <v>173</v>
      </c>
      <c r="R251" s="93">
        <v>0</v>
      </c>
      <c r="S251" s="93">
        <v>0</v>
      </c>
      <c r="T251" s="93">
        <v>0</v>
      </c>
      <c r="U251" s="93">
        <v>0</v>
      </c>
      <c r="V251" s="93">
        <v>0</v>
      </c>
      <c r="W251" s="93">
        <v>0</v>
      </c>
      <c r="X251" s="93">
        <v>0</v>
      </c>
      <c r="Y251" s="93">
        <v>0</v>
      </c>
      <c r="Z251" s="94">
        <v>55</v>
      </c>
      <c r="AA251" s="93" t="s">
        <v>113</v>
      </c>
      <c r="AB251" s="93" t="s">
        <v>113</v>
      </c>
      <c r="AC251" s="94">
        <v>663</v>
      </c>
      <c r="AD251" s="93" t="s">
        <v>113</v>
      </c>
      <c r="AE251" s="93" t="s">
        <v>113</v>
      </c>
      <c r="AF251" s="93" t="s">
        <v>113</v>
      </c>
      <c r="AG251" s="93" t="s">
        <v>113</v>
      </c>
      <c r="AH251" s="93" t="s">
        <v>113</v>
      </c>
      <c r="AI251" s="93" t="s">
        <v>113</v>
      </c>
      <c r="AJ251" s="93" t="s">
        <v>113</v>
      </c>
      <c r="AK251" s="93" t="s">
        <v>113</v>
      </c>
      <c r="AL251" s="93" t="s">
        <v>113</v>
      </c>
      <c r="AM251" s="93"/>
      <c r="AN251" s="93" t="s">
        <v>113</v>
      </c>
      <c r="AO251" s="93" t="s">
        <v>114</v>
      </c>
      <c r="AP251" s="94">
        <v>514</v>
      </c>
      <c r="AQ251" s="94" t="s">
        <v>100</v>
      </c>
      <c r="AR251" s="93">
        <v>514</v>
      </c>
    </row>
    <row r="252" spans="1:61" ht="16.5">
      <c r="A252" s="9">
        <v>3</v>
      </c>
      <c r="C252" s="9">
        <v>87.5</v>
      </c>
      <c r="D252">
        <v>0</v>
      </c>
      <c r="E252" s="9">
        <v>0</v>
      </c>
      <c r="F252" s="9">
        <v>6.25</v>
      </c>
      <c r="G252" s="9">
        <v>0</v>
      </c>
      <c r="H252" s="9">
        <v>0</v>
      </c>
      <c r="I252" s="9">
        <v>6.25</v>
      </c>
      <c r="J252" s="9">
        <v>0</v>
      </c>
      <c r="K252" s="9">
        <v>0</v>
      </c>
      <c r="L252" s="9">
        <v>0</v>
      </c>
      <c r="M252" s="74" t="str">
        <f t="array" ref="M252">_xlfn.TEXTJOIN("-", TRUE, IF(C252:L252&gt;0, $C$2:$L$2, ""))</f>
        <v xml:space="preserve"> Ti-Mo-Nb</v>
      </c>
      <c r="N252" s="90">
        <f t="shared" si="6"/>
        <v>244</v>
      </c>
      <c r="O252" s="91">
        <f t="shared" si="7"/>
        <v>3</v>
      </c>
      <c r="Z252" s="9">
        <v>92</v>
      </c>
      <c r="AQ252" s="94" t="s">
        <v>382</v>
      </c>
    </row>
    <row r="253" spans="1:61" ht="16.5">
      <c r="A253" s="9">
        <v>14</v>
      </c>
      <c r="C253" s="9">
        <v>90.1</v>
      </c>
      <c r="D253">
        <v>0</v>
      </c>
      <c r="E253" s="9">
        <v>0</v>
      </c>
      <c r="F253" s="9">
        <v>8.1999999999999993</v>
      </c>
      <c r="G253" s="9">
        <v>0</v>
      </c>
      <c r="H253" s="9">
        <v>0</v>
      </c>
      <c r="I253" s="9">
        <v>1.7</v>
      </c>
      <c r="J253" s="9">
        <v>0</v>
      </c>
      <c r="K253" s="9">
        <v>0</v>
      </c>
      <c r="L253" s="9">
        <v>0</v>
      </c>
      <c r="M253" s="74" t="str">
        <f t="array" ref="M253">_xlfn.TEXTJOIN("-", TRUE, IF(C253:L253&gt;0, $C$2:$L$2, ""))</f>
        <v xml:space="preserve"> Ti-Mo-Nb</v>
      </c>
      <c r="N253" s="90">
        <f t="shared" si="6"/>
        <v>244</v>
      </c>
      <c r="O253" s="91">
        <f t="shared" si="7"/>
        <v>3</v>
      </c>
      <c r="Z253" s="9">
        <v>82</v>
      </c>
      <c r="AQ253" s="94" t="s">
        <v>382</v>
      </c>
    </row>
    <row r="254" spans="1:61" ht="16.5">
      <c r="A254" s="9">
        <v>22</v>
      </c>
      <c r="C254" s="9">
        <v>78</v>
      </c>
      <c r="D254">
        <v>0</v>
      </c>
      <c r="E254" s="9">
        <v>0</v>
      </c>
      <c r="F254" s="9">
        <v>11.2</v>
      </c>
      <c r="G254" s="9">
        <v>0</v>
      </c>
      <c r="H254" s="9">
        <v>0</v>
      </c>
      <c r="I254" s="9">
        <v>10.8</v>
      </c>
      <c r="J254" s="9">
        <v>0</v>
      </c>
      <c r="K254" s="9">
        <v>0</v>
      </c>
      <c r="L254" s="9">
        <v>0</v>
      </c>
      <c r="M254" s="74" t="str">
        <f t="array" ref="M254">_xlfn.TEXTJOIN("-", TRUE, IF(C254:L254&gt;0, $C$2:$L$2, ""))</f>
        <v xml:space="preserve"> Ti-Mo-Nb</v>
      </c>
      <c r="N254" s="90">
        <f t="shared" si="6"/>
        <v>244</v>
      </c>
      <c r="O254" s="91">
        <f t="shared" si="7"/>
        <v>3</v>
      </c>
      <c r="Z254" s="9">
        <v>92</v>
      </c>
      <c r="AQ254" s="94" t="s">
        <v>382</v>
      </c>
    </row>
    <row r="255" spans="1:61" ht="16.5">
      <c r="A255" s="9">
        <v>30</v>
      </c>
      <c r="C255" s="9">
        <v>70.400000000000006</v>
      </c>
      <c r="D255">
        <v>0</v>
      </c>
      <c r="E255" s="9">
        <v>0</v>
      </c>
      <c r="F255" s="9">
        <v>10.1</v>
      </c>
      <c r="G255" s="9">
        <v>0</v>
      </c>
      <c r="H255" s="9">
        <v>0</v>
      </c>
      <c r="I255" s="9">
        <v>19.5</v>
      </c>
      <c r="J255" s="9">
        <v>0</v>
      </c>
      <c r="K255" s="9">
        <v>0</v>
      </c>
      <c r="L255" s="9">
        <v>0</v>
      </c>
      <c r="M255" s="74" t="str">
        <f t="array" ref="M255">_xlfn.TEXTJOIN("-", TRUE, IF(C255:L255&gt;0, $C$2:$L$2, ""))</f>
        <v xml:space="preserve"> Ti-Mo-Nb</v>
      </c>
      <c r="N255" s="90">
        <f t="shared" si="6"/>
        <v>244</v>
      </c>
      <c r="O255" s="91">
        <f t="shared" si="7"/>
        <v>3</v>
      </c>
      <c r="Z255" s="9">
        <v>83</v>
      </c>
      <c r="AQ255" s="94" t="s">
        <v>382</v>
      </c>
    </row>
    <row r="256" spans="1:61" ht="16.5">
      <c r="A256" s="9">
        <v>38</v>
      </c>
      <c r="C256" s="9">
        <v>64.099999999999994</v>
      </c>
      <c r="D256">
        <v>0</v>
      </c>
      <c r="E256" s="9">
        <v>0</v>
      </c>
      <c r="F256" s="9">
        <v>9.1999999999999993</v>
      </c>
      <c r="G256" s="9">
        <v>0</v>
      </c>
      <c r="H256" s="9">
        <v>0</v>
      </c>
      <c r="I256" s="9">
        <v>26.7</v>
      </c>
      <c r="J256" s="9">
        <v>0</v>
      </c>
      <c r="K256" s="9">
        <v>0</v>
      </c>
      <c r="L256" s="9">
        <v>0</v>
      </c>
      <c r="M256" s="74" t="str">
        <f t="array" ref="M256">_xlfn.TEXTJOIN("-", TRUE, IF(C256:L256&gt;0, $C$2:$L$2, ""))</f>
        <v xml:space="preserve"> Ti-Mo-Nb</v>
      </c>
      <c r="N256" s="90">
        <f t="shared" si="6"/>
        <v>244</v>
      </c>
      <c r="O256" s="91">
        <f t="shared" si="7"/>
        <v>3</v>
      </c>
      <c r="Z256" s="9">
        <v>73</v>
      </c>
      <c r="AQ256" s="94" t="s">
        <v>382</v>
      </c>
    </row>
    <row r="257" spans="1:61" ht="16.5">
      <c r="A257" s="9">
        <v>172</v>
      </c>
      <c r="C257" s="9">
        <v>82.35</v>
      </c>
      <c r="D257">
        <v>0</v>
      </c>
      <c r="E257" s="9">
        <v>0</v>
      </c>
      <c r="F257" s="9">
        <v>5.88</v>
      </c>
      <c r="G257" s="9">
        <v>0</v>
      </c>
      <c r="H257" s="9">
        <v>0</v>
      </c>
      <c r="I257" s="9">
        <v>11.77</v>
      </c>
      <c r="J257" s="9">
        <v>0</v>
      </c>
      <c r="K257" s="9">
        <v>0</v>
      </c>
      <c r="L257" s="9">
        <v>0</v>
      </c>
      <c r="M257" s="74" t="str">
        <f t="array" ref="M257">_xlfn.TEXTJOIN("-", TRUE, IF(C257:L257&gt;0, $C$2:$L$2, ""))</f>
        <v xml:space="preserve"> Ti-Mo-Nb</v>
      </c>
      <c r="N257" s="90">
        <f t="shared" si="6"/>
        <v>244</v>
      </c>
      <c r="O257" s="91">
        <f t="shared" si="7"/>
        <v>3</v>
      </c>
      <c r="Z257" s="9">
        <v>83</v>
      </c>
      <c r="AQ257" s="94" t="s">
        <v>382</v>
      </c>
    </row>
    <row r="258" spans="1:61" ht="16.5">
      <c r="A258" s="9">
        <v>213</v>
      </c>
      <c r="C258" s="9">
        <v>88.83</v>
      </c>
      <c r="D258">
        <v>0</v>
      </c>
      <c r="E258" s="9">
        <v>0</v>
      </c>
      <c r="F258" s="9">
        <v>8.31</v>
      </c>
      <c r="G258" s="9">
        <v>0</v>
      </c>
      <c r="H258" s="9">
        <v>0</v>
      </c>
      <c r="I258" s="9">
        <v>2.86</v>
      </c>
      <c r="J258" s="9">
        <v>0</v>
      </c>
      <c r="K258" s="9">
        <v>0</v>
      </c>
      <c r="L258" s="9">
        <v>0</v>
      </c>
      <c r="M258" s="74" t="str">
        <f t="array" ref="M258">_xlfn.TEXTJOIN("-", TRUE, IF(C258:L258&gt;0, $C$2:$L$2, ""))</f>
        <v xml:space="preserve"> Ti-Mo-Nb</v>
      </c>
      <c r="N258" s="90">
        <f t="shared" si="6"/>
        <v>244</v>
      </c>
      <c r="O258" s="91">
        <f t="shared" si="7"/>
        <v>3</v>
      </c>
      <c r="Z258" s="9">
        <v>78</v>
      </c>
      <c r="AQ258" s="94" t="s">
        <v>382</v>
      </c>
    </row>
    <row r="259" spans="1:61" ht="16.5">
      <c r="A259" s="9">
        <v>214</v>
      </c>
      <c r="C259" s="9">
        <v>90.35</v>
      </c>
      <c r="D259">
        <v>0</v>
      </c>
      <c r="E259" s="9">
        <v>0</v>
      </c>
      <c r="F259" s="9">
        <v>6.83</v>
      </c>
      <c r="G259" s="9">
        <v>0</v>
      </c>
      <c r="H259" s="9">
        <v>0</v>
      </c>
      <c r="I259" s="9">
        <v>2.82</v>
      </c>
      <c r="J259" s="9">
        <v>0</v>
      </c>
      <c r="K259" s="9">
        <v>0</v>
      </c>
      <c r="L259" s="9">
        <v>0</v>
      </c>
      <c r="M259" s="74" t="str">
        <f t="array" ref="M259">_xlfn.TEXTJOIN("-", TRUE, IF(C259:L259&gt;0, $C$2:$L$2, ""))</f>
        <v xml:space="preserve"> Ti-Mo-Nb</v>
      </c>
      <c r="N259" s="90">
        <f t="shared" ref="N259:N322" si="8">IF(COUNTIF(M$3:M$1206, M259)&gt;1, MATCH(M259, M:M, 0), "")</f>
        <v>244</v>
      </c>
      <c r="O259" s="91">
        <f t="shared" ref="O259:O322" si="9">COUNTIF(C259:L259, "&lt;&gt;0")</f>
        <v>3</v>
      </c>
      <c r="Z259" s="9">
        <v>89</v>
      </c>
      <c r="AQ259" s="94" t="s">
        <v>382</v>
      </c>
    </row>
    <row r="260" spans="1:61" ht="16.5">
      <c r="A260" s="7">
        <v>143</v>
      </c>
      <c r="B260" s="6"/>
      <c r="C260" s="8">
        <v>63.75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35.35</v>
      </c>
      <c r="J260" s="8">
        <v>0.9</v>
      </c>
      <c r="K260" s="8">
        <v>0</v>
      </c>
      <c r="L260" s="8">
        <v>0</v>
      </c>
      <c r="M260" s="74" t="str">
        <f t="array" ref="M260">_xlfn.TEXTJOIN("-", TRUE, IF(C260:L260&gt;0, $C$2:$L$2, ""))</f>
        <v xml:space="preserve"> Ti-Nb-Cr</v>
      </c>
      <c r="N260" s="90">
        <f t="shared" si="8"/>
        <v>260</v>
      </c>
      <c r="O260" s="91">
        <f t="shared" si="9"/>
        <v>3</v>
      </c>
      <c r="P260" s="8">
        <v>1</v>
      </c>
      <c r="Q260" s="8">
        <v>1</v>
      </c>
      <c r="R260" s="8">
        <v>20</v>
      </c>
      <c r="S260" s="8">
        <v>85</v>
      </c>
      <c r="T260" s="8">
        <v>800</v>
      </c>
      <c r="U260" s="8">
        <v>1</v>
      </c>
      <c r="V260" s="8">
        <v>1</v>
      </c>
      <c r="W260" s="8">
        <v>0</v>
      </c>
      <c r="X260" s="8">
        <v>0</v>
      </c>
      <c r="Y260" s="8">
        <v>0</v>
      </c>
      <c r="Z260" s="6"/>
      <c r="AA260" s="6"/>
      <c r="AB260" s="8">
        <v>503</v>
      </c>
      <c r="AC260" s="8"/>
      <c r="AD260" s="8">
        <v>35.799999999999997</v>
      </c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77</v>
      </c>
      <c r="AO260" s="6" t="s">
        <v>78</v>
      </c>
      <c r="AP260" s="6">
        <v>25</v>
      </c>
      <c r="AQ260" s="7" t="s">
        <v>54</v>
      </c>
      <c r="AR260" s="7">
        <v>143</v>
      </c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</row>
    <row r="261" spans="1:61" ht="16.5">
      <c r="A261" s="7">
        <v>144</v>
      </c>
      <c r="B261" s="6"/>
      <c r="C261" s="8">
        <v>65.55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32.619999999999997</v>
      </c>
      <c r="J261" s="8">
        <v>1.83</v>
      </c>
      <c r="K261" s="8">
        <v>0</v>
      </c>
      <c r="L261" s="8">
        <v>0</v>
      </c>
      <c r="M261" s="74" t="str">
        <f t="array" ref="M261">_xlfn.TEXTJOIN("-", TRUE, IF(C261:L261&gt;0, $C$2:$L$2, ""))</f>
        <v xml:space="preserve"> Ti-Nb-Cr</v>
      </c>
      <c r="N261" s="90">
        <f t="shared" si="8"/>
        <v>260</v>
      </c>
      <c r="O261" s="91">
        <f t="shared" si="9"/>
        <v>3</v>
      </c>
      <c r="P261" s="8">
        <v>1</v>
      </c>
      <c r="Q261" s="8">
        <v>1</v>
      </c>
      <c r="R261" s="8">
        <v>20</v>
      </c>
      <c r="S261" s="8">
        <v>85</v>
      </c>
      <c r="T261" s="8">
        <v>800</v>
      </c>
      <c r="U261" s="8">
        <v>1</v>
      </c>
      <c r="V261" s="8">
        <v>1</v>
      </c>
      <c r="W261" s="8">
        <v>0</v>
      </c>
      <c r="X261" s="8">
        <v>0</v>
      </c>
      <c r="Y261" s="8">
        <v>0</v>
      </c>
      <c r="Z261" s="6"/>
      <c r="AA261" s="6"/>
      <c r="AB261" s="8">
        <v>474</v>
      </c>
      <c r="AC261" s="8"/>
      <c r="AD261" s="8">
        <v>28.5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77</v>
      </c>
      <c r="AO261" s="6" t="s">
        <v>78</v>
      </c>
      <c r="AP261" s="6">
        <v>25</v>
      </c>
      <c r="AQ261" s="7" t="s">
        <v>54</v>
      </c>
      <c r="AR261" s="7">
        <v>144</v>
      </c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</row>
    <row r="262" spans="1:61" ht="16.5">
      <c r="A262" s="7">
        <v>145</v>
      </c>
      <c r="B262" s="6"/>
      <c r="C262" s="8">
        <v>67.41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29.81</v>
      </c>
      <c r="J262" s="8">
        <v>2.78</v>
      </c>
      <c r="K262" s="8">
        <v>0</v>
      </c>
      <c r="L262" s="8">
        <v>0</v>
      </c>
      <c r="M262" s="74" t="str">
        <f t="array" ref="M262">_xlfn.TEXTJOIN("-", TRUE, IF(C262:L262&gt;0, $C$2:$L$2, ""))</f>
        <v xml:space="preserve"> Ti-Nb-Cr</v>
      </c>
      <c r="N262" s="90">
        <f t="shared" si="8"/>
        <v>260</v>
      </c>
      <c r="O262" s="91">
        <f t="shared" si="9"/>
        <v>3</v>
      </c>
      <c r="P262" s="8">
        <v>1</v>
      </c>
      <c r="Q262" s="8">
        <v>1</v>
      </c>
      <c r="R262" s="8">
        <v>20</v>
      </c>
      <c r="S262" s="8">
        <v>85</v>
      </c>
      <c r="T262" s="8">
        <v>800</v>
      </c>
      <c r="U262" s="8">
        <v>1</v>
      </c>
      <c r="V262" s="8">
        <v>1</v>
      </c>
      <c r="W262" s="8">
        <v>0</v>
      </c>
      <c r="X262" s="8">
        <v>0</v>
      </c>
      <c r="Y262" s="8">
        <v>0</v>
      </c>
      <c r="Z262" s="6"/>
      <c r="AA262" s="6"/>
      <c r="AB262" s="8">
        <v>523</v>
      </c>
      <c r="AC262" s="8"/>
      <c r="AD262" s="8">
        <v>18.899999999999999</v>
      </c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77</v>
      </c>
      <c r="AO262" s="6" t="s">
        <v>78</v>
      </c>
      <c r="AP262" s="6">
        <v>25</v>
      </c>
      <c r="AQ262" s="7" t="s">
        <v>54</v>
      </c>
      <c r="AR262" s="7">
        <v>145</v>
      </c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</row>
    <row r="263" spans="1:61" ht="16.5">
      <c r="A263" s="7">
        <v>146</v>
      </c>
      <c r="B263" s="6"/>
      <c r="C263" s="8">
        <v>69.319999999999993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26.91</v>
      </c>
      <c r="J263" s="8">
        <v>3.77</v>
      </c>
      <c r="K263" s="8">
        <v>0</v>
      </c>
      <c r="L263" s="8">
        <v>0</v>
      </c>
      <c r="M263" s="74" t="str">
        <f t="array" ref="M263">_xlfn.TEXTJOIN("-", TRUE, IF(C263:L263&gt;0, $C$2:$L$2, ""))</f>
        <v xml:space="preserve"> Ti-Nb-Cr</v>
      </c>
      <c r="N263" s="90">
        <f t="shared" si="8"/>
        <v>260</v>
      </c>
      <c r="O263" s="91">
        <f t="shared" si="9"/>
        <v>3</v>
      </c>
      <c r="P263" s="8">
        <v>1</v>
      </c>
      <c r="Q263" s="8">
        <v>1</v>
      </c>
      <c r="R263" s="8">
        <v>20</v>
      </c>
      <c r="S263" s="8">
        <v>85</v>
      </c>
      <c r="T263" s="8">
        <v>800</v>
      </c>
      <c r="U263" s="8">
        <v>1</v>
      </c>
      <c r="V263" s="8">
        <v>1</v>
      </c>
      <c r="W263" s="8">
        <v>0</v>
      </c>
      <c r="X263" s="8">
        <v>0</v>
      </c>
      <c r="Y263" s="8">
        <v>0</v>
      </c>
      <c r="Z263" s="6"/>
      <c r="AA263" s="6"/>
      <c r="AB263" s="8">
        <v>557</v>
      </c>
      <c r="AC263" s="8"/>
      <c r="AD263" s="8">
        <v>22.5</v>
      </c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77</v>
      </c>
      <c r="AO263" s="6" t="s">
        <v>78</v>
      </c>
      <c r="AP263" s="6">
        <v>25</v>
      </c>
      <c r="AQ263" s="7" t="s">
        <v>54</v>
      </c>
      <c r="AR263" s="7">
        <v>146</v>
      </c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</row>
    <row r="264" spans="1:61" ht="16.5">
      <c r="A264" s="7">
        <v>147</v>
      </c>
      <c r="B264" s="6"/>
      <c r="C264" s="8">
        <v>71.3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23.92</v>
      </c>
      <c r="J264" s="8">
        <v>4.78</v>
      </c>
      <c r="K264" s="8">
        <v>0</v>
      </c>
      <c r="L264" s="8">
        <v>0</v>
      </c>
      <c r="M264" s="74" t="str">
        <f t="array" ref="M264">_xlfn.TEXTJOIN("-", TRUE, IF(C264:L264&gt;0, $C$2:$L$2, ""))</f>
        <v xml:space="preserve"> Ti-Nb-Cr</v>
      </c>
      <c r="N264" s="90">
        <f t="shared" si="8"/>
        <v>260</v>
      </c>
      <c r="O264" s="91">
        <f t="shared" si="9"/>
        <v>3</v>
      </c>
      <c r="P264" s="8">
        <v>1</v>
      </c>
      <c r="Q264" s="8">
        <v>1</v>
      </c>
      <c r="R264" s="8">
        <v>20</v>
      </c>
      <c r="S264" s="8">
        <v>85</v>
      </c>
      <c r="T264" s="8">
        <v>800</v>
      </c>
      <c r="U264" s="8">
        <v>1</v>
      </c>
      <c r="V264" s="8">
        <v>1</v>
      </c>
      <c r="W264" s="8">
        <v>0</v>
      </c>
      <c r="X264" s="8">
        <v>0</v>
      </c>
      <c r="Y264" s="8">
        <v>0</v>
      </c>
      <c r="Z264" s="6"/>
      <c r="AA264" s="6"/>
      <c r="AB264" s="8">
        <v>603</v>
      </c>
      <c r="AC264" s="8"/>
      <c r="AD264" s="8">
        <v>22.7</v>
      </c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77</v>
      </c>
      <c r="AO264" s="6" t="s">
        <v>78</v>
      </c>
      <c r="AP264" s="6">
        <v>25</v>
      </c>
      <c r="AQ264" s="7" t="s">
        <v>54</v>
      </c>
      <c r="AR264" s="7">
        <v>147</v>
      </c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</row>
    <row r="265" spans="1:61" ht="16.5">
      <c r="A265" s="7">
        <v>165</v>
      </c>
      <c r="B265" s="6"/>
      <c r="C265" s="8">
        <v>65</v>
      </c>
      <c r="D265" s="8">
        <v>0</v>
      </c>
      <c r="E265" s="8">
        <v>30</v>
      </c>
      <c r="F265" s="8">
        <v>5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74" t="str">
        <f t="array" ref="M265">_xlfn.TEXTJOIN("-", TRUE, IF(C265:L265&gt;0, $C$2:$L$2, ""))</f>
        <v xml:space="preserve"> Ti-Zr-Mo</v>
      </c>
      <c r="N265" s="90">
        <f t="shared" si="8"/>
        <v>265</v>
      </c>
      <c r="O265" s="91">
        <f t="shared" si="9"/>
        <v>3</v>
      </c>
      <c r="P265" s="8">
        <v>1</v>
      </c>
      <c r="Q265" s="8">
        <v>1</v>
      </c>
      <c r="R265" s="8">
        <v>1000</v>
      </c>
      <c r="S265" s="8">
        <v>70</v>
      </c>
      <c r="T265" s="8">
        <v>850</v>
      </c>
      <c r="U265" s="8">
        <v>1</v>
      </c>
      <c r="V265" s="8">
        <v>1</v>
      </c>
      <c r="W265" s="8">
        <v>0</v>
      </c>
      <c r="X265" s="8">
        <v>0</v>
      </c>
      <c r="Y265" s="8">
        <v>0</v>
      </c>
      <c r="Z265" s="6"/>
      <c r="AA265" s="6"/>
      <c r="AB265" s="8">
        <v>762</v>
      </c>
      <c r="AC265" s="8"/>
      <c r="AD265" s="8">
        <v>18.52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166</v>
      </c>
      <c r="AO265" s="6" t="s">
        <v>167</v>
      </c>
      <c r="AP265" s="6">
        <v>29</v>
      </c>
      <c r="AQ265" s="7" t="s">
        <v>54</v>
      </c>
      <c r="AR265" s="7">
        <v>165</v>
      </c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</row>
    <row r="266" spans="1:61" ht="16.5">
      <c r="A266" s="7">
        <v>166</v>
      </c>
      <c r="B266" s="6"/>
      <c r="C266" s="8">
        <v>64</v>
      </c>
      <c r="D266" s="8">
        <v>0</v>
      </c>
      <c r="E266" s="8">
        <v>30</v>
      </c>
      <c r="F266" s="8">
        <v>6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74" t="str">
        <f t="array" ref="M266">_xlfn.TEXTJOIN("-", TRUE, IF(C266:L266&gt;0, $C$2:$L$2, ""))</f>
        <v xml:space="preserve"> Ti-Zr-Mo</v>
      </c>
      <c r="N266" s="90">
        <f t="shared" si="8"/>
        <v>265</v>
      </c>
      <c r="O266" s="91">
        <f t="shared" si="9"/>
        <v>3</v>
      </c>
      <c r="P266" s="8">
        <v>1</v>
      </c>
      <c r="Q266" s="8">
        <v>1</v>
      </c>
      <c r="R266" s="8">
        <v>1000</v>
      </c>
      <c r="S266" s="8">
        <v>70</v>
      </c>
      <c r="T266" s="8">
        <v>850</v>
      </c>
      <c r="U266" s="8">
        <v>1</v>
      </c>
      <c r="V266" s="8">
        <v>1</v>
      </c>
      <c r="W266" s="8">
        <v>0</v>
      </c>
      <c r="X266" s="8">
        <v>0</v>
      </c>
      <c r="Y266" s="8">
        <v>0</v>
      </c>
      <c r="Z266" s="6"/>
      <c r="AA266" s="6"/>
      <c r="AB266" s="8">
        <v>723</v>
      </c>
      <c r="AC266" s="8"/>
      <c r="AD266" s="8">
        <v>33.4</v>
      </c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166</v>
      </c>
      <c r="AO266" s="6" t="s">
        <v>167</v>
      </c>
      <c r="AP266" s="6">
        <v>29</v>
      </c>
      <c r="AQ266" s="7" t="s">
        <v>54</v>
      </c>
      <c r="AR266" s="7">
        <v>166</v>
      </c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61" ht="16.5">
      <c r="A267" s="7">
        <v>167</v>
      </c>
      <c r="B267" s="6"/>
      <c r="C267" s="8">
        <v>63</v>
      </c>
      <c r="D267" s="8">
        <v>0</v>
      </c>
      <c r="E267" s="8">
        <v>30</v>
      </c>
      <c r="F267" s="8">
        <v>7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74" t="str">
        <f t="array" ref="M267">_xlfn.TEXTJOIN("-", TRUE, IF(C267:L267&gt;0, $C$2:$L$2, ""))</f>
        <v xml:space="preserve"> Ti-Zr-Mo</v>
      </c>
      <c r="N267" s="90">
        <f t="shared" si="8"/>
        <v>265</v>
      </c>
      <c r="O267" s="91">
        <f t="shared" si="9"/>
        <v>3</v>
      </c>
      <c r="P267" s="8">
        <v>1</v>
      </c>
      <c r="Q267" s="8">
        <v>1</v>
      </c>
      <c r="R267" s="8">
        <v>1000</v>
      </c>
      <c r="S267" s="8">
        <v>70</v>
      </c>
      <c r="T267" s="8">
        <v>850</v>
      </c>
      <c r="U267" s="8">
        <v>1</v>
      </c>
      <c r="V267" s="8">
        <v>1</v>
      </c>
      <c r="W267" s="8">
        <v>0</v>
      </c>
      <c r="X267" s="8">
        <v>0</v>
      </c>
      <c r="Y267" s="8">
        <v>0</v>
      </c>
      <c r="Z267" s="6"/>
      <c r="AA267" s="6"/>
      <c r="AB267" s="8">
        <v>782</v>
      </c>
      <c r="AC267" s="8"/>
      <c r="AD267" s="8">
        <v>18.920000000000002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166</v>
      </c>
      <c r="AO267" s="6" t="s">
        <v>167</v>
      </c>
      <c r="AP267" s="6">
        <v>29</v>
      </c>
      <c r="AQ267" s="7" t="s">
        <v>54</v>
      </c>
      <c r="AR267" s="7">
        <v>167</v>
      </c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61" ht="16.5">
      <c r="A268" s="93">
        <v>420</v>
      </c>
      <c r="B268" s="93" t="s">
        <v>113</v>
      </c>
      <c r="C268" s="94">
        <v>90.600000000000009</v>
      </c>
      <c r="D268" s="94">
        <v>0</v>
      </c>
      <c r="E268" s="94">
        <v>2.86</v>
      </c>
      <c r="F268" s="94">
        <v>6.54</v>
      </c>
      <c r="G268" s="94">
        <v>0</v>
      </c>
      <c r="H268" s="94">
        <v>0</v>
      </c>
      <c r="I268" s="94">
        <v>0</v>
      </c>
      <c r="J268" s="94">
        <v>0</v>
      </c>
      <c r="K268" s="94">
        <v>0</v>
      </c>
      <c r="L268" s="94">
        <v>0</v>
      </c>
      <c r="M268" s="74" t="str">
        <f t="array" ref="M268">_xlfn.TEXTJOIN("-", TRUE, IF(C268:L268&gt;0, $C$2:$L$2, ""))</f>
        <v xml:space="preserve"> Ti-Zr-Mo</v>
      </c>
      <c r="N268" s="90">
        <f t="shared" si="8"/>
        <v>265</v>
      </c>
      <c r="O268" s="91">
        <f t="shared" si="9"/>
        <v>3</v>
      </c>
      <c r="P268" s="94">
        <v>1</v>
      </c>
      <c r="Q268" s="94">
        <v>1</v>
      </c>
      <c r="R268" s="93" t="s">
        <v>113</v>
      </c>
      <c r="S268" s="93" t="s">
        <v>113</v>
      </c>
      <c r="T268" s="93" t="s">
        <v>113</v>
      </c>
      <c r="U268" s="93" t="s">
        <v>113</v>
      </c>
      <c r="V268" s="93">
        <v>1</v>
      </c>
      <c r="W268" s="93" t="s">
        <v>113</v>
      </c>
      <c r="X268" s="93" t="s">
        <v>113</v>
      </c>
      <c r="Y268" s="93" t="s">
        <v>113</v>
      </c>
      <c r="Z268" s="94">
        <v>64.5</v>
      </c>
      <c r="AA268" s="93" t="s">
        <v>113</v>
      </c>
      <c r="AB268" s="93" t="s">
        <v>113</v>
      </c>
      <c r="AC268" s="94">
        <v>509</v>
      </c>
      <c r="AD268" s="93" t="s">
        <v>113</v>
      </c>
      <c r="AE268" s="93" t="s">
        <v>113</v>
      </c>
      <c r="AF268" s="93" t="s">
        <v>113</v>
      </c>
      <c r="AG268" s="93" t="s">
        <v>113</v>
      </c>
      <c r="AH268" s="93" t="s">
        <v>113</v>
      </c>
      <c r="AI268" s="93" t="s">
        <v>113</v>
      </c>
      <c r="AJ268" s="93" t="s">
        <v>113</v>
      </c>
      <c r="AK268" s="93" t="s">
        <v>113</v>
      </c>
      <c r="AL268" s="93" t="s">
        <v>113</v>
      </c>
      <c r="AM268" s="93"/>
      <c r="AN268" s="93" t="s">
        <v>113</v>
      </c>
      <c r="AO268" s="93" t="s">
        <v>114</v>
      </c>
      <c r="AP268" s="94">
        <v>420</v>
      </c>
      <c r="AQ268" s="94" t="s">
        <v>100</v>
      </c>
      <c r="AR268" s="93">
        <v>420</v>
      </c>
    </row>
    <row r="269" spans="1:61" ht="16.5">
      <c r="A269" s="93">
        <v>507</v>
      </c>
      <c r="B269" s="93" t="s">
        <v>113</v>
      </c>
      <c r="C269" s="94">
        <v>77.86999999999999</v>
      </c>
      <c r="D269" s="94">
        <v>0</v>
      </c>
      <c r="E269" s="94">
        <v>18.98</v>
      </c>
      <c r="F269" s="94">
        <v>3.2300000000000004</v>
      </c>
      <c r="G269" s="94">
        <v>0</v>
      </c>
      <c r="H269" s="94">
        <v>0</v>
      </c>
      <c r="I269" s="94">
        <v>0</v>
      </c>
      <c r="J269" s="94">
        <v>0</v>
      </c>
      <c r="K269" s="94">
        <v>0</v>
      </c>
      <c r="L269" s="94">
        <v>0</v>
      </c>
      <c r="M269" s="74" t="str">
        <f t="array" ref="M269">_xlfn.TEXTJOIN("-", TRUE, IF(C269:L269&gt;0, $C$2:$L$2, ""))</f>
        <v xml:space="preserve"> Ti-Zr-Mo</v>
      </c>
      <c r="N269" s="90">
        <f t="shared" si="8"/>
        <v>265</v>
      </c>
      <c r="O269" s="91">
        <f t="shared" si="9"/>
        <v>3</v>
      </c>
      <c r="P269" s="94">
        <v>1</v>
      </c>
      <c r="Q269" s="94">
        <v>1</v>
      </c>
      <c r="R269" s="93" t="s">
        <v>113</v>
      </c>
      <c r="S269" s="93" t="s">
        <v>113</v>
      </c>
      <c r="T269" s="93" t="s">
        <v>113</v>
      </c>
      <c r="U269" s="93" t="s">
        <v>113</v>
      </c>
      <c r="V269" s="94">
        <v>1</v>
      </c>
      <c r="W269" s="93" t="s">
        <v>113</v>
      </c>
      <c r="X269" s="93" t="s">
        <v>113</v>
      </c>
      <c r="Y269" s="93" t="s">
        <v>113</v>
      </c>
      <c r="Z269" s="94">
        <v>75</v>
      </c>
      <c r="AA269" s="93" t="s">
        <v>113</v>
      </c>
      <c r="AB269" s="93" t="s">
        <v>113</v>
      </c>
      <c r="AC269" s="94">
        <v>383</v>
      </c>
      <c r="AD269" s="93" t="s">
        <v>113</v>
      </c>
      <c r="AE269" s="93" t="s">
        <v>113</v>
      </c>
      <c r="AF269" s="93" t="s">
        <v>113</v>
      </c>
      <c r="AG269" s="93" t="s">
        <v>113</v>
      </c>
      <c r="AH269" s="93" t="s">
        <v>113</v>
      </c>
      <c r="AI269" s="93" t="s">
        <v>113</v>
      </c>
      <c r="AJ269" s="93" t="s">
        <v>113</v>
      </c>
      <c r="AK269" s="93" t="s">
        <v>113</v>
      </c>
      <c r="AL269" s="93" t="s">
        <v>113</v>
      </c>
      <c r="AM269" s="93"/>
      <c r="AN269" s="93" t="s">
        <v>113</v>
      </c>
      <c r="AO269" s="93" t="s">
        <v>114</v>
      </c>
      <c r="AP269" s="94">
        <v>507</v>
      </c>
      <c r="AQ269" s="94" t="s">
        <v>100</v>
      </c>
      <c r="AR269" s="93">
        <v>507</v>
      </c>
    </row>
    <row r="270" spans="1:61" ht="16.5">
      <c r="A270" s="93">
        <v>508</v>
      </c>
      <c r="B270" s="93" t="s">
        <v>113</v>
      </c>
      <c r="C270" s="94">
        <v>77.149999999999991</v>
      </c>
      <c r="D270" s="94">
        <v>0</v>
      </c>
      <c r="E270" s="94">
        <v>18.98</v>
      </c>
      <c r="F270" s="94">
        <v>3.8699999999999997</v>
      </c>
      <c r="G270" s="94">
        <v>0</v>
      </c>
      <c r="H270" s="94">
        <v>0</v>
      </c>
      <c r="I270" s="94">
        <v>0</v>
      </c>
      <c r="J270" s="94">
        <v>0</v>
      </c>
      <c r="K270" s="94">
        <v>0</v>
      </c>
      <c r="L270" s="94">
        <v>0</v>
      </c>
      <c r="M270" s="74" t="str">
        <f t="array" ref="M270">_xlfn.TEXTJOIN("-", TRUE, IF(C270:L270&gt;0, $C$2:$L$2, ""))</f>
        <v xml:space="preserve"> Ti-Zr-Mo</v>
      </c>
      <c r="N270" s="90">
        <f t="shared" si="8"/>
        <v>265</v>
      </c>
      <c r="O270" s="91">
        <f t="shared" si="9"/>
        <v>3</v>
      </c>
      <c r="P270" s="94">
        <v>1</v>
      </c>
      <c r="Q270" s="94">
        <v>1</v>
      </c>
      <c r="R270" s="93" t="s">
        <v>113</v>
      </c>
      <c r="S270" s="93" t="s">
        <v>113</v>
      </c>
      <c r="T270" s="93" t="s">
        <v>113</v>
      </c>
      <c r="U270" s="93" t="s">
        <v>113</v>
      </c>
      <c r="V270" s="94">
        <v>1</v>
      </c>
      <c r="W270" s="93" t="s">
        <v>113</v>
      </c>
      <c r="X270" s="93" t="s">
        <v>113</v>
      </c>
      <c r="Y270" s="93" t="s">
        <v>113</v>
      </c>
      <c r="Z270" s="94">
        <v>63</v>
      </c>
      <c r="AA270" s="93" t="s">
        <v>113</v>
      </c>
      <c r="AB270" s="93" t="s">
        <v>113</v>
      </c>
      <c r="AC270" s="94">
        <v>459</v>
      </c>
      <c r="AD270" s="93" t="s">
        <v>113</v>
      </c>
      <c r="AE270" s="93" t="s">
        <v>113</v>
      </c>
      <c r="AF270" s="93" t="s">
        <v>113</v>
      </c>
      <c r="AG270" s="93" t="s">
        <v>113</v>
      </c>
      <c r="AH270" s="93" t="s">
        <v>113</v>
      </c>
      <c r="AI270" s="93" t="s">
        <v>113</v>
      </c>
      <c r="AJ270" s="93" t="s">
        <v>113</v>
      </c>
      <c r="AK270" s="93" t="s">
        <v>113</v>
      </c>
      <c r="AL270" s="93" t="s">
        <v>113</v>
      </c>
      <c r="AM270" s="93"/>
      <c r="AN270" s="93" t="s">
        <v>113</v>
      </c>
      <c r="AO270" s="93" t="s">
        <v>114</v>
      </c>
      <c r="AP270" s="94">
        <v>508</v>
      </c>
      <c r="AQ270" s="94" t="s">
        <v>100</v>
      </c>
      <c r="AR270" s="93">
        <v>508</v>
      </c>
    </row>
    <row r="271" spans="1:61" ht="16.5">
      <c r="A271" s="93">
        <v>509</v>
      </c>
      <c r="B271" s="93" t="s">
        <v>113</v>
      </c>
      <c r="C271" s="94">
        <v>76.429999999999993</v>
      </c>
      <c r="D271" s="94">
        <v>0</v>
      </c>
      <c r="E271" s="94">
        <v>19.29</v>
      </c>
      <c r="F271" s="94">
        <v>4.2799999999999994</v>
      </c>
      <c r="G271" s="94">
        <v>0</v>
      </c>
      <c r="H271" s="94">
        <v>0</v>
      </c>
      <c r="I271" s="94">
        <v>0</v>
      </c>
      <c r="J271" s="94">
        <v>0</v>
      </c>
      <c r="K271" s="94">
        <v>0</v>
      </c>
      <c r="L271" s="94">
        <v>0</v>
      </c>
      <c r="M271" s="74" t="str">
        <f t="array" ref="M271">_xlfn.TEXTJOIN("-", TRUE, IF(C271:L271&gt;0, $C$2:$L$2, ""))</f>
        <v xml:space="preserve"> Ti-Zr-Mo</v>
      </c>
      <c r="N271" s="90">
        <f t="shared" si="8"/>
        <v>265</v>
      </c>
      <c r="O271" s="91">
        <f t="shared" si="9"/>
        <v>3</v>
      </c>
      <c r="P271" s="94">
        <v>1</v>
      </c>
      <c r="Q271" s="94">
        <v>1</v>
      </c>
      <c r="R271" s="93" t="s">
        <v>113</v>
      </c>
      <c r="S271" s="93" t="s">
        <v>113</v>
      </c>
      <c r="T271" s="93" t="s">
        <v>113</v>
      </c>
      <c r="U271" s="93" t="s">
        <v>113</v>
      </c>
      <c r="V271" s="94">
        <v>1</v>
      </c>
      <c r="W271" s="93" t="s">
        <v>113</v>
      </c>
      <c r="X271" s="93" t="s">
        <v>113</v>
      </c>
      <c r="Y271" s="93" t="s">
        <v>113</v>
      </c>
      <c r="Z271" s="94">
        <v>66</v>
      </c>
      <c r="AA271" s="93" t="s">
        <v>113</v>
      </c>
      <c r="AB271" s="93" t="s">
        <v>113</v>
      </c>
      <c r="AC271" s="94">
        <v>674</v>
      </c>
      <c r="AD271" s="93" t="s">
        <v>113</v>
      </c>
      <c r="AE271" s="93" t="s">
        <v>113</v>
      </c>
      <c r="AF271" s="93" t="s">
        <v>113</v>
      </c>
      <c r="AG271" s="93" t="s">
        <v>113</v>
      </c>
      <c r="AH271" s="93" t="s">
        <v>113</v>
      </c>
      <c r="AI271" s="93" t="s">
        <v>113</v>
      </c>
      <c r="AJ271" s="93" t="s">
        <v>113</v>
      </c>
      <c r="AK271" s="93" t="s">
        <v>113</v>
      </c>
      <c r="AL271" s="93" t="s">
        <v>113</v>
      </c>
      <c r="AM271" s="93"/>
      <c r="AN271" s="93" t="s">
        <v>113</v>
      </c>
      <c r="AO271" s="93" t="s">
        <v>114</v>
      </c>
      <c r="AP271" s="94">
        <v>509</v>
      </c>
      <c r="AQ271" s="94" t="s">
        <v>100</v>
      </c>
      <c r="AR271" s="93">
        <v>509</v>
      </c>
    </row>
    <row r="272" spans="1:61" ht="16.5">
      <c r="A272" s="9">
        <v>4</v>
      </c>
      <c r="C272" s="9">
        <v>87.5</v>
      </c>
      <c r="D272">
        <v>0</v>
      </c>
      <c r="E272" s="9">
        <v>6.25</v>
      </c>
      <c r="F272" s="9">
        <v>6.25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74" t="str">
        <f t="array" ref="M272">_xlfn.TEXTJOIN("-", TRUE, IF(C272:L272&gt;0, $C$2:$L$2, ""))</f>
        <v xml:space="preserve"> Ti-Zr-Mo</v>
      </c>
      <c r="N272" s="90">
        <f t="shared" si="8"/>
        <v>265</v>
      </c>
      <c r="O272" s="91">
        <f t="shared" si="9"/>
        <v>3</v>
      </c>
      <c r="Z272" s="9">
        <v>80</v>
      </c>
      <c r="AQ272" s="94" t="s">
        <v>382</v>
      </c>
    </row>
    <row r="273" spans="1:61" ht="16.5">
      <c r="A273" s="9">
        <v>15</v>
      </c>
      <c r="C273" s="9">
        <v>86.7</v>
      </c>
      <c r="D273">
        <v>0</v>
      </c>
      <c r="E273" s="9">
        <v>7.7</v>
      </c>
      <c r="F273" s="9">
        <v>5.6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74" t="str">
        <f t="array" ref="M273">_xlfn.TEXTJOIN("-", TRUE, IF(C273:L273&gt;0, $C$2:$L$2, ""))</f>
        <v xml:space="preserve"> Ti-Zr-Mo</v>
      </c>
      <c r="N273" s="90">
        <f t="shared" si="8"/>
        <v>265</v>
      </c>
      <c r="O273" s="91">
        <f t="shared" si="9"/>
        <v>3</v>
      </c>
      <c r="Z273" s="9">
        <v>74</v>
      </c>
      <c r="AQ273" s="94" t="s">
        <v>382</v>
      </c>
    </row>
    <row r="274" spans="1:61" ht="16.5">
      <c r="A274" s="9">
        <v>23</v>
      </c>
      <c r="C274" s="9">
        <v>78.2</v>
      </c>
      <c r="D274">
        <v>0</v>
      </c>
      <c r="E274" s="9">
        <v>10.6</v>
      </c>
      <c r="F274" s="9">
        <v>11.2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74" t="str">
        <f t="array" ref="M274">_xlfn.TEXTJOIN("-", TRUE, IF(C274:L274&gt;0, $C$2:$L$2, ""))</f>
        <v xml:space="preserve"> Ti-Zr-Mo</v>
      </c>
      <c r="N274" s="90">
        <f t="shared" si="8"/>
        <v>265</v>
      </c>
      <c r="O274" s="91">
        <f t="shared" si="9"/>
        <v>3</v>
      </c>
      <c r="Z274" s="9">
        <v>80</v>
      </c>
      <c r="AQ274" s="94" t="s">
        <v>382</v>
      </c>
    </row>
    <row r="275" spans="1:61" ht="16.5">
      <c r="A275" s="9">
        <v>215</v>
      </c>
      <c r="C275" s="9">
        <v>85.36</v>
      </c>
      <c r="D275">
        <v>0</v>
      </c>
      <c r="E275" s="9">
        <v>8.9600000000000009</v>
      </c>
      <c r="F275" s="9">
        <v>5.68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74" t="str">
        <f t="array" ref="M275">_xlfn.TEXTJOIN("-", TRUE, IF(C275:L275&gt;0, $C$2:$L$2, ""))</f>
        <v xml:space="preserve"> Ti-Zr-Mo</v>
      </c>
      <c r="N275" s="90">
        <f t="shared" si="8"/>
        <v>265</v>
      </c>
      <c r="O275" s="91">
        <f t="shared" si="9"/>
        <v>3</v>
      </c>
      <c r="Z275" s="9">
        <v>82</v>
      </c>
      <c r="AQ275" s="94" t="s">
        <v>382</v>
      </c>
    </row>
    <row r="276" spans="1:61" ht="16.5">
      <c r="A276" s="7">
        <v>168</v>
      </c>
      <c r="B276" s="6"/>
      <c r="C276" s="8">
        <v>72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26</v>
      </c>
      <c r="J276" s="8">
        <v>0</v>
      </c>
      <c r="K276" s="8">
        <v>2</v>
      </c>
      <c r="L276" s="8">
        <v>0</v>
      </c>
      <c r="M276" s="74" t="str">
        <f t="array" ref="M276">_xlfn.TEXTJOIN("-", TRUE, IF(C276:L276&gt;0, $C$2:$L$2, ""))</f>
        <v xml:space="preserve"> Ti-Nb-Fe</v>
      </c>
      <c r="N276" s="90">
        <f t="shared" si="8"/>
        <v>276</v>
      </c>
      <c r="O276" s="91">
        <f t="shared" si="9"/>
        <v>3</v>
      </c>
      <c r="P276" s="8">
        <v>1</v>
      </c>
      <c r="Q276" s="8">
        <v>1</v>
      </c>
      <c r="R276" s="8">
        <v>20</v>
      </c>
      <c r="S276" s="8">
        <v>84</v>
      </c>
      <c r="T276" s="8">
        <v>800</v>
      </c>
      <c r="U276" s="8">
        <v>1</v>
      </c>
      <c r="V276" s="8">
        <v>1</v>
      </c>
      <c r="W276" s="8">
        <v>0</v>
      </c>
      <c r="X276" s="8">
        <v>0</v>
      </c>
      <c r="Y276" s="8">
        <v>0</v>
      </c>
      <c r="Z276" s="6"/>
      <c r="AA276" s="6"/>
      <c r="AB276" s="8">
        <v>739</v>
      </c>
      <c r="AC276" s="8"/>
      <c r="AD276" s="8">
        <v>23.38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 t="s">
        <v>169</v>
      </c>
      <c r="AO276" s="6" t="s">
        <v>170</v>
      </c>
      <c r="AP276" s="6">
        <v>30</v>
      </c>
      <c r="AQ276" s="7" t="s">
        <v>54</v>
      </c>
      <c r="AR276" s="7">
        <v>168</v>
      </c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</row>
    <row r="277" spans="1:61" ht="16.5">
      <c r="A277" s="12">
        <v>90</v>
      </c>
      <c r="B277" s="12"/>
      <c r="C277" s="12">
        <v>72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26</v>
      </c>
      <c r="J277" s="12">
        <v>0</v>
      </c>
      <c r="K277" s="12">
        <v>2</v>
      </c>
      <c r="L277" s="12">
        <v>0</v>
      </c>
      <c r="M277" s="74" t="str">
        <f t="array" ref="M277">_xlfn.TEXTJOIN("-", TRUE, IF(C277:L277&gt;0, $C$2:$L$2, ""))</f>
        <v xml:space="preserve"> Ti-Nb-Fe</v>
      </c>
      <c r="N277" s="90">
        <f t="shared" si="8"/>
        <v>276</v>
      </c>
      <c r="O277" s="91">
        <f t="shared" si="9"/>
        <v>3</v>
      </c>
      <c r="P277" s="12">
        <v>1</v>
      </c>
      <c r="Q277" s="12">
        <v>1</v>
      </c>
      <c r="R277" s="12">
        <v>20</v>
      </c>
      <c r="S277" s="12">
        <v>84</v>
      </c>
      <c r="T277" s="12">
        <v>800</v>
      </c>
      <c r="U277" s="12">
        <v>1</v>
      </c>
      <c r="V277" s="12">
        <v>1</v>
      </c>
      <c r="W277" s="12"/>
      <c r="X277" s="12"/>
      <c r="Y277" s="12"/>
      <c r="Z277" s="12"/>
      <c r="AA277" s="12"/>
      <c r="AB277" s="12">
        <v>739</v>
      </c>
      <c r="AC277" s="12"/>
      <c r="AD277" s="12">
        <v>24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 t="s">
        <v>433</v>
      </c>
      <c r="AO277" s="12" t="s">
        <v>434</v>
      </c>
      <c r="AP277" s="12">
        <v>20</v>
      </c>
      <c r="AQ277" s="12" t="s">
        <v>374</v>
      </c>
      <c r="AR277" s="12">
        <v>90</v>
      </c>
    </row>
    <row r="278" spans="1:61" ht="16.5">
      <c r="A278" s="93">
        <v>337</v>
      </c>
      <c r="B278" s="93" t="s">
        <v>113</v>
      </c>
      <c r="C278" s="94">
        <v>80.849999999999994</v>
      </c>
      <c r="D278" s="94">
        <v>0</v>
      </c>
      <c r="E278" s="94">
        <v>0</v>
      </c>
      <c r="F278" s="94">
        <v>0</v>
      </c>
      <c r="G278" s="94">
        <v>0</v>
      </c>
      <c r="H278" s="94">
        <v>0</v>
      </c>
      <c r="I278" s="94">
        <v>18.05</v>
      </c>
      <c r="J278" s="94">
        <v>0</v>
      </c>
      <c r="K278" s="94">
        <v>1.0999999999999999</v>
      </c>
      <c r="L278" s="94">
        <v>0</v>
      </c>
      <c r="M278" s="74" t="str">
        <f t="array" ref="M278">_xlfn.TEXTJOIN("-", TRUE, IF(C278:L278&gt;0, $C$2:$L$2, ""))</f>
        <v xml:space="preserve"> Ti-Nb-Fe</v>
      </c>
      <c r="N278" s="90">
        <f t="shared" si="8"/>
        <v>276</v>
      </c>
      <c r="O278" s="91">
        <f t="shared" si="9"/>
        <v>3</v>
      </c>
      <c r="P278" s="94">
        <v>1</v>
      </c>
      <c r="Q278" s="94">
        <v>1</v>
      </c>
      <c r="R278" s="93" t="s">
        <v>113</v>
      </c>
      <c r="S278" s="93" t="s">
        <v>113</v>
      </c>
      <c r="T278" s="93" t="s">
        <v>113</v>
      </c>
      <c r="U278" s="93" t="s">
        <v>113</v>
      </c>
      <c r="V278" s="93">
        <v>1</v>
      </c>
      <c r="W278" s="93" t="s">
        <v>113</v>
      </c>
      <c r="X278" s="93" t="s">
        <v>113</v>
      </c>
      <c r="Y278" s="93" t="s">
        <v>113</v>
      </c>
      <c r="Z278" s="94">
        <v>81</v>
      </c>
      <c r="AA278" s="93" t="s">
        <v>113</v>
      </c>
      <c r="AB278" s="93" t="s">
        <v>113</v>
      </c>
      <c r="AC278" s="94">
        <v>477</v>
      </c>
      <c r="AD278" s="93" t="s">
        <v>113</v>
      </c>
      <c r="AE278" s="93" t="s">
        <v>113</v>
      </c>
      <c r="AF278" s="93" t="s">
        <v>113</v>
      </c>
      <c r="AG278" s="93" t="s">
        <v>113</v>
      </c>
      <c r="AH278" s="93" t="s">
        <v>113</v>
      </c>
      <c r="AI278" s="93" t="s">
        <v>113</v>
      </c>
      <c r="AJ278" s="93" t="s">
        <v>113</v>
      </c>
      <c r="AK278" s="93" t="s">
        <v>113</v>
      </c>
      <c r="AL278" s="93" t="s">
        <v>113</v>
      </c>
      <c r="AM278" s="93"/>
      <c r="AN278" s="93" t="s">
        <v>113</v>
      </c>
      <c r="AO278" s="93" t="s">
        <v>114</v>
      </c>
      <c r="AP278" s="94">
        <v>337</v>
      </c>
      <c r="AQ278" s="94" t="s">
        <v>100</v>
      </c>
      <c r="AR278" s="93">
        <v>337</v>
      </c>
    </row>
    <row r="279" spans="1:61" ht="16.5">
      <c r="A279" s="93">
        <v>338</v>
      </c>
      <c r="B279" s="93" t="s">
        <v>113</v>
      </c>
      <c r="C279" s="94">
        <v>82.54</v>
      </c>
      <c r="D279" s="94">
        <v>0</v>
      </c>
      <c r="E279" s="94">
        <v>0</v>
      </c>
      <c r="F279" s="94">
        <v>0</v>
      </c>
      <c r="G279" s="94">
        <v>0</v>
      </c>
      <c r="H279" s="94">
        <v>0</v>
      </c>
      <c r="I279" s="94">
        <v>15.840000000000002</v>
      </c>
      <c r="J279" s="94">
        <v>0</v>
      </c>
      <c r="K279" s="94">
        <v>1.6199999999999999</v>
      </c>
      <c r="L279" s="94">
        <v>0</v>
      </c>
      <c r="M279" s="74" t="str">
        <f t="array" ref="M279">_xlfn.TEXTJOIN("-", TRUE, IF(C279:L279&gt;0, $C$2:$L$2, ""))</f>
        <v xml:space="preserve"> Ti-Nb-Fe</v>
      </c>
      <c r="N279" s="90">
        <f t="shared" si="8"/>
        <v>276</v>
      </c>
      <c r="O279" s="91">
        <f t="shared" si="9"/>
        <v>3</v>
      </c>
      <c r="P279" s="94">
        <v>1</v>
      </c>
      <c r="Q279" s="94">
        <v>1</v>
      </c>
      <c r="R279" s="93" t="s">
        <v>113</v>
      </c>
      <c r="S279" s="93" t="s">
        <v>113</v>
      </c>
      <c r="T279" s="93" t="s">
        <v>113</v>
      </c>
      <c r="U279" s="93" t="s">
        <v>113</v>
      </c>
      <c r="V279" s="93">
        <v>1</v>
      </c>
      <c r="W279" s="93" t="s">
        <v>113</v>
      </c>
      <c r="X279" s="93" t="s">
        <v>113</v>
      </c>
      <c r="Y279" s="93" t="s">
        <v>113</v>
      </c>
      <c r="Z279" s="94">
        <v>94</v>
      </c>
      <c r="AA279" s="93" t="s">
        <v>113</v>
      </c>
      <c r="AB279" s="93" t="s">
        <v>113</v>
      </c>
      <c r="AC279" s="94">
        <v>496</v>
      </c>
      <c r="AD279" s="93" t="s">
        <v>113</v>
      </c>
      <c r="AE279" s="93" t="s">
        <v>113</v>
      </c>
      <c r="AF279" s="93" t="s">
        <v>113</v>
      </c>
      <c r="AG279" s="93" t="s">
        <v>113</v>
      </c>
      <c r="AH279" s="93" t="s">
        <v>113</v>
      </c>
      <c r="AI279" s="93" t="s">
        <v>113</v>
      </c>
      <c r="AJ279" s="93" t="s">
        <v>113</v>
      </c>
      <c r="AK279" s="93" t="s">
        <v>113</v>
      </c>
      <c r="AL279" s="93" t="s">
        <v>113</v>
      </c>
      <c r="AM279" s="93"/>
      <c r="AN279" s="93" t="s">
        <v>113</v>
      </c>
      <c r="AO279" s="93" t="s">
        <v>114</v>
      </c>
      <c r="AP279" s="94">
        <v>338</v>
      </c>
      <c r="AQ279" s="94" t="s">
        <v>100</v>
      </c>
      <c r="AR279" s="93">
        <v>338</v>
      </c>
    </row>
    <row r="280" spans="1:61" ht="16.5">
      <c r="A280" s="93">
        <v>339</v>
      </c>
      <c r="B280" s="93" t="s">
        <v>113</v>
      </c>
      <c r="C280" s="94">
        <v>84.58</v>
      </c>
      <c r="D280" s="94">
        <v>0</v>
      </c>
      <c r="E280" s="94">
        <v>0</v>
      </c>
      <c r="F280" s="94">
        <v>0</v>
      </c>
      <c r="G280" s="94">
        <v>0</v>
      </c>
      <c r="H280" s="94">
        <v>0</v>
      </c>
      <c r="I280" s="94">
        <v>13.25</v>
      </c>
      <c r="J280" s="94">
        <v>0</v>
      </c>
      <c r="K280" s="94">
        <v>2.17</v>
      </c>
      <c r="L280" s="94">
        <v>0</v>
      </c>
      <c r="M280" s="74" t="str">
        <f t="array" ref="M280">_xlfn.TEXTJOIN("-", TRUE, IF(C280:L280&gt;0, $C$2:$L$2, ""))</f>
        <v xml:space="preserve"> Ti-Nb-Fe</v>
      </c>
      <c r="N280" s="90">
        <f t="shared" si="8"/>
        <v>276</v>
      </c>
      <c r="O280" s="91">
        <f t="shared" si="9"/>
        <v>3</v>
      </c>
      <c r="P280" s="94">
        <v>1</v>
      </c>
      <c r="Q280" s="94">
        <v>1</v>
      </c>
      <c r="R280" s="93" t="s">
        <v>113</v>
      </c>
      <c r="S280" s="93" t="s">
        <v>113</v>
      </c>
      <c r="T280" s="93" t="s">
        <v>113</v>
      </c>
      <c r="U280" s="93" t="s">
        <v>113</v>
      </c>
      <c r="V280" s="93">
        <v>1</v>
      </c>
      <c r="W280" s="93" t="s">
        <v>113</v>
      </c>
      <c r="X280" s="93" t="s">
        <v>113</v>
      </c>
      <c r="Y280" s="93" t="s">
        <v>113</v>
      </c>
      <c r="Z280" s="94">
        <v>95</v>
      </c>
      <c r="AA280" s="93" t="s">
        <v>113</v>
      </c>
      <c r="AB280" s="93" t="s">
        <v>113</v>
      </c>
      <c r="AC280" s="94">
        <v>604</v>
      </c>
      <c r="AD280" s="93" t="s">
        <v>113</v>
      </c>
      <c r="AE280" s="93" t="s">
        <v>113</v>
      </c>
      <c r="AF280" s="93" t="s">
        <v>113</v>
      </c>
      <c r="AG280" s="93" t="s">
        <v>113</v>
      </c>
      <c r="AH280" s="93" t="s">
        <v>113</v>
      </c>
      <c r="AI280" s="93" t="s">
        <v>113</v>
      </c>
      <c r="AJ280" s="93" t="s">
        <v>113</v>
      </c>
      <c r="AK280" s="93" t="s">
        <v>113</v>
      </c>
      <c r="AL280" s="93" t="s">
        <v>113</v>
      </c>
      <c r="AM280" s="93"/>
      <c r="AN280" s="93" t="s">
        <v>113</v>
      </c>
      <c r="AO280" s="93" t="s">
        <v>114</v>
      </c>
      <c r="AP280" s="94">
        <v>339</v>
      </c>
      <c r="AQ280" s="94" t="s">
        <v>100</v>
      </c>
      <c r="AR280" s="93">
        <v>339</v>
      </c>
    </row>
    <row r="281" spans="1:61" ht="16.5">
      <c r="A281" s="93">
        <v>340</v>
      </c>
      <c r="B281" s="93" t="s">
        <v>113</v>
      </c>
      <c r="C281" s="94">
        <v>87.070000000000007</v>
      </c>
      <c r="D281" s="94">
        <v>0</v>
      </c>
      <c r="E281" s="94">
        <v>0</v>
      </c>
      <c r="F281" s="94">
        <v>0</v>
      </c>
      <c r="G281" s="94">
        <v>0</v>
      </c>
      <c r="H281" s="94">
        <v>0</v>
      </c>
      <c r="I281" s="94">
        <v>10.39</v>
      </c>
      <c r="J281" s="94">
        <v>0</v>
      </c>
      <c r="K281" s="94">
        <v>2.54</v>
      </c>
      <c r="L281" s="94">
        <v>0</v>
      </c>
      <c r="M281" s="74" t="str">
        <f t="array" ref="M281">_xlfn.TEXTJOIN("-", TRUE, IF(C281:L281&gt;0, $C$2:$L$2, ""))</f>
        <v xml:space="preserve"> Ti-Nb-Fe</v>
      </c>
      <c r="N281" s="90">
        <f t="shared" si="8"/>
        <v>276</v>
      </c>
      <c r="O281" s="91">
        <f t="shared" si="9"/>
        <v>3</v>
      </c>
      <c r="P281" s="94">
        <v>1</v>
      </c>
      <c r="Q281" s="94">
        <v>1</v>
      </c>
      <c r="R281" s="93" t="s">
        <v>113</v>
      </c>
      <c r="S281" s="93" t="s">
        <v>113</v>
      </c>
      <c r="T281" s="93" t="s">
        <v>113</v>
      </c>
      <c r="U281" s="93" t="s">
        <v>113</v>
      </c>
      <c r="V281" s="93">
        <v>1</v>
      </c>
      <c r="W281" s="93" t="s">
        <v>113</v>
      </c>
      <c r="X281" s="93" t="s">
        <v>113</v>
      </c>
      <c r="Y281" s="93" t="s">
        <v>113</v>
      </c>
      <c r="Z281" s="94">
        <v>90</v>
      </c>
      <c r="AA281" s="93" t="s">
        <v>113</v>
      </c>
      <c r="AB281" s="93" t="s">
        <v>113</v>
      </c>
      <c r="AC281" s="94">
        <v>672</v>
      </c>
      <c r="AD281" s="93" t="s">
        <v>113</v>
      </c>
      <c r="AE281" s="93" t="s">
        <v>113</v>
      </c>
      <c r="AF281" s="93" t="s">
        <v>113</v>
      </c>
      <c r="AG281" s="93" t="s">
        <v>113</v>
      </c>
      <c r="AH281" s="93" t="s">
        <v>113</v>
      </c>
      <c r="AI281" s="93" t="s">
        <v>113</v>
      </c>
      <c r="AJ281" s="93" t="s">
        <v>113</v>
      </c>
      <c r="AK281" s="93" t="s">
        <v>113</v>
      </c>
      <c r="AL281" s="93" t="s">
        <v>113</v>
      </c>
      <c r="AM281" s="93"/>
      <c r="AN281" s="93" t="s">
        <v>113</v>
      </c>
      <c r="AO281" s="93" t="s">
        <v>114</v>
      </c>
      <c r="AP281" s="94">
        <v>340</v>
      </c>
      <c r="AQ281" s="94" t="s">
        <v>100</v>
      </c>
      <c r="AR281" s="93">
        <v>340</v>
      </c>
    </row>
    <row r="282" spans="1:61" ht="16.5">
      <c r="A282" s="93">
        <v>341</v>
      </c>
      <c r="B282" s="93" t="s">
        <v>113</v>
      </c>
      <c r="C282" s="94">
        <v>88.949999999999989</v>
      </c>
      <c r="D282" s="94">
        <v>0</v>
      </c>
      <c r="E282" s="94">
        <v>0</v>
      </c>
      <c r="F282" s="94">
        <v>0</v>
      </c>
      <c r="G282" s="94">
        <v>0</v>
      </c>
      <c r="H282" s="94">
        <v>0</v>
      </c>
      <c r="I282" s="94">
        <v>8.25</v>
      </c>
      <c r="J282" s="94">
        <v>0</v>
      </c>
      <c r="K282" s="94">
        <v>2.8000000000000003</v>
      </c>
      <c r="L282" s="94">
        <v>0</v>
      </c>
      <c r="M282" s="74" t="str">
        <f t="array" ref="M282">_xlfn.TEXTJOIN("-", TRUE, IF(C282:L282&gt;0, $C$2:$L$2, ""))</f>
        <v xml:space="preserve"> Ti-Nb-Fe</v>
      </c>
      <c r="N282" s="90">
        <f t="shared" si="8"/>
        <v>276</v>
      </c>
      <c r="O282" s="91">
        <f t="shared" si="9"/>
        <v>3</v>
      </c>
      <c r="P282" s="94">
        <v>1</v>
      </c>
      <c r="Q282" s="94">
        <v>1</v>
      </c>
      <c r="R282" s="93" t="s">
        <v>113</v>
      </c>
      <c r="S282" s="93" t="s">
        <v>113</v>
      </c>
      <c r="T282" s="93" t="s">
        <v>113</v>
      </c>
      <c r="U282" s="93" t="s">
        <v>113</v>
      </c>
      <c r="V282" s="93">
        <v>1</v>
      </c>
      <c r="W282" s="93" t="s">
        <v>113</v>
      </c>
      <c r="X282" s="93" t="s">
        <v>113</v>
      </c>
      <c r="Y282" s="93" t="s">
        <v>113</v>
      </c>
      <c r="Z282" s="94">
        <v>94</v>
      </c>
      <c r="AA282" s="93" t="s">
        <v>113</v>
      </c>
      <c r="AB282" s="93" t="s">
        <v>113</v>
      </c>
      <c r="AC282" s="94">
        <v>695</v>
      </c>
      <c r="AD282" s="93" t="s">
        <v>113</v>
      </c>
      <c r="AE282" s="93" t="s">
        <v>113</v>
      </c>
      <c r="AF282" s="93" t="s">
        <v>113</v>
      </c>
      <c r="AG282" s="93" t="s">
        <v>113</v>
      </c>
      <c r="AH282" s="93" t="s">
        <v>113</v>
      </c>
      <c r="AI282" s="93" t="s">
        <v>113</v>
      </c>
      <c r="AJ282" s="93" t="s">
        <v>113</v>
      </c>
      <c r="AK282" s="93" t="s">
        <v>113</v>
      </c>
      <c r="AL282" s="93" t="s">
        <v>113</v>
      </c>
      <c r="AM282" s="93"/>
      <c r="AN282" s="93" t="s">
        <v>113</v>
      </c>
      <c r="AO282" s="93" t="s">
        <v>114</v>
      </c>
      <c r="AP282" s="94">
        <v>341</v>
      </c>
      <c r="AQ282" s="94" t="s">
        <v>100</v>
      </c>
      <c r="AR282" s="93">
        <v>341</v>
      </c>
    </row>
    <row r="283" spans="1:61" ht="16.5">
      <c r="A283" s="93">
        <v>342</v>
      </c>
      <c r="B283" s="93" t="s">
        <v>113</v>
      </c>
      <c r="C283" s="94">
        <v>90.63</v>
      </c>
      <c r="D283" s="94">
        <v>0</v>
      </c>
      <c r="E283" s="94">
        <v>0</v>
      </c>
      <c r="F283" s="94">
        <v>0</v>
      </c>
      <c r="G283" s="94">
        <v>0</v>
      </c>
      <c r="H283" s="94">
        <v>0</v>
      </c>
      <c r="I283" s="94">
        <v>6.02</v>
      </c>
      <c r="J283" s="94">
        <v>0</v>
      </c>
      <c r="K283" s="94">
        <v>3.35</v>
      </c>
      <c r="L283" s="94">
        <v>0</v>
      </c>
      <c r="M283" s="74" t="str">
        <f t="array" ref="M283">_xlfn.TEXTJOIN("-", TRUE, IF(C283:L283&gt;0, $C$2:$L$2, ""))</f>
        <v xml:space="preserve"> Ti-Nb-Fe</v>
      </c>
      <c r="N283" s="90">
        <f t="shared" si="8"/>
        <v>276</v>
      </c>
      <c r="O283" s="91">
        <f t="shared" si="9"/>
        <v>3</v>
      </c>
      <c r="P283" s="94">
        <v>1</v>
      </c>
      <c r="Q283" s="94">
        <v>1</v>
      </c>
      <c r="R283" s="93" t="s">
        <v>113</v>
      </c>
      <c r="S283" s="93" t="s">
        <v>113</v>
      </c>
      <c r="T283" s="93" t="s">
        <v>113</v>
      </c>
      <c r="U283" s="93" t="s">
        <v>113</v>
      </c>
      <c r="V283" s="93">
        <v>1</v>
      </c>
      <c r="W283" s="93" t="s">
        <v>113</v>
      </c>
      <c r="X283" s="93" t="s">
        <v>113</v>
      </c>
      <c r="Y283" s="93" t="s">
        <v>113</v>
      </c>
      <c r="Z283" s="94">
        <v>97</v>
      </c>
      <c r="AA283" s="93" t="s">
        <v>113</v>
      </c>
      <c r="AB283" s="93" t="s">
        <v>113</v>
      </c>
      <c r="AC283" s="94">
        <v>715</v>
      </c>
      <c r="AD283" s="93" t="s">
        <v>113</v>
      </c>
      <c r="AE283" s="93" t="s">
        <v>113</v>
      </c>
      <c r="AF283" s="93" t="s">
        <v>113</v>
      </c>
      <c r="AG283" s="93" t="s">
        <v>113</v>
      </c>
      <c r="AH283" s="93" t="s">
        <v>113</v>
      </c>
      <c r="AI283" s="93" t="s">
        <v>113</v>
      </c>
      <c r="AJ283" s="93" t="s">
        <v>113</v>
      </c>
      <c r="AK283" s="93" t="s">
        <v>113</v>
      </c>
      <c r="AL283" s="93" t="s">
        <v>113</v>
      </c>
      <c r="AM283" s="93"/>
      <c r="AN283" s="93" t="s">
        <v>113</v>
      </c>
      <c r="AO283" s="93" t="s">
        <v>114</v>
      </c>
      <c r="AP283" s="94">
        <v>342</v>
      </c>
      <c r="AQ283" s="94" t="s">
        <v>100</v>
      </c>
      <c r="AR283" s="93">
        <v>342</v>
      </c>
    </row>
    <row r="284" spans="1:61" ht="16.5">
      <c r="A284" s="93">
        <v>344</v>
      </c>
      <c r="B284" s="93" t="s">
        <v>113</v>
      </c>
      <c r="C284" s="94">
        <v>80.63</v>
      </c>
      <c r="D284" s="94">
        <v>0</v>
      </c>
      <c r="E284" s="94">
        <v>0</v>
      </c>
      <c r="F284" s="94">
        <v>0</v>
      </c>
      <c r="G284" s="94">
        <v>0</v>
      </c>
      <c r="H284" s="94">
        <v>0</v>
      </c>
      <c r="I284" s="94">
        <v>18.260000000000002</v>
      </c>
      <c r="J284" s="94">
        <v>0</v>
      </c>
      <c r="K284" s="94">
        <v>1.1100000000000001</v>
      </c>
      <c r="L284" s="94">
        <v>0</v>
      </c>
      <c r="M284" s="74" t="str">
        <f t="array" ref="M284">_xlfn.TEXTJOIN("-", TRUE, IF(C284:L284&gt;0, $C$2:$L$2, ""))</f>
        <v xml:space="preserve"> Ti-Nb-Fe</v>
      </c>
      <c r="N284" s="90">
        <f t="shared" si="8"/>
        <v>276</v>
      </c>
      <c r="O284" s="91">
        <f t="shared" si="9"/>
        <v>3</v>
      </c>
      <c r="P284" s="94">
        <v>1</v>
      </c>
      <c r="Q284" s="94">
        <v>1</v>
      </c>
      <c r="R284" s="93" t="s">
        <v>113</v>
      </c>
      <c r="S284" s="93" t="s">
        <v>113</v>
      </c>
      <c r="T284" s="93" t="s">
        <v>113</v>
      </c>
      <c r="U284" s="93" t="s">
        <v>113</v>
      </c>
      <c r="V284" s="93">
        <v>1</v>
      </c>
      <c r="W284" s="93" t="s">
        <v>113</v>
      </c>
      <c r="X284" s="93" t="s">
        <v>113</v>
      </c>
      <c r="Y284" s="93" t="s">
        <v>113</v>
      </c>
      <c r="Z284" s="94">
        <v>79</v>
      </c>
      <c r="AA284" s="93" t="s">
        <v>113</v>
      </c>
      <c r="AB284" s="93" t="s">
        <v>113</v>
      </c>
      <c r="AC284" s="94">
        <v>606</v>
      </c>
      <c r="AD284" s="93" t="s">
        <v>113</v>
      </c>
      <c r="AE284" s="93" t="s">
        <v>113</v>
      </c>
      <c r="AF284" s="93" t="s">
        <v>113</v>
      </c>
      <c r="AG284" s="93" t="s">
        <v>113</v>
      </c>
      <c r="AH284" s="93" t="s">
        <v>113</v>
      </c>
      <c r="AI284" s="93" t="s">
        <v>113</v>
      </c>
      <c r="AJ284" s="93" t="s">
        <v>113</v>
      </c>
      <c r="AK284" s="93" t="s">
        <v>113</v>
      </c>
      <c r="AL284" s="93" t="s">
        <v>113</v>
      </c>
      <c r="AM284" s="93"/>
      <c r="AN284" s="93" t="s">
        <v>113</v>
      </c>
      <c r="AO284" s="93" t="s">
        <v>114</v>
      </c>
      <c r="AP284" s="94">
        <v>344</v>
      </c>
      <c r="AQ284" s="94" t="s">
        <v>100</v>
      </c>
      <c r="AR284" s="93">
        <v>344</v>
      </c>
    </row>
    <row r="285" spans="1:61" ht="16.5">
      <c r="A285" s="93">
        <v>345</v>
      </c>
      <c r="B285" s="93" t="s">
        <v>113</v>
      </c>
      <c r="C285" s="94">
        <v>79.12</v>
      </c>
      <c r="D285" s="94">
        <v>0</v>
      </c>
      <c r="E285" s="94">
        <v>0</v>
      </c>
      <c r="F285" s="94">
        <v>0</v>
      </c>
      <c r="G285" s="94">
        <v>0</v>
      </c>
      <c r="H285" s="94">
        <v>0</v>
      </c>
      <c r="I285" s="94">
        <v>17.96</v>
      </c>
      <c r="J285" s="94">
        <v>0</v>
      </c>
      <c r="K285" s="94">
        <v>2.92</v>
      </c>
      <c r="L285" s="94">
        <v>0</v>
      </c>
      <c r="M285" s="74" t="str">
        <f t="array" ref="M285">_xlfn.TEXTJOIN("-", TRUE, IF(C285:L285&gt;0, $C$2:$L$2, ""))</f>
        <v xml:space="preserve"> Ti-Nb-Fe</v>
      </c>
      <c r="N285" s="90">
        <f t="shared" si="8"/>
        <v>276</v>
      </c>
      <c r="O285" s="91">
        <f t="shared" si="9"/>
        <v>3</v>
      </c>
      <c r="P285" s="94">
        <v>1</v>
      </c>
      <c r="Q285" s="94">
        <v>1</v>
      </c>
      <c r="R285" s="93" t="s">
        <v>113</v>
      </c>
      <c r="S285" s="93" t="s">
        <v>113</v>
      </c>
      <c r="T285" s="93" t="s">
        <v>113</v>
      </c>
      <c r="U285" s="93" t="s">
        <v>113</v>
      </c>
      <c r="V285" s="93">
        <v>1</v>
      </c>
      <c r="W285" s="93" t="s">
        <v>113</v>
      </c>
      <c r="X285" s="93" t="s">
        <v>113</v>
      </c>
      <c r="Y285" s="93" t="s">
        <v>113</v>
      </c>
      <c r="Z285" s="94">
        <v>78</v>
      </c>
      <c r="AA285" s="93" t="s">
        <v>113</v>
      </c>
      <c r="AB285" s="93" t="s">
        <v>113</v>
      </c>
      <c r="AC285" s="94">
        <v>625</v>
      </c>
      <c r="AD285" s="93" t="s">
        <v>113</v>
      </c>
      <c r="AE285" s="93" t="s">
        <v>113</v>
      </c>
      <c r="AF285" s="93" t="s">
        <v>113</v>
      </c>
      <c r="AG285" s="93" t="s">
        <v>113</v>
      </c>
      <c r="AH285" s="93" t="s">
        <v>113</v>
      </c>
      <c r="AI285" s="93" t="s">
        <v>113</v>
      </c>
      <c r="AJ285" s="93" t="s">
        <v>113</v>
      </c>
      <c r="AK285" s="93" t="s">
        <v>113</v>
      </c>
      <c r="AL285" s="93" t="s">
        <v>113</v>
      </c>
      <c r="AM285" s="93"/>
      <c r="AN285" s="93" t="s">
        <v>113</v>
      </c>
      <c r="AO285" s="93" t="s">
        <v>114</v>
      </c>
      <c r="AP285" s="94">
        <v>345</v>
      </c>
      <c r="AQ285" s="94" t="s">
        <v>100</v>
      </c>
      <c r="AR285" s="93">
        <v>345</v>
      </c>
    </row>
    <row r="286" spans="1:61" ht="16.5">
      <c r="A286" s="93">
        <v>346</v>
      </c>
      <c r="B286" s="93" t="s">
        <v>113</v>
      </c>
      <c r="C286" s="94">
        <v>77.19</v>
      </c>
      <c r="D286" s="94">
        <v>0</v>
      </c>
      <c r="E286" s="94">
        <v>0</v>
      </c>
      <c r="F286" s="94">
        <v>0</v>
      </c>
      <c r="G286" s="94">
        <v>0</v>
      </c>
      <c r="H286" s="94">
        <v>0</v>
      </c>
      <c r="I286" s="94">
        <v>17.68</v>
      </c>
      <c r="J286" s="94">
        <v>0</v>
      </c>
      <c r="K286" s="94">
        <v>5.1400000000000006</v>
      </c>
      <c r="L286" s="94">
        <v>0</v>
      </c>
      <c r="M286" s="74" t="str">
        <f t="array" ref="M286">_xlfn.TEXTJOIN("-", TRUE, IF(C286:L286&gt;0, $C$2:$L$2, ""))</f>
        <v xml:space="preserve"> Ti-Nb-Fe</v>
      </c>
      <c r="N286" s="90">
        <f t="shared" si="8"/>
        <v>276</v>
      </c>
      <c r="O286" s="91">
        <f t="shared" si="9"/>
        <v>3</v>
      </c>
      <c r="P286" s="94">
        <v>1</v>
      </c>
      <c r="Q286" s="94">
        <v>1</v>
      </c>
      <c r="R286" s="93" t="s">
        <v>113</v>
      </c>
      <c r="S286" s="93" t="s">
        <v>113</v>
      </c>
      <c r="T286" s="93" t="s">
        <v>113</v>
      </c>
      <c r="U286" s="93" t="s">
        <v>113</v>
      </c>
      <c r="V286" s="93">
        <v>1</v>
      </c>
      <c r="W286" s="93" t="s">
        <v>113</v>
      </c>
      <c r="X286" s="93" t="s">
        <v>113</v>
      </c>
      <c r="Y286" s="93" t="s">
        <v>113</v>
      </c>
      <c r="Z286" s="94">
        <v>79</v>
      </c>
      <c r="AA286" s="93" t="s">
        <v>113</v>
      </c>
      <c r="AB286" s="93" t="s">
        <v>113</v>
      </c>
      <c r="AC286" s="94">
        <v>629</v>
      </c>
      <c r="AD286" s="93" t="s">
        <v>113</v>
      </c>
      <c r="AE286" s="93" t="s">
        <v>113</v>
      </c>
      <c r="AF286" s="93" t="s">
        <v>113</v>
      </c>
      <c r="AG286" s="93" t="s">
        <v>113</v>
      </c>
      <c r="AH286" s="93" t="s">
        <v>113</v>
      </c>
      <c r="AI286" s="93" t="s">
        <v>113</v>
      </c>
      <c r="AJ286" s="93" t="s">
        <v>113</v>
      </c>
      <c r="AK286" s="93" t="s">
        <v>113</v>
      </c>
      <c r="AL286" s="93" t="s">
        <v>113</v>
      </c>
      <c r="AM286" s="93"/>
      <c r="AN286" s="93" t="s">
        <v>113</v>
      </c>
      <c r="AO286" s="93" t="s">
        <v>114</v>
      </c>
      <c r="AP286" s="94">
        <v>346</v>
      </c>
      <c r="AQ286" s="94" t="s">
        <v>100</v>
      </c>
      <c r="AR286" s="93">
        <v>346</v>
      </c>
    </row>
    <row r="287" spans="1:61" ht="16.5">
      <c r="A287" s="93">
        <v>347</v>
      </c>
      <c r="B287" s="93" t="s">
        <v>113</v>
      </c>
      <c r="C287" s="94">
        <v>88.9</v>
      </c>
      <c r="D287" s="94">
        <v>0</v>
      </c>
      <c r="E287" s="94">
        <v>0</v>
      </c>
      <c r="F287" s="94">
        <v>0</v>
      </c>
      <c r="G287" s="94">
        <v>0</v>
      </c>
      <c r="H287" s="94">
        <v>0</v>
      </c>
      <c r="I287" s="94">
        <v>6.9599999999999991</v>
      </c>
      <c r="J287" s="94">
        <v>0</v>
      </c>
      <c r="K287" s="94">
        <v>4.1399999999999997</v>
      </c>
      <c r="L287" s="94">
        <v>0</v>
      </c>
      <c r="M287" s="74" t="str">
        <f t="array" ref="M287">_xlfn.TEXTJOIN("-", TRUE, IF(C287:L287&gt;0, $C$2:$L$2, ""))</f>
        <v xml:space="preserve"> Ti-Nb-Fe</v>
      </c>
      <c r="N287" s="90">
        <f t="shared" si="8"/>
        <v>276</v>
      </c>
      <c r="O287" s="91">
        <f t="shared" si="9"/>
        <v>3</v>
      </c>
      <c r="P287" s="94">
        <v>1</v>
      </c>
      <c r="Q287" s="94">
        <v>1</v>
      </c>
      <c r="R287" s="93" t="s">
        <v>113</v>
      </c>
      <c r="S287" s="93" t="s">
        <v>113</v>
      </c>
      <c r="T287" s="93" t="s">
        <v>113</v>
      </c>
      <c r="U287" s="93" t="s">
        <v>113</v>
      </c>
      <c r="V287" s="93">
        <v>1</v>
      </c>
      <c r="W287" s="93" t="s">
        <v>113</v>
      </c>
      <c r="X287" s="93" t="s">
        <v>113</v>
      </c>
      <c r="Y287" s="93" t="s">
        <v>113</v>
      </c>
      <c r="Z287" s="94">
        <v>90</v>
      </c>
      <c r="AA287" s="93" t="s">
        <v>113</v>
      </c>
      <c r="AB287" s="93" t="s">
        <v>113</v>
      </c>
      <c r="AC287" s="94">
        <v>740</v>
      </c>
      <c r="AD287" s="93" t="s">
        <v>113</v>
      </c>
      <c r="AE287" s="93" t="s">
        <v>113</v>
      </c>
      <c r="AF287" s="93" t="s">
        <v>113</v>
      </c>
      <c r="AG287" s="93" t="s">
        <v>113</v>
      </c>
      <c r="AH287" s="93" t="s">
        <v>113</v>
      </c>
      <c r="AI287" s="93" t="s">
        <v>113</v>
      </c>
      <c r="AJ287" s="93" t="s">
        <v>113</v>
      </c>
      <c r="AK287" s="93" t="s">
        <v>113</v>
      </c>
      <c r="AL287" s="93" t="s">
        <v>113</v>
      </c>
      <c r="AM287" s="93"/>
      <c r="AN287" s="93" t="s">
        <v>113</v>
      </c>
      <c r="AO287" s="93" t="s">
        <v>114</v>
      </c>
      <c r="AP287" s="94">
        <v>347</v>
      </c>
      <c r="AQ287" s="94" t="s">
        <v>100</v>
      </c>
      <c r="AR287" s="93">
        <v>347</v>
      </c>
    </row>
    <row r="288" spans="1:61" ht="16.5">
      <c r="A288" s="93">
        <v>391</v>
      </c>
      <c r="B288" s="93" t="s">
        <v>113</v>
      </c>
      <c r="C288" s="94">
        <v>88.48</v>
      </c>
      <c r="D288" s="94">
        <v>0</v>
      </c>
      <c r="E288" s="94">
        <v>0</v>
      </c>
      <c r="F288" s="94">
        <v>0</v>
      </c>
      <c r="G288" s="94">
        <v>0</v>
      </c>
      <c r="H288" s="94">
        <v>0</v>
      </c>
      <c r="I288" s="94">
        <v>6.04</v>
      </c>
      <c r="J288" s="94">
        <v>0</v>
      </c>
      <c r="K288" s="94">
        <v>5.48</v>
      </c>
      <c r="L288" s="94">
        <v>0</v>
      </c>
      <c r="M288" s="74" t="str">
        <f t="array" ref="M288">_xlfn.TEXTJOIN("-", TRUE, IF(C288:L288&gt;0, $C$2:$L$2, ""))</f>
        <v xml:space="preserve"> Ti-Nb-Fe</v>
      </c>
      <c r="N288" s="90">
        <f t="shared" si="8"/>
        <v>276</v>
      </c>
      <c r="O288" s="91">
        <f t="shared" si="9"/>
        <v>3</v>
      </c>
      <c r="P288" s="94">
        <v>1</v>
      </c>
      <c r="Q288" s="95" t="s">
        <v>173</v>
      </c>
      <c r="R288" s="93">
        <v>0</v>
      </c>
      <c r="S288" s="93">
        <v>0</v>
      </c>
      <c r="T288" s="93">
        <v>0</v>
      </c>
      <c r="U288" s="93">
        <v>0</v>
      </c>
      <c r="V288" s="93">
        <v>0</v>
      </c>
      <c r="W288" s="93">
        <v>0</v>
      </c>
      <c r="X288" s="93">
        <v>0</v>
      </c>
      <c r="Y288" s="93">
        <v>0</v>
      </c>
      <c r="Z288" s="94">
        <v>89</v>
      </c>
      <c r="AA288" s="93" t="s">
        <v>113</v>
      </c>
      <c r="AB288" s="93" t="s">
        <v>113</v>
      </c>
      <c r="AC288" s="94">
        <v>1137</v>
      </c>
      <c r="AD288" s="93" t="s">
        <v>113</v>
      </c>
      <c r="AE288" s="93" t="s">
        <v>113</v>
      </c>
      <c r="AF288" s="93" t="s">
        <v>113</v>
      </c>
      <c r="AG288" s="93" t="s">
        <v>113</v>
      </c>
      <c r="AH288" s="93" t="s">
        <v>113</v>
      </c>
      <c r="AI288" s="93" t="s">
        <v>113</v>
      </c>
      <c r="AJ288" s="93" t="s">
        <v>113</v>
      </c>
      <c r="AK288" s="93" t="s">
        <v>113</v>
      </c>
      <c r="AL288" s="93" t="s">
        <v>113</v>
      </c>
      <c r="AM288" s="93"/>
      <c r="AN288" s="93" t="s">
        <v>113</v>
      </c>
      <c r="AO288" s="93" t="s">
        <v>114</v>
      </c>
      <c r="AP288" s="94">
        <v>391</v>
      </c>
      <c r="AQ288" s="94" t="s">
        <v>100</v>
      </c>
      <c r="AR288" s="93">
        <v>391</v>
      </c>
    </row>
    <row r="289" spans="1:61" ht="16.5">
      <c r="A289" s="93">
        <v>392</v>
      </c>
      <c r="B289" s="93" t="s">
        <v>113</v>
      </c>
      <c r="C289" s="94">
        <v>85.67</v>
      </c>
      <c r="D289" s="94">
        <v>0</v>
      </c>
      <c r="E289" s="94">
        <v>0</v>
      </c>
      <c r="F289" s="94">
        <v>0</v>
      </c>
      <c r="G289" s="94">
        <v>0</v>
      </c>
      <c r="H289" s="94">
        <v>0</v>
      </c>
      <c r="I289" s="94">
        <v>6.0699999999999994</v>
      </c>
      <c r="J289" s="94">
        <v>0</v>
      </c>
      <c r="K289" s="94">
        <v>8.2600000000000016</v>
      </c>
      <c r="L289" s="94">
        <v>0</v>
      </c>
      <c r="M289" s="74" t="str">
        <f t="array" ref="M289">_xlfn.TEXTJOIN("-", TRUE, IF(C289:L289&gt;0, $C$2:$L$2, ""))</f>
        <v xml:space="preserve"> Ti-Nb-Fe</v>
      </c>
      <c r="N289" s="90">
        <f t="shared" si="8"/>
        <v>276</v>
      </c>
      <c r="O289" s="91">
        <f t="shared" si="9"/>
        <v>3</v>
      </c>
      <c r="P289" s="94">
        <v>1</v>
      </c>
      <c r="Q289" s="95" t="s">
        <v>173</v>
      </c>
      <c r="R289" s="93">
        <v>0</v>
      </c>
      <c r="S289" s="93">
        <v>0</v>
      </c>
      <c r="T289" s="93">
        <v>0</v>
      </c>
      <c r="U289" s="93">
        <v>0</v>
      </c>
      <c r="V289" s="93">
        <v>0</v>
      </c>
      <c r="W289" s="93">
        <v>0</v>
      </c>
      <c r="X289" s="93">
        <v>0</v>
      </c>
      <c r="Y289" s="93">
        <v>0</v>
      </c>
      <c r="Z289" s="94">
        <v>82</v>
      </c>
      <c r="AA289" s="93" t="s">
        <v>113</v>
      </c>
      <c r="AB289" s="93" t="s">
        <v>113</v>
      </c>
      <c r="AC289" s="94">
        <v>1078</v>
      </c>
      <c r="AD289" s="93" t="s">
        <v>113</v>
      </c>
      <c r="AE289" s="93" t="s">
        <v>113</v>
      </c>
      <c r="AF289" s="93" t="s">
        <v>113</v>
      </c>
      <c r="AG289" s="93" t="s">
        <v>113</v>
      </c>
      <c r="AH289" s="93" t="s">
        <v>113</v>
      </c>
      <c r="AI289" s="93" t="s">
        <v>113</v>
      </c>
      <c r="AJ289" s="93" t="s">
        <v>113</v>
      </c>
      <c r="AK289" s="93" t="s">
        <v>113</v>
      </c>
      <c r="AL289" s="93" t="s">
        <v>113</v>
      </c>
      <c r="AM289" s="93"/>
      <c r="AN289" s="93" t="s">
        <v>113</v>
      </c>
      <c r="AO289" s="93" t="s">
        <v>114</v>
      </c>
      <c r="AP289" s="94">
        <v>392</v>
      </c>
      <c r="AQ289" s="94" t="s">
        <v>100</v>
      </c>
      <c r="AR289" s="93">
        <v>392</v>
      </c>
    </row>
    <row r="290" spans="1:61" ht="16.5">
      <c r="A290" s="93">
        <v>435</v>
      </c>
      <c r="B290" s="93" t="s">
        <v>113</v>
      </c>
      <c r="C290" s="94">
        <v>93.39</v>
      </c>
      <c r="D290" s="94">
        <v>0</v>
      </c>
      <c r="E290" s="94">
        <v>0</v>
      </c>
      <c r="F290" s="94">
        <v>0</v>
      </c>
      <c r="G290" s="94">
        <v>0</v>
      </c>
      <c r="H290" s="94">
        <v>0</v>
      </c>
      <c r="I290" s="94">
        <v>0.52</v>
      </c>
      <c r="J290" s="94">
        <v>0</v>
      </c>
      <c r="K290" s="94">
        <v>6.09</v>
      </c>
      <c r="L290" s="94">
        <v>0</v>
      </c>
      <c r="M290" s="74" t="str">
        <f t="array" ref="M290">_xlfn.TEXTJOIN("-", TRUE, IF(C290:L290&gt;0, $C$2:$L$2, ""))</f>
        <v xml:space="preserve"> Ti-Nb-Fe</v>
      </c>
      <c r="N290" s="90">
        <f t="shared" si="8"/>
        <v>276</v>
      </c>
      <c r="O290" s="91">
        <f t="shared" si="9"/>
        <v>3</v>
      </c>
      <c r="P290" s="94">
        <v>1</v>
      </c>
      <c r="Q290" s="95" t="s">
        <v>173</v>
      </c>
      <c r="R290" s="93">
        <v>0</v>
      </c>
      <c r="S290" s="93">
        <v>0</v>
      </c>
      <c r="T290" s="93">
        <v>0</v>
      </c>
      <c r="U290" s="93">
        <v>0</v>
      </c>
      <c r="V290" s="93">
        <v>0</v>
      </c>
      <c r="W290" s="93">
        <v>0</v>
      </c>
      <c r="X290" s="93">
        <v>0</v>
      </c>
      <c r="Y290" s="93">
        <v>0</v>
      </c>
      <c r="Z290" s="94">
        <v>124</v>
      </c>
      <c r="AA290" s="93" t="s">
        <v>113</v>
      </c>
      <c r="AB290" s="93" t="s">
        <v>113</v>
      </c>
      <c r="AC290" s="94">
        <v>1785</v>
      </c>
      <c r="AD290" s="93" t="s">
        <v>113</v>
      </c>
      <c r="AE290" s="93" t="s">
        <v>113</v>
      </c>
      <c r="AF290" s="93" t="s">
        <v>113</v>
      </c>
      <c r="AG290" s="93" t="s">
        <v>113</v>
      </c>
      <c r="AH290" s="93" t="s">
        <v>113</v>
      </c>
      <c r="AI290" s="93" t="s">
        <v>113</v>
      </c>
      <c r="AJ290" s="93" t="s">
        <v>113</v>
      </c>
      <c r="AK290" s="93" t="s">
        <v>113</v>
      </c>
      <c r="AL290" s="93" t="s">
        <v>113</v>
      </c>
      <c r="AM290" s="93"/>
      <c r="AN290" s="93" t="s">
        <v>113</v>
      </c>
      <c r="AO290" s="93" t="s">
        <v>114</v>
      </c>
      <c r="AP290" s="94">
        <v>435</v>
      </c>
      <c r="AQ290" s="94" t="s">
        <v>100</v>
      </c>
      <c r="AR290" s="93">
        <v>435</v>
      </c>
    </row>
    <row r="291" spans="1:61" ht="16.5">
      <c r="A291" s="93">
        <v>436</v>
      </c>
      <c r="B291" s="93" t="s">
        <v>113</v>
      </c>
      <c r="C291" s="94">
        <v>91.7</v>
      </c>
      <c r="D291" s="94">
        <v>0</v>
      </c>
      <c r="E291" s="94">
        <v>0</v>
      </c>
      <c r="F291" s="94">
        <v>0</v>
      </c>
      <c r="G291" s="94">
        <v>0</v>
      </c>
      <c r="H291" s="94">
        <v>0</v>
      </c>
      <c r="I291" s="94">
        <v>2.12</v>
      </c>
      <c r="J291" s="94">
        <v>0</v>
      </c>
      <c r="K291" s="94">
        <v>6.18</v>
      </c>
      <c r="L291" s="94">
        <v>0</v>
      </c>
      <c r="M291" s="74" t="str">
        <f t="array" ref="M291">_xlfn.TEXTJOIN("-", TRUE, IF(C291:L291&gt;0, $C$2:$L$2, ""))</f>
        <v xml:space="preserve"> Ti-Nb-Fe</v>
      </c>
      <c r="N291" s="90">
        <f t="shared" si="8"/>
        <v>276</v>
      </c>
      <c r="O291" s="91">
        <f t="shared" si="9"/>
        <v>3</v>
      </c>
      <c r="P291" s="94">
        <v>1</v>
      </c>
      <c r="Q291" s="95" t="s">
        <v>173</v>
      </c>
      <c r="R291" s="93">
        <v>0</v>
      </c>
      <c r="S291" s="93">
        <v>0</v>
      </c>
      <c r="T291" s="93">
        <v>0</v>
      </c>
      <c r="U291" s="93">
        <v>0</v>
      </c>
      <c r="V291" s="93">
        <v>0</v>
      </c>
      <c r="W291" s="93">
        <v>0</v>
      </c>
      <c r="X291" s="93">
        <v>0</v>
      </c>
      <c r="Y291" s="93">
        <v>0</v>
      </c>
      <c r="Z291" s="94">
        <v>115</v>
      </c>
      <c r="AA291" s="93" t="s">
        <v>113</v>
      </c>
      <c r="AB291" s="93" t="s">
        <v>113</v>
      </c>
      <c r="AC291" s="94">
        <v>1539</v>
      </c>
      <c r="AD291" s="93" t="s">
        <v>113</v>
      </c>
      <c r="AE291" s="93" t="s">
        <v>113</v>
      </c>
      <c r="AF291" s="93" t="s">
        <v>113</v>
      </c>
      <c r="AG291" s="93" t="s">
        <v>113</v>
      </c>
      <c r="AH291" s="93" t="s">
        <v>113</v>
      </c>
      <c r="AI291" s="93" t="s">
        <v>113</v>
      </c>
      <c r="AJ291" s="93" t="s">
        <v>113</v>
      </c>
      <c r="AK291" s="93" t="s">
        <v>113</v>
      </c>
      <c r="AL291" s="93" t="s">
        <v>113</v>
      </c>
      <c r="AM291" s="93"/>
      <c r="AN291" s="93" t="s">
        <v>113</v>
      </c>
      <c r="AO291" s="93" t="s">
        <v>114</v>
      </c>
      <c r="AP291" s="94">
        <v>436</v>
      </c>
      <c r="AQ291" s="94" t="s">
        <v>100</v>
      </c>
      <c r="AR291" s="93">
        <v>436</v>
      </c>
    </row>
    <row r="292" spans="1:61" ht="16.5">
      <c r="A292" s="93">
        <v>437</v>
      </c>
      <c r="B292" s="93" t="s">
        <v>113</v>
      </c>
      <c r="C292" s="94">
        <v>90.539999999999992</v>
      </c>
      <c r="D292" s="94">
        <v>0</v>
      </c>
      <c r="E292" s="94">
        <v>0</v>
      </c>
      <c r="F292" s="94">
        <v>0</v>
      </c>
      <c r="G292" s="94">
        <v>0</v>
      </c>
      <c r="H292" s="94">
        <v>0</v>
      </c>
      <c r="I292" s="94">
        <v>3.2199999999999998</v>
      </c>
      <c r="J292" s="94">
        <v>0</v>
      </c>
      <c r="K292" s="94">
        <v>6.2399999999999993</v>
      </c>
      <c r="L292" s="94">
        <v>0</v>
      </c>
      <c r="M292" s="74" t="str">
        <f t="array" ref="M292">_xlfn.TEXTJOIN("-", TRUE, IF(C292:L292&gt;0, $C$2:$L$2, ""))</f>
        <v xml:space="preserve"> Ti-Nb-Fe</v>
      </c>
      <c r="N292" s="90">
        <f t="shared" si="8"/>
        <v>276</v>
      </c>
      <c r="O292" s="91">
        <f t="shared" si="9"/>
        <v>3</v>
      </c>
      <c r="P292" s="94">
        <v>1</v>
      </c>
      <c r="Q292" s="95" t="s">
        <v>173</v>
      </c>
      <c r="R292" s="93">
        <v>0</v>
      </c>
      <c r="S292" s="93">
        <v>0</v>
      </c>
      <c r="T292" s="93">
        <v>0</v>
      </c>
      <c r="U292" s="93">
        <v>0</v>
      </c>
      <c r="V292" s="93">
        <v>0</v>
      </c>
      <c r="W292" s="93">
        <v>0</v>
      </c>
      <c r="X292" s="93">
        <v>0</v>
      </c>
      <c r="Y292" s="93">
        <v>0</v>
      </c>
      <c r="Z292" s="94">
        <v>97</v>
      </c>
      <c r="AA292" s="93" t="s">
        <v>113</v>
      </c>
      <c r="AB292" s="93" t="s">
        <v>113</v>
      </c>
      <c r="AC292" s="94">
        <v>1144</v>
      </c>
      <c r="AD292" s="93" t="s">
        <v>113</v>
      </c>
      <c r="AE292" s="93" t="s">
        <v>113</v>
      </c>
      <c r="AF292" s="93" t="s">
        <v>113</v>
      </c>
      <c r="AG292" s="93" t="s">
        <v>113</v>
      </c>
      <c r="AH292" s="93" t="s">
        <v>113</v>
      </c>
      <c r="AI292" s="93" t="s">
        <v>113</v>
      </c>
      <c r="AJ292" s="93" t="s">
        <v>113</v>
      </c>
      <c r="AK292" s="93" t="s">
        <v>113</v>
      </c>
      <c r="AL292" s="93" t="s">
        <v>113</v>
      </c>
      <c r="AM292" s="93"/>
      <c r="AN292" s="93" t="s">
        <v>113</v>
      </c>
      <c r="AO292" s="93" t="s">
        <v>114</v>
      </c>
      <c r="AP292" s="94">
        <v>437</v>
      </c>
      <c r="AQ292" s="94" t="s">
        <v>100</v>
      </c>
      <c r="AR292" s="93">
        <v>437</v>
      </c>
    </row>
    <row r="293" spans="1:61" ht="16.5">
      <c r="A293" s="93">
        <v>438</v>
      </c>
      <c r="B293" s="93" t="s">
        <v>113</v>
      </c>
      <c r="C293" s="94">
        <v>88.759999999999991</v>
      </c>
      <c r="D293" s="94">
        <v>0</v>
      </c>
      <c r="E293" s="94">
        <v>0</v>
      </c>
      <c r="F293" s="94">
        <v>0</v>
      </c>
      <c r="G293" s="94">
        <v>0</v>
      </c>
      <c r="H293" s="94">
        <v>0</v>
      </c>
      <c r="I293" s="94">
        <v>4.9000000000000004</v>
      </c>
      <c r="J293" s="94">
        <v>0</v>
      </c>
      <c r="K293" s="94">
        <v>6.34</v>
      </c>
      <c r="L293" s="94">
        <v>0</v>
      </c>
      <c r="M293" s="74" t="str">
        <f t="array" ref="M293">_xlfn.TEXTJOIN("-", TRUE, IF(C293:L293&gt;0, $C$2:$L$2, ""))</f>
        <v xml:space="preserve"> Ti-Nb-Fe</v>
      </c>
      <c r="N293" s="90">
        <f t="shared" si="8"/>
        <v>276</v>
      </c>
      <c r="O293" s="91">
        <f t="shared" si="9"/>
        <v>3</v>
      </c>
      <c r="P293" s="94">
        <v>1</v>
      </c>
      <c r="Q293" s="95" t="s">
        <v>173</v>
      </c>
      <c r="R293" s="93">
        <v>0</v>
      </c>
      <c r="S293" s="93">
        <v>0</v>
      </c>
      <c r="T293" s="93">
        <v>0</v>
      </c>
      <c r="U293" s="93">
        <v>0</v>
      </c>
      <c r="V293" s="93">
        <v>0</v>
      </c>
      <c r="W293" s="93">
        <v>0</v>
      </c>
      <c r="X293" s="93">
        <v>0</v>
      </c>
      <c r="Y293" s="93">
        <v>0</v>
      </c>
      <c r="Z293" s="94">
        <v>89</v>
      </c>
      <c r="AA293" s="93" t="s">
        <v>113</v>
      </c>
      <c r="AB293" s="93" t="s">
        <v>113</v>
      </c>
      <c r="AC293" s="94">
        <v>1010</v>
      </c>
      <c r="AD293" s="93" t="s">
        <v>113</v>
      </c>
      <c r="AE293" s="93" t="s">
        <v>113</v>
      </c>
      <c r="AF293" s="93" t="s">
        <v>113</v>
      </c>
      <c r="AG293" s="93" t="s">
        <v>113</v>
      </c>
      <c r="AH293" s="93" t="s">
        <v>113</v>
      </c>
      <c r="AI293" s="93" t="s">
        <v>113</v>
      </c>
      <c r="AJ293" s="93" t="s">
        <v>113</v>
      </c>
      <c r="AK293" s="93" t="s">
        <v>113</v>
      </c>
      <c r="AL293" s="93" t="s">
        <v>113</v>
      </c>
      <c r="AM293" s="93"/>
      <c r="AN293" s="93" t="s">
        <v>113</v>
      </c>
      <c r="AO293" s="93" t="s">
        <v>114</v>
      </c>
      <c r="AP293" s="94">
        <v>438</v>
      </c>
      <c r="AQ293" s="94" t="s">
        <v>100</v>
      </c>
      <c r="AR293" s="93">
        <v>438</v>
      </c>
    </row>
    <row r="294" spans="1:61" ht="16.5">
      <c r="A294" s="93">
        <v>439</v>
      </c>
      <c r="B294" s="93" t="s">
        <v>113</v>
      </c>
      <c r="C294" s="94">
        <v>87.539999999999992</v>
      </c>
      <c r="D294" s="94">
        <v>0</v>
      </c>
      <c r="E294" s="94">
        <v>0</v>
      </c>
      <c r="F294" s="94">
        <v>0</v>
      </c>
      <c r="G294" s="94">
        <v>0</v>
      </c>
      <c r="H294" s="94">
        <v>0</v>
      </c>
      <c r="I294" s="94">
        <v>6.05</v>
      </c>
      <c r="J294" s="94">
        <v>0</v>
      </c>
      <c r="K294" s="94">
        <v>6.41</v>
      </c>
      <c r="L294" s="94">
        <v>0</v>
      </c>
      <c r="M294" s="74" t="str">
        <f t="array" ref="M294">_xlfn.TEXTJOIN("-", TRUE, IF(C294:L294&gt;0, $C$2:$L$2, ""))</f>
        <v xml:space="preserve"> Ti-Nb-Fe</v>
      </c>
      <c r="N294" s="90">
        <f t="shared" si="8"/>
        <v>276</v>
      </c>
      <c r="O294" s="91">
        <f t="shared" si="9"/>
        <v>3</v>
      </c>
      <c r="P294" s="94">
        <v>1</v>
      </c>
      <c r="Q294" s="95" t="s">
        <v>173</v>
      </c>
      <c r="R294" s="93">
        <v>0</v>
      </c>
      <c r="S294" s="93">
        <v>0</v>
      </c>
      <c r="T294" s="93">
        <v>0</v>
      </c>
      <c r="U294" s="93">
        <v>0</v>
      </c>
      <c r="V294" s="93">
        <v>0</v>
      </c>
      <c r="W294" s="93">
        <v>0</v>
      </c>
      <c r="X294" s="93">
        <v>0</v>
      </c>
      <c r="Y294" s="93">
        <v>0</v>
      </c>
      <c r="Z294" s="94">
        <v>86</v>
      </c>
      <c r="AA294" s="93" t="s">
        <v>113</v>
      </c>
      <c r="AB294" s="93" t="s">
        <v>113</v>
      </c>
      <c r="AC294" s="94">
        <v>985</v>
      </c>
      <c r="AD294" s="93" t="s">
        <v>113</v>
      </c>
      <c r="AE294" s="93" t="s">
        <v>113</v>
      </c>
      <c r="AF294" s="93" t="s">
        <v>113</v>
      </c>
      <c r="AG294" s="93" t="s">
        <v>113</v>
      </c>
      <c r="AH294" s="93" t="s">
        <v>113</v>
      </c>
      <c r="AI294" s="93" t="s">
        <v>113</v>
      </c>
      <c r="AJ294" s="93" t="s">
        <v>113</v>
      </c>
      <c r="AK294" s="93" t="s">
        <v>113</v>
      </c>
      <c r="AL294" s="93" t="s">
        <v>113</v>
      </c>
      <c r="AM294" s="93"/>
      <c r="AN294" s="93" t="s">
        <v>113</v>
      </c>
      <c r="AO294" s="93" t="s">
        <v>114</v>
      </c>
      <c r="AP294" s="94">
        <v>439</v>
      </c>
      <c r="AQ294" s="94" t="s">
        <v>100</v>
      </c>
      <c r="AR294" s="93">
        <v>439</v>
      </c>
    </row>
    <row r="295" spans="1:61" ht="16.5">
      <c r="A295" s="93">
        <v>446</v>
      </c>
      <c r="B295" s="93" t="s">
        <v>113</v>
      </c>
      <c r="C295" s="94">
        <v>76.819999999999993</v>
      </c>
      <c r="D295" s="94">
        <v>0</v>
      </c>
      <c r="E295" s="94">
        <v>0</v>
      </c>
      <c r="F295" s="94">
        <v>0</v>
      </c>
      <c r="G295" s="94">
        <v>0</v>
      </c>
      <c r="H295" s="94">
        <v>0</v>
      </c>
      <c r="I295" s="94">
        <v>16.189999999999998</v>
      </c>
      <c r="J295" s="94">
        <v>0</v>
      </c>
      <c r="K295" s="94">
        <v>6.98</v>
      </c>
      <c r="L295" s="94">
        <v>0</v>
      </c>
      <c r="M295" s="74" t="str">
        <f t="array" ref="M295">_xlfn.TEXTJOIN("-", TRUE, IF(C295:L295&gt;0, $C$2:$L$2, ""))</f>
        <v xml:space="preserve"> Ti-Nb-Fe</v>
      </c>
      <c r="N295" s="90">
        <f t="shared" si="8"/>
        <v>276</v>
      </c>
      <c r="O295" s="91">
        <f t="shared" si="9"/>
        <v>3</v>
      </c>
      <c r="P295" s="94">
        <v>1</v>
      </c>
      <c r="Q295" s="95" t="s">
        <v>173</v>
      </c>
      <c r="R295" s="93">
        <v>0</v>
      </c>
      <c r="S295" s="93">
        <v>0</v>
      </c>
      <c r="T295" s="93">
        <v>0</v>
      </c>
      <c r="U295" s="93">
        <v>0</v>
      </c>
      <c r="V295" s="93">
        <v>0</v>
      </c>
      <c r="W295" s="93">
        <v>0</v>
      </c>
      <c r="X295" s="93">
        <v>0</v>
      </c>
      <c r="Y295" s="93">
        <v>0</v>
      </c>
      <c r="Z295" s="94">
        <v>116</v>
      </c>
      <c r="AA295" s="93" t="s">
        <v>113</v>
      </c>
      <c r="AB295" s="93" t="s">
        <v>113</v>
      </c>
      <c r="AC295" s="94">
        <v>784</v>
      </c>
      <c r="AD295" s="93" t="s">
        <v>113</v>
      </c>
      <c r="AE295" s="93" t="s">
        <v>113</v>
      </c>
      <c r="AF295" s="93" t="s">
        <v>113</v>
      </c>
      <c r="AG295" s="93" t="s">
        <v>113</v>
      </c>
      <c r="AH295" s="93" t="s">
        <v>113</v>
      </c>
      <c r="AI295" s="93" t="s">
        <v>113</v>
      </c>
      <c r="AJ295" s="93" t="s">
        <v>113</v>
      </c>
      <c r="AK295" s="93" t="s">
        <v>113</v>
      </c>
      <c r="AL295" s="93" t="s">
        <v>113</v>
      </c>
      <c r="AM295" s="93"/>
      <c r="AN295" s="93" t="s">
        <v>113</v>
      </c>
      <c r="AO295" s="93" t="s">
        <v>114</v>
      </c>
      <c r="AP295" s="94">
        <v>446</v>
      </c>
      <c r="AQ295" s="94" t="s">
        <v>100</v>
      </c>
      <c r="AR295" s="93">
        <v>446</v>
      </c>
    </row>
    <row r="296" spans="1:61" ht="16.5">
      <c r="A296" s="93">
        <v>493</v>
      </c>
      <c r="B296" s="93" t="s">
        <v>113</v>
      </c>
      <c r="C296" s="94">
        <v>77</v>
      </c>
      <c r="D296" s="94">
        <v>0</v>
      </c>
      <c r="E296" s="94">
        <v>0</v>
      </c>
      <c r="F296" s="94">
        <v>0</v>
      </c>
      <c r="G296" s="94">
        <v>0</v>
      </c>
      <c r="H296" s="94">
        <v>0</v>
      </c>
      <c r="I296" s="94">
        <v>22</v>
      </c>
      <c r="J296" s="94">
        <v>0</v>
      </c>
      <c r="K296" s="94">
        <v>1</v>
      </c>
      <c r="L296" s="94">
        <v>0</v>
      </c>
      <c r="M296" s="74" t="str">
        <f t="array" ref="M296">_xlfn.TEXTJOIN("-", TRUE, IF(C296:L296&gt;0, $C$2:$L$2, ""))</f>
        <v xml:space="preserve"> Ti-Nb-Fe</v>
      </c>
      <c r="N296" s="90">
        <f t="shared" si="8"/>
        <v>276</v>
      </c>
      <c r="O296" s="91">
        <f t="shared" si="9"/>
        <v>3</v>
      </c>
      <c r="P296" s="94">
        <v>1</v>
      </c>
      <c r="Q296" s="94">
        <v>1</v>
      </c>
      <c r="R296" s="93" t="s">
        <v>113</v>
      </c>
      <c r="S296" s="93" t="s">
        <v>113</v>
      </c>
      <c r="T296" s="93" t="s">
        <v>113</v>
      </c>
      <c r="U296" s="93" t="s">
        <v>113</v>
      </c>
      <c r="V296" s="94">
        <v>1</v>
      </c>
      <c r="W296" s="93" t="s">
        <v>113</v>
      </c>
      <c r="X296" s="93" t="s">
        <v>113</v>
      </c>
      <c r="Y296" s="93" t="s">
        <v>113</v>
      </c>
      <c r="Z296" s="94">
        <v>79</v>
      </c>
      <c r="AA296" s="93" t="s">
        <v>113</v>
      </c>
      <c r="AB296" s="93" t="s">
        <v>113</v>
      </c>
      <c r="AC296" s="94">
        <v>600</v>
      </c>
      <c r="AD296" s="93" t="s">
        <v>113</v>
      </c>
      <c r="AE296" s="93" t="s">
        <v>113</v>
      </c>
      <c r="AF296" s="93" t="s">
        <v>113</v>
      </c>
      <c r="AG296" s="93" t="s">
        <v>113</v>
      </c>
      <c r="AH296" s="93" t="s">
        <v>113</v>
      </c>
      <c r="AI296" s="93" t="s">
        <v>113</v>
      </c>
      <c r="AJ296" s="93" t="s">
        <v>113</v>
      </c>
      <c r="AK296" s="93" t="s">
        <v>113</v>
      </c>
      <c r="AL296" s="93" t="s">
        <v>113</v>
      </c>
      <c r="AM296" s="93"/>
      <c r="AN296" s="93" t="s">
        <v>113</v>
      </c>
      <c r="AO296" s="93" t="s">
        <v>114</v>
      </c>
      <c r="AP296" s="94">
        <v>493</v>
      </c>
      <c r="AQ296" s="94" t="s">
        <v>100</v>
      </c>
      <c r="AR296" s="93">
        <v>493</v>
      </c>
    </row>
    <row r="297" spans="1:61" ht="16.5">
      <c r="A297" s="7">
        <v>173</v>
      </c>
      <c r="B297" s="6"/>
      <c r="C297" s="8">
        <v>92.5</v>
      </c>
      <c r="D297" s="8">
        <v>5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2.5</v>
      </c>
      <c r="M297" s="74" t="str">
        <f t="array" ref="M297">_xlfn.TEXTJOIN("-", TRUE, IF(C297:L297&gt;0, $C$2:$L$2, ""))</f>
        <v xml:space="preserve"> Ti-Al-Sn</v>
      </c>
      <c r="N297" s="90">
        <f t="shared" si="8"/>
        <v>297</v>
      </c>
      <c r="O297" s="91">
        <f t="shared" si="9"/>
        <v>3</v>
      </c>
      <c r="P297" s="8">
        <v>1</v>
      </c>
      <c r="Q297" s="8">
        <v>0</v>
      </c>
      <c r="R297" s="8">
        <v>0</v>
      </c>
      <c r="S297" s="8">
        <v>0</v>
      </c>
      <c r="T297" s="8">
        <v>1000</v>
      </c>
      <c r="U297" s="8">
        <v>1</v>
      </c>
      <c r="V297" s="8">
        <v>3</v>
      </c>
      <c r="W297" s="8">
        <v>0</v>
      </c>
      <c r="X297" s="8">
        <v>0</v>
      </c>
      <c r="Y297" s="8">
        <v>0</v>
      </c>
      <c r="Z297" s="6"/>
      <c r="AA297" s="6"/>
      <c r="AB297" s="8">
        <v>769</v>
      </c>
      <c r="AC297" s="8"/>
      <c r="AD297" s="8">
        <v>10.6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171</v>
      </c>
      <c r="AO297" s="6" t="s">
        <v>172</v>
      </c>
      <c r="AP297" s="6">
        <v>31</v>
      </c>
      <c r="AQ297" s="7" t="s">
        <v>54</v>
      </c>
      <c r="AR297" s="7">
        <v>173</v>
      </c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</row>
    <row r="298" spans="1:61" ht="16.5">
      <c r="A298" s="12">
        <v>98</v>
      </c>
      <c r="B298" s="12"/>
      <c r="C298" s="12">
        <v>92.5</v>
      </c>
      <c r="D298" s="12">
        <v>5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2.5</v>
      </c>
      <c r="M298" s="74" t="str">
        <f t="array" ref="M298">_xlfn.TEXTJOIN("-", TRUE, IF(C298:L298&gt;0, $C$2:$L$2, ""))</f>
        <v xml:space="preserve"> Ti-Al-Sn</v>
      </c>
      <c r="N298" s="90">
        <f t="shared" si="8"/>
        <v>297</v>
      </c>
      <c r="O298" s="91">
        <f t="shared" si="9"/>
        <v>3</v>
      </c>
      <c r="P298" s="12">
        <v>1</v>
      </c>
      <c r="Q298" s="12">
        <v>1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>
        <v>282</v>
      </c>
      <c r="AB298" s="12">
        <v>769</v>
      </c>
      <c r="AC298" s="12">
        <v>746</v>
      </c>
      <c r="AD298" s="12">
        <v>10.6</v>
      </c>
      <c r="AE298" s="12"/>
      <c r="AF298" s="12"/>
      <c r="AG298" s="12"/>
      <c r="AH298" s="12"/>
      <c r="AI298" s="12"/>
      <c r="AJ298" s="12"/>
      <c r="AK298" s="12"/>
      <c r="AL298" s="12"/>
      <c r="AM298" s="12"/>
      <c r="AN298" s="12" t="s">
        <v>175</v>
      </c>
      <c r="AO298" s="12" t="s">
        <v>435</v>
      </c>
      <c r="AP298" s="12">
        <v>22</v>
      </c>
      <c r="AQ298" s="12" t="s">
        <v>374</v>
      </c>
      <c r="AR298" s="12">
        <v>98</v>
      </c>
    </row>
    <row r="299" spans="1:61" ht="16.5">
      <c r="A299" s="12">
        <v>8</v>
      </c>
      <c r="B299" s="12"/>
      <c r="C299" s="12">
        <v>61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35</v>
      </c>
      <c r="J299" s="12">
        <v>0</v>
      </c>
      <c r="K299" s="12">
        <v>0</v>
      </c>
      <c r="L299" s="12">
        <v>4</v>
      </c>
      <c r="M299" s="74" t="str">
        <f t="array" ref="M299">_xlfn.TEXTJOIN("-", TRUE, IF(C299:L299&gt;0, $C$2:$L$2, ""))</f>
        <v xml:space="preserve"> Ti-Nb-Sn</v>
      </c>
      <c r="N299" s="90">
        <f t="shared" si="8"/>
        <v>299</v>
      </c>
      <c r="O299" s="91">
        <f t="shared" si="9"/>
        <v>3</v>
      </c>
      <c r="P299" s="12">
        <v>1</v>
      </c>
      <c r="Q299" s="12">
        <v>1</v>
      </c>
      <c r="R299" s="12">
        <v>20</v>
      </c>
      <c r="S299" s="12">
        <v>89</v>
      </c>
      <c r="T299" s="12">
        <v>950</v>
      </c>
      <c r="U299" s="12">
        <v>2</v>
      </c>
      <c r="V299" s="12">
        <v>1</v>
      </c>
      <c r="W299" s="12">
        <v>0</v>
      </c>
      <c r="X299" s="12">
        <v>0</v>
      </c>
      <c r="Y299" s="12">
        <v>2</v>
      </c>
      <c r="Z299" s="12"/>
      <c r="AA299" s="12"/>
      <c r="AB299" s="12">
        <v>680</v>
      </c>
      <c r="AC299" s="12"/>
      <c r="AD299" s="12">
        <v>13.62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 t="s">
        <v>436</v>
      </c>
      <c r="AO299" s="12" t="s">
        <v>437</v>
      </c>
      <c r="AP299" s="12">
        <v>3</v>
      </c>
      <c r="AQ299" s="12" t="s">
        <v>374</v>
      </c>
      <c r="AR299" s="12">
        <v>8</v>
      </c>
    </row>
    <row r="300" spans="1:61" ht="16.5">
      <c r="A300" s="12">
        <v>9</v>
      </c>
      <c r="B300" s="12"/>
      <c r="C300" s="12">
        <v>61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35</v>
      </c>
      <c r="J300" s="12">
        <v>0</v>
      </c>
      <c r="K300" s="12">
        <v>0</v>
      </c>
      <c r="L300" s="12">
        <v>4</v>
      </c>
      <c r="M300" s="74" t="str">
        <f t="array" ref="M300">_xlfn.TEXTJOIN("-", TRUE, IF(C300:L300&gt;0, $C$2:$L$2, ""))</f>
        <v xml:space="preserve"> Ti-Nb-Sn</v>
      </c>
      <c r="N300" s="90">
        <f t="shared" si="8"/>
        <v>299</v>
      </c>
      <c r="O300" s="91">
        <f t="shared" si="9"/>
        <v>3</v>
      </c>
      <c r="P300" s="12">
        <v>1</v>
      </c>
      <c r="Q300" s="12">
        <v>1</v>
      </c>
      <c r="R300" s="12">
        <v>20</v>
      </c>
      <c r="S300" s="12">
        <v>89</v>
      </c>
      <c r="T300" s="12">
        <v>950</v>
      </c>
      <c r="U300" s="12">
        <v>2</v>
      </c>
      <c r="V300" s="12">
        <v>1</v>
      </c>
      <c r="W300" s="12">
        <v>250</v>
      </c>
      <c r="X300" s="12">
        <v>2</v>
      </c>
      <c r="Y300" s="12">
        <v>2</v>
      </c>
      <c r="Z300" s="12"/>
      <c r="AA300" s="12"/>
      <c r="AB300" s="12">
        <v>830</v>
      </c>
      <c r="AC300" s="12"/>
      <c r="AD300" s="12">
        <v>6.5</v>
      </c>
      <c r="AE300" s="12"/>
      <c r="AF300" s="12"/>
      <c r="AG300" s="12"/>
      <c r="AH300" s="12"/>
      <c r="AI300" s="12"/>
      <c r="AJ300" s="12"/>
      <c r="AK300" s="12"/>
      <c r="AL300" s="12"/>
      <c r="AM300" s="12"/>
      <c r="AN300" s="12" t="s">
        <v>438</v>
      </c>
      <c r="AO300" s="12" t="s">
        <v>439</v>
      </c>
      <c r="AP300" s="12">
        <v>3</v>
      </c>
      <c r="AQ300" s="12" t="s">
        <v>374</v>
      </c>
      <c r="AR300" s="12">
        <v>9</v>
      </c>
    </row>
    <row r="301" spans="1:61" ht="16.5">
      <c r="A301" s="12">
        <v>10</v>
      </c>
      <c r="B301" s="12"/>
      <c r="C301" s="12">
        <v>61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35</v>
      </c>
      <c r="J301" s="12">
        <v>0</v>
      </c>
      <c r="K301" s="12">
        <v>0</v>
      </c>
      <c r="L301" s="12">
        <v>4</v>
      </c>
      <c r="M301" s="74" t="str">
        <f t="array" ref="M301">_xlfn.TEXTJOIN("-", TRUE, IF(C301:L301&gt;0, $C$2:$L$2, ""))</f>
        <v xml:space="preserve"> Ti-Nb-Sn</v>
      </c>
      <c r="N301" s="90">
        <f t="shared" si="8"/>
        <v>299</v>
      </c>
      <c r="O301" s="91">
        <f t="shared" si="9"/>
        <v>3</v>
      </c>
      <c r="P301" s="12">
        <v>1</v>
      </c>
      <c r="Q301" s="12">
        <v>1</v>
      </c>
      <c r="R301" s="12">
        <v>20</v>
      </c>
      <c r="S301" s="12">
        <v>89</v>
      </c>
      <c r="T301" s="12">
        <v>950</v>
      </c>
      <c r="U301" s="12">
        <v>2</v>
      </c>
      <c r="V301" s="12">
        <v>1</v>
      </c>
      <c r="W301" s="12">
        <v>300</v>
      </c>
      <c r="X301" s="12">
        <v>2</v>
      </c>
      <c r="Y301" s="12">
        <v>2</v>
      </c>
      <c r="Z301" s="12"/>
      <c r="AA301" s="12"/>
      <c r="AB301" s="12">
        <v>1000</v>
      </c>
      <c r="AC301" s="12"/>
      <c r="AD301" s="12">
        <v>8.9499999999999993</v>
      </c>
      <c r="AE301" s="12"/>
      <c r="AF301" s="12"/>
      <c r="AG301" s="12"/>
      <c r="AH301" s="12"/>
      <c r="AI301" s="12"/>
      <c r="AJ301" s="12"/>
      <c r="AK301" s="12"/>
      <c r="AL301" s="12"/>
      <c r="AM301" s="12"/>
      <c r="AN301" s="12" t="s">
        <v>440</v>
      </c>
      <c r="AO301" s="12" t="s">
        <v>441</v>
      </c>
      <c r="AP301" s="12">
        <v>3</v>
      </c>
      <c r="AQ301" s="12" t="s">
        <v>374</v>
      </c>
      <c r="AR301" s="12">
        <v>10</v>
      </c>
    </row>
    <row r="302" spans="1:61" ht="16.5">
      <c r="A302" s="12">
        <v>11</v>
      </c>
      <c r="B302" s="12"/>
      <c r="C302" s="12">
        <v>57.1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35</v>
      </c>
      <c r="J302" s="12">
        <v>0</v>
      </c>
      <c r="K302" s="12">
        <v>0</v>
      </c>
      <c r="L302" s="12">
        <v>7.9</v>
      </c>
      <c r="M302" s="74" t="str">
        <f t="array" ref="M302">_xlfn.TEXTJOIN("-", TRUE, IF(C302:L302&gt;0, $C$2:$L$2, ""))</f>
        <v xml:space="preserve"> Ti-Nb-Sn</v>
      </c>
      <c r="N302" s="90">
        <f t="shared" si="8"/>
        <v>299</v>
      </c>
      <c r="O302" s="91">
        <f t="shared" si="9"/>
        <v>3</v>
      </c>
      <c r="P302" s="12">
        <v>1</v>
      </c>
      <c r="Q302" s="12">
        <v>1</v>
      </c>
      <c r="R302" s="12">
        <v>20</v>
      </c>
      <c r="S302" s="12">
        <v>89</v>
      </c>
      <c r="T302" s="12">
        <v>950</v>
      </c>
      <c r="U302" s="12">
        <v>2</v>
      </c>
      <c r="V302" s="12">
        <v>1</v>
      </c>
      <c r="W302" s="12">
        <v>0</v>
      </c>
      <c r="X302" s="12">
        <v>0</v>
      </c>
      <c r="Y302" s="12">
        <v>2</v>
      </c>
      <c r="Z302" s="12"/>
      <c r="AA302" s="12"/>
      <c r="AB302" s="12">
        <v>600</v>
      </c>
      <c r="AC302" s="12"/>
      <c r="AD302" s="12">
        <v>13.59</v>
      </c>
      <c r="AE302" s="12"/>
      <c r="AF302" s="12"/>
      <c r="AG302" s="12"/>
      <c r="AH302" s="12"/>
      <c r="AI302" s="12"/>
      <c r="AJ302" s="12"/>
      <c r="AK302" s="12"/>
      <c r="AL302" s="12"/>
      <c r="AM302" s="12"/>
      <c r="AN302" s="12" t="s">
        <v>442</v>
      </c>
      <c r="AO302" s="12" t="s">
        <v>443</v>
      </c>
      <c r="AP302" s="12">
        <v>3</v>
      </c>
      <c r="AQ302" s="12" t="s">
        <v>374</v>
      </c>
      <c r="AR302" s="12">
        <v>11</v>
      </c>
    </row>
    <row r="303" spans="1:61" ht="16.5">
      <c r="A303" s="12">
        <v>12</v>
      </c>
      <c r="B303" s="12"/>
      <c r="C303" s="12">
        <v>57.1</v>
      </c>
      <c r="D303" s="12">
        <v>0</v>
      </c>
      <c r="E303" s="12">
        <v>0</v>
      </c>
      <c r="F303" s="12">
        <v>0</v>
      </c>
      <c r="G303" s="12">
        <v>0</v>
      </c>
      <c r="H303" s="12">
        <v>0</v>
      </c>
      <c r="I303" s="12">
        <v>35</v>
      </c>
      <c r="J303" s="12">
        <v>0</v>
      </c>
      <c r="K303" s="12">
        <v>0</v>
      </c>
      <c r="L303" s="12">
        <v>7.9</v>
      </c>
      <c r="M303" s="74" t="str">
        <f t="array" ref="M303">_xlfn.TEXTJOIN("-", TRUE, IF(C303:L303&gt;0, $C$2:$L$2, ""))</f>
        <v xml:space="preserve"> Ti-Nb-Sn</v>
      </c>
      <c r="N303" s="90">
        <f t="shared" si="8"/>
        <v>299</v>
      </c>
      <c r="O303" s="91">
        <f t="shared" si="9"/>
        <v>3</v>
      </c>
      <c r="P303" s="12">
        <v>1</v>
      </c>
      <c r="Q303" s="12">
        <v>1</v>
      </c>
      <c r="R303" s="12">
        <v>20</v>
      </c>
      <c r="S303" s="12">
        <v>89</v>
      </c>
      <c r="T303" s="12">
        <v>950</v>
      </c>
      <c r="U303" s="12">
        <v>2</v>
      </c>
      <c r="V303" s="12">
        <v>1</v>
      </c>
      <c r="W303" s="12">
        <v>250</v>
      </c>
      <c r="X303" s="12">
        <v>2</v>
      </c>
      <c r="Y303" s="12">
        <v>2</v>
      </c>
      <c r="Z303" s="12"/>
      <c r="AA303" s="12"/>
      <c r="AB303" s="12">
        <v>670</v>
      </c>
      <c r="AC303" s="12"/>
      <c r="AD303" s="12">
        <v>15.05</v>
      </c>
      <c r="AE303" s="12"/>
      <c r="AF303" s="12"/>
      <c r="AG303" s="12"/>
      <c r="AH303" s="12"/>
      <c r="AI303" s="12"/>
      <c r="AJ303" s="12"/>
      <c r="AK303" s="12"/>
      <c r="AL303" s="12"/>
      <c r="AM303" s="12"/>
      <c r="AN303" s="12" t="s">
        <v>444</v>
      </c>
      <c r="AO303" s="12" t="s">
        <v>445</v>
      </c>
      <c r="AP303" s="12">
        <v>3</v>
      </c>
      <c r="AQ303" s="12" t="s">
        <v>374</v>
      </c>
      <c r="AR303" s="12">
        <v>12</v>
      </c>
    </row>
    <row r="304" spans="1:61" ht="16.5">
      <c r="A304" s="12">
        <v>13</v>
      </c>
      <c r="B304" s="12"/>
      <c r="C304" s="12">
        <v>57.1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35</v>
      </c>
      <c r="J304" s="12">
        <v>0</v>
      </c>
      <c r="K304" s="12">
        <v>0</v>
      </c>
      <c r="L304" s="12">
        <v>7.9</v>
      </c>
      <c r="M304" s="74" t="str">
        <f t="array" ref="M304">_xlfn.TEXTJOIN("-", TRUE, IF(C304:L304&gt;0, $C$2:$L$2, ""))</f>
        <v xml:space="preserve"> Ti-Nb-Sn</v>
      </c>
      <c r="N304" s="90">
        <f t="shared" si="8"/>
        <v>299</v>
      </c>
      <c r="O304" s="91">
        <f t="shared" si="9"/>
        <v>3</v>
      </c>
      <c r="P304" s="12">
        <v>1</v>
      </c>
      <c r="Q304" s="12">
        <v>1</v>
      </c>
      <c r="R304" s="12">
        <v>20</v>
      </c>
      <c r="S304" s="12">
        <v>89</v>
      </c>
      <c r="T304" s="12">
        <v>950</v>
      </c>
      <c r="U304" s="12">
        <v>2</v>
      </c>
      <c r="V304" s="12">
        <v>1</v>
      </c>
      <c r="W304" s="12">
        <v>300</v>
      </c>
      <c r="X304" s="12">
        <v>2</v>
      </c>
      <c r="Y304" s="12">
        <v>2</v>
      </c>
      <c r="Z304" s="12"/>
      <c r="AA304" s="12"/>
      <c r="AB304" s="12">
        <v>710</v>
      </c>
      <c r="AC304" s="12"/>
      <c r="AD304" s="12">
        <v>12.26</v>
      </c>
      <c r="AE304" s="12"/>
      <c r="AF304" s="12"/>
      <c r="AG304" s="12"/>
      <c r="AH304" s="12"/>
      <c r="AI304" s="12"/>
      <c r="AJ304" s="12"/>
      <c r="AK304" s="12"/>
      <c r="AL304" s="12"/>
      <c r="AM304" s="12"/>
      <c r="AN304" s="12" t="s">
        <v>446</v>
      </c>
      <c r="AO304" s="12" t="s">
        <v>447</v>
      </c>
      <c r="AP304" s="12">
        <v>3</v>
      </c>
      <c r="AQ304" s="12" t="s">
        <v>374</v>
      </c>
      <c r="AR304" s="12">
        <v>13</v>
      </c>
    </row>
    <row r="305" spans="1:44" ht="16.5">
      <c r="A305" s="12">
        <v>95</v>
      </c>
      <c r="B305" s="12"/>
      <c r="C305" s="12">
        <v>66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32</v>
      </c>
      <c r="J305" s="12">
        <v>0</v>
      </c>
      <c r="K305" s="12">
        <v>0</v>
      </c>
      <c r="L305" s="12">
        <v>2</v>
      </c>
      <c r="M305" s="74" t="str">
        <f t="array" ref="M305">_xlfn.TEXTJOIN("-", TRUE, IF(C305:L305&gt;0, $C$2:$L$2, ""))</f>
        <v xml:space="preserve"> Ti-Nb-Sn</v>
      </c>
      <c r="N305" s="90">
        <f t="shared" si="8"/>
        <v>299</v>
      </c>
      <c r="O305" s="91">
        <f t="shared" si="9"/>
        <v>3</v>
      </c>
      <c r="P305" s="12">
        <v>1</v>
      </c>
      <c r="Q305" s="12">
        <v>1</v>
      </c>
      <c r="R305" s="12"/>
      <c r="S305" s="12"/>
      <c r="T305" s="12">
        <v>950</v>
      </c>
      <c r="U305" s="12">
        <v>0.5</v>
      </c>
      <c r="V305" s="12">
        <v>1</v>
      </c>
      <c r="W305" s="12">
        <v>0</v>
      </c>
      <c r="X305" s="12">
        <v>0</v>
      </c>
      <c r="Y305" s="12">
        <v>2</v>
      </c>
      <c r="Z305" s="12"/>
      <c r="AA305" s="12">
        <v>60</v>
      </c>
      <c r="AB305" s="12">
        <v>780</v>
      </c>
      <c r="AC305" s="12">
        <v>665</v>
      </c>
      <c r="AD305" s="12">
        <v>32</v>
      </c>
      <c r="AE305" s="12"/>
      <c r="AF305" s="12"/>
      <c r="AG305" s="12"/>
      <c r="AH305" s="12"/>
      <c r="AI305" s="12"/>
      <c r="AJ305" s="12"/>
      <c r="AK305" s="12"/>
      <c r="AL305" s="12"/>
      <c r="AM305" s="12"/>
      <c r="AN305" s="12" t="s">
        <v>448</v>
      </c>
      <c r="AO305" s="12" t="s">
        <v>449</v>
      </c>
      <c r="AP305" s="12">
        <v>21</v>
      </c>
      <c r="AQ305" s="12" t="s">
        <v>374</v>
      </c>
      <c r="AR305" s="12">
        <v>95</v>
      </c>
    </row>
    <row r="306" spans="1:44" ht="16.5">
      <c r="A306" s="12">
        <v>96</v>
      </c>
      <c r="B306" s="12"/>
      <c r="C306" s="12">
        <v>66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32</v>
      </c>
      <c r="J306" s="12">
        <v>0</v>
      </c>
      <c r="K306" s="12">
        <v>0</v>
      </c>
      <c r="L306" s="12">
        <v>2</v>
      </c>
      <c r="M306" s="74" t="str">
        <f t="array" ref="M306">_xlfn.TEXTJOIN("-", TRUE, IF(C306:L306&gt;0, $C$2:$L$2, ""))</f>
        <v xml:space="preserve"> Ti-Nb-Sn</v>
      </c>
      <c r="N306" s="90">
        <f t="shared" si="8"/>
        <v>299</v>
      </c>
      <c r="O306" s="91">
        <f t="shared" si="9"/>
        <v>3</v>
      </c>
      <c r="P306" s="12">
        <v>1</v>
      </c>
      <c r="Q306" s="12">
        <v>1</v>
      </c>
      <c r="R306" s="12"/>
      <c r="S306" s="12"/>
      <c r="T306" s="12">
        <v>950</v>
      </c>
      <c r="U306" s="12">
        <v>0.5</v>
      </c>
      <c r="V306" s="12">
        <v>1</v>
      </c>
      <c r="W306" s="12">
        <v>500</v>
      </c>
      <c r="X306" s="12">
        <v>6</v>
      </c>
      <c r="Y306" s="12">
        <v>2</v>
      </c>
      <c r="Z306" s="12"/>
      <c r="AA306" s="12">
        <v>82</v>
      </c>
      <c r="AB306" s="12">
        <v>1070</v>
      </c>
      <c r="AC306" s="12">
        <v>960</v>
      </c>
      <c r="AD306" s="12">
        <v>8</v>
      </c>
      <c r="AE306" s="12"/>
      <c r="AF306" s="12"/>
      <c r="AG306" s="12"/>
      <c r="AH306" s="12"/>
      <c r="AI306" s="12"/>
      <c r="AJ306" s="12"/>
      <c r="AK306" s="12"/>
      <c r="AL306" s="12"/>
      <c r="AM306" s="12"/>
      <c r="AN306" s="12" t="s">
        <v>450</v>
      </c>
      <c r="AO306" s="12" t="s">
        <v>451</v>
      </c>
      <c r="AP306" s="12">
        <v>21</v>
      </c>
      <c r="AQ306" s="12" t="s">
        <v>374</v>
      </c>
      <c r="AR306" s="12">
        <v>96</v>
      </c>
    </row>
    <row r="307" spans="1:44" ht="16.5">
      <c r="A307" s="12">
        <v>97</v>
      </c>
      <c r="B307" s="12"/>
      <c r="C307" s="12">
        <v>66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32</v>
      </c>
      <c r="J307" s="12">
        <v>0</v>
      </c>
      <c r="K307" s="12">
        <v>0</v>
      </c>
      <c r="L307" s="12">
        <v>2</v>
      </c>
      <c r="M307" s="74" t="str">
        <f t="array" ref="M307">_xlfn.TEXTJOIN("-", TRUE, IF(C307:L307&gt;0, $C$2:$L$2, ""))</f>
        <v xml:space="preserve"> Ti-Nb-Sn</v>
      </c>
      <c r="N307" s="90">
        <f t="shared" si="8"/>
        <v>299</v>
      </c>
      <c r="O307" s="91">
        <f t="shared" si="9"/>
        <v>3</v>
      </c>
      <c r="P307" s="12">
        <v>1</v>
      </c>
      <c r="Q307" s="12">
        <v>1</v>
      </c>
      <c r="R307" s="12"/>
      <c r="S307" s="12"/>
      <c r="T307" s="12">
        <v>950</v>
      </c>
      <c r="U307" s="12">
        <v>0.5</v>
      </c>
      <c r="V307" s="12">
        <v>1</v>
      </c>
      <c r="W307" s="12">
        <v>600</v>
      </c>
      <c r="X307" s="12">
        <v>6</v>
      </c>
      <c r="Y307" s="12">
        <v>2</v>
      </c>
      <c r="Z307" s="12"/>
      <c r="AA307" s="12"/>
      <c r="AB307" s="12">
        <v>685</v>
      </c>
      <c r="AC307" s="12">
        <v>560</v>
      </c>
      <c r="AD307" s="12">
        <v>7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 t="s">
        <v>452</v>
      </c>
      <c r="AO307" s="12" t="s">
        <v>453</v>
      </c>
      <c r="AP307" s="12">
        <v>21</v>
      </c>
      <c r="AQ307" s="12" t="s">
        <v>374</v>
      </c>
      <c r="AR307" s="12">
        <v>97</v>
      </c>
    </row>
    <row r="308" spans="1:44" ht="16.5">
      <c r="A308" s="93">
        <v>218</v>
      </c>
      <c r="B308" s="93" t="s">
        <v>101</v>
      </c>
      <c r="C308" s="93">
        <v>62.8</v>
      </c>
      <c r="D308" s="93">
        <v>0</v>
      </c>
      <c r="E308" s="93">
        <v>0</v>
      </c>
      <c r="F308" s="93">
        <v>0</v>
      </c>
      <c r="G308" s="93">
        <v>0</v>
      </c>
      <c r="H308" s="93">
        <v>0</v>
      </c>
      <c r="I308" s="93">
        <v>26.2</v>
      </c>
      <c r="J308" s="93">
        <v>0</v>
      </c>
      <c r="K308" s="93">
        <v>0</v>
      </c>
      <c r="L308" s="93">
        <v>11</v>
      </c>
      <c r="M308" s="74" t="str">
        <f t="array" ref="M308">_xlfn.TEXTJOIN("-", TRUE, IF(C308:L308&gt;0, $C$2:$L$2, ""))</f>
        <v xml:space="preserve"> Ti-Nb-Sn</v>
      </c>
      <c r="N308" s="90">
        <f t="shared" si="8"/>
        <v>299</v>
      </c>
      <c r="O308" s="91">
        <f t="shared" si="9"/>
        <v>3</v>
      </c>
      <c r="P308" s="93">
        <v>1</v>
      </c>
      <c r="Q308" s="93">
        <v>0</v>
      </c>
      <c r="R308" s="93">
        <v>0</v>
      </c>
      <c r="S308" s="93">
        <v>0</v>
      </c>
      <c r="T308" s="94">
        <v>0</v>
      </c>
      <c r="U308" s="94">
        <v>0</v>
      </c>
      <c r="V308" s="8">
        <v>0</v>
      </c>
      <c r="W308" s="94">
        <v>0</v>
      </c>
      <c r="X308" s="94">
        <v>0</v>
      </c>
      <c r="Y308" s="103">
        <v>0</v>
      </c>
      <c r="Z308" s="9" t="s">
        <v>102</v>
      </c>
      <c r="AA308" s="9" t="s">
        <v>102</v>
      </c>
      <c r="AB308" s="93">
        <v>447</v>
      </c>
      <c r="AC308" s="93">
        <v>397</v>
      </c>
      <c r="AD308" s="93">
        <v>16.899999999999999</v>
      </c>
      <c r="AE308" s="9" t="s">
        <v>101</v>
      </c>
      <c r="AF308" s="9" t="s">
        <v>102</v>
      </c>
      <c r="AG308" s="9" t="s">
        <v>102</v>
      </c>
      <c r="AH308" s="9" t="s">
        <v>102</v>
      </c>
      <c r="AI308" s="9" t="s">
        <v>102</v>
      </c>
      <c r="AJ308" s="9" t="s">
        <v>102</v>
      </c>
      <c r="AK308" s="9" t="s">
        <v>102</v>
      </c>
      <c r="AL308" s="9" t="s">
        <v>102</v>
      </c>
      <c r="AN308" s="12" t="s">
        <v>101</v>
      </c>
      <c r="AO308" s="12" t="s">
        <v>103</v>
      </c>
      <c r="AP308" s="94">
        <v>218</v>
      </c>
      <c r="AQ308" s="94" t="s">
        <v>100</v>
      </c>
      <c r="AR308" s="93">
        <v>218</v>
      </c>
    </row>
    <row r="309" spans="1:44" ht="16.5">
      <c r="A309" s="93">
        <v>219</v>
      </c>
      <c r="B309" s="93" t="s">
        <v>101</v>
      </c>
      <c r="C309" s="93">
        <v>62.8</v>
      </c>
      <c r="D309" s="93">
        <v>0</v>
      </c>
      <c r="E309" s="93">
        <v>0</v>
      </c>
      <c r="F309" s="93">
        <v>0</v>
      </c>
      <c r="G309" s="93">
        <v>0</v>
      </c>
      <c r="H309" s="93">
        <v>0</v>
      </c>
      <c r="I309" s="93">
        <v>26.2</v>
      </c>
      <c r="J309" s="93">
        <v>0</v>
      </c>
      <c r="K309" s="93">
        <v>0</v>
      </c>
      <c r="L309" s="93">
        <v>11</v>
      </c>
      <c r="M309" s="74" t="str">
        <f t="array" ref="M309">_xlfn.TEXTJOIN("-", TRUE, IF(C309:L309&gt;0, $C$2:$L$2, ""))</f>
        <v xml:space="preserve"> Ti-Nb-Sn</v>
      </c>
      <c r="N309" s="90">
        <f t="shared" si="8"/>
        <v>299</v>
      </c>
      <c r="O309" s="91">
        <f t="shared" si="9"/>
        <v>3</v>
      </c>
      <c r="P309" s="93">
        <v>1</v>
      </c>
      <c r="Q309" s="93">
        <v>1</v>
      </c>
      <c r="R309" s="12">
        <v>90</v>
      </c>
      <c r="S309" s="93">
        <v>0</v>
      </c>
      <c r="T309" s="94">
        <v>0</v>
      </c>
      <c r="U309" s="94">
        <v>0</v>
      </c>
      <c r="V309" s="8">
        <v>0</v>
      </c>
      <c r="W309" s="94">
        <v>0</v>
      </c>
      <c r="X309" s="94">
        <v>0</v>
      </c>
      <c r="Y309" s="103">
        <v>0</v>
      </c>
      <c r="Z309" s="9" t="s">
        <v>102</v>
      </c>
      <c r="AA309" s="9" t="s">
        <v>102</v>
      </c>
      <c r="AB309" s="93">
        <v>855</v>
      </c>
      <c r="AC309" s="93">
        <v>641</v>
      </c>
      <c r="AD309" s="93">
        <v>6.3</v>
      </c>
      <c r="AE309" s="9" t="s">
        <v>101</v>
      </c>
      <c r="AF309" s="9" t="s">
        <v>102</v>
      </c>
      <c r="AG309" s="9" t="s">
        <v>102</v>
      </c>
      <c r="AH309" s="9" t="s">
        <v>102</v>
      </c>
      <c r="AI309" s="9" t="s">
        <v>102</v>
      </c>
      <c r="AJ309" s="9" t="s">
        <v>102</v>
      </c>
      <c r="AK309" s="9" t="s">
        <v>102</v>
      </c>
      <c r="AL309" s="9" t="s">
        <v>102</v>
      </c>
      <c r="AN309" s="12" t="s">
        <v>101</v>
      </c>
      <c r="AO309" s="12" t="s">
        <v>103</v>
      </c>
      <c r="AP309" s="94">
        <v>219</v>
      </c>
      <c r="AQ309" s="94" t="s">
        <v>100</v>
      </c>
      <c r="AR309" s="93">
        <v>219</v>
      </c>
    </row>
    <row r="310" spans="1:44" ht="16.5">
      <c r="A310" s="93">
        <v>220</v>
      </c>
      <c r="B310" s="93" t="s">
        <v>101</v>
      </c>
      <c r="C310" s="93">
        <v>62.8</v>
      </c>
      <c r="D310" s="93">
        <v>0</v>
      </c>
      <c r="E310" s="93">
        <v>0</v>
      </c>
      <c r="F310" s="93">
        <v>0</v>
      </c>
      <c r="G310" s="93">
        <v>0</v>
      </c>
      <c r="H310" s="93">
        <v>0</v>
      </c>
      <c r="I310" s="93">
        <v>26.2</v>
      </c>
      <c r="J310" s="93">
        <v>0</v>
      </c>
      <c r="K310" s="93">
        <v>0</v>
      </c>
      <c r="L310" s="93">
        <v>11</v>
      </c>
      <c r="M310" s="74" t="str">
        <f t="array" ref="M310">_xlfn.TEXTJOIN("-", TRUE, IF(C310:L310&gt;0, $C$2:$L$2, ""))</f>
        <v xml:space="preserve"> Ti-Nb-Sn</v>
      </c>
      <c r="N310" s="90">
        <f t="shared" si="8"/>
        <v>299</v>
      </c>
      <c r="O310" s="91">
        <f t="shared" si="9"/>
        <v>3</v>
      </c>
      <c r="P310" s="93">
        <v>1</v>
      </c>
      <c r="Q310" s="93">
        <v>0</v>
      </c>
      <c r="R310" s="93">
        <v>0</v>
      </c>
      <c r="S310" s="93">
        <v>0</v>
      </c>
      <c r="T310" s="94">
        <v>0</v>
      </c>
      <c r="U310" s="94">
        <v>0</v>
      </c>
      <c r="V310" s="8">
        <v>0</v>
      </c>
      <c r="W310" s="94">
        <v>400</v>
      </c>
      <c r="X310" s="94">
        <v>0.33333333300000001</v>
      </c>
      <c r="Y310" s="103">
        <v>1</v>
      </c>
      <c r="Z310" s="9" t="s">
        <v>102</v>
      </c>
      <c r="AA310" s="9" t="s">
        <v>102</v>
      </c>
      <c r="AB310" s="93">
        <v>1049</v>
      </c>
      <c r="AC310" s="93">
        <v>934</v>
      </c>
      <c r="AD310" s="93">
        <v>3.7</v>
      </c>
      <c r="AE310" s="9" t="s">
        <v>101</v>
      </c>
      <c r="AF310" s="9" t="s">
        <v>102</v>
      </c>
      <c r="AG310" s="9" t="s">
        <v>102</v>
      </c>
      <c r="AH310" s="9" t="s">
        <v>102</v>
      </c>
      <c r="AI310" s="9" t="s">
        <v>102</v>
      </c>
      <c r="AJ310" s="9" t="s">
        <v>102</v>
      </c>
      <c r="AK310" s="9" t="s">
        <v>102</v>
      </c>
      <c r="AL310" s="9" t="s">
        <v>102</v>
      </c>
      <c r="AN310" s="12" t="s">
        <v>101</v>
      </c>
      <c r="AO310" s="12" t="s">
        <v>103</v>
      </c>
      <c r="AP310" s="94">
        <v>220</v>
      </c>
      <c r="AQ310" s="94" t="s">
        <v>100</v>
      </c>
      <c r="AR310" s="93">
        <v>220</v>
      </c>
    </row>
    <row r="311" spans="1:44" ht="16.5">
      <c r="A311" s="93">
        <v>221</v>
      </c>
      <c r="B311" s="93" t="s">
        <v>101</v>
      </c>
      <c r="C311" s="93">
        <v>62.8</v>
      </c>
      <c r="D311" s="93">
        <v>0</v>
      </c>
      <c r="E311" s="93">
        <v>0</v>
      </c>
      <c r="F311" s="93">
        <v>0</v>
      </c>
      <c r="G311" s="93">
        <v>0</v>
      </c>
      <c r="H311" s="93">
        <v>0</v>
      </c>
      <c r="I311" s="93">
        <v>26.2</v>
      </c>
      <c r="J311" s="93">
        <v>0</v>
      </c>
      <c r="K311" s="93">
        <v>0</v>
      </c>
      <c r="L311" s="93">
        <v>11</v>
      </c>
      <c r="M311" s="74" t="str">
        <f t="array" ref="M311">_xlfn.TEXTJOIN("-", TRUE, IF(C311:L311&gt;0, $C$2:$L$2, ""))</f>
        <v xml:space="preserve"> Ti-Nb-Sn</v>
      </c>
      <c r="N311" s="90">
        <f t="shared" si="8"/>
        <v>299</v>
      </c>
      <c r="O311" s="91">
        <f t="shared" si="9"/>
        <v>3</v>
      </c>
      <c r="P311" s="93">
        <v>1</v>
      </c>
      <c r="Q311" s="93">
        <v>0</v>
      </c>
      <c r="R311" s="93">
        <v>0</v>
      </c>
      <c r="S311" s="93">
        <v>0</v>
      </c>
      <c r="T311" s="94">
        <v>0</v>
      </c>
      <c r="U311" s="94">
        <v>0</v>
      </c>
      <c r="V311" s="8">
        <v>0</v>
      </c>
      <c r="W311" s="94">
        <v>450</v>
      </c>
      <c r="X311" s="94">
        <v>0.33333333300000001</v>
      </c>
      <c r="Y311" s="103">
        <v>1</v>
      </c>
      <c r="Z311" s="9" t="s">
        <v>102</v>
      </c>
      <c r="AA311" s="9" t="s">
        <v>102</v>
      </c>
      <c r="AB311" s="93">
        <v>799</v>
      </c>
      <c r="AC311" s="93">
        <v>786</v>
      </c>
      <c r="AD311" s="93">
        <v>4</v>
      </c>
      <c r="AE311" s="9" t="s">
        <v>101</v>
      </c>
      <c r="AF311" s="9" t="s">
        <v>102</v>
      </c>
      <c r="AG311" s="9" t="s">
        <v>102</v>
      </c>
      <c r="AH311" s="9" t="s">
        <v>102</v>
      </c>
      <c r="AI311" s="9" t="s">
        <v>102</v>
      </c>
      <c r="AJ311" s="9" t="s">
        <v>102</v>
      </c>
      <c r="AK311" s="9" t="s">
        <v>102</v>
      </c>
      <c r="AL311" s="9" t="s">
        <v>102</v>
      </c>
      <c r="AN311" s="12" t="s">
        <v>101</v>
      </c>
      <c r="AO311" s="12" t="s">
        <v>103</v>
      </c>
      <c r="AP311" s="94">
        <v>221</v>
      </c>
      <c r="AQ311" s="94" t="s">
        <v>100</v>
      </c>
      <c r="AR311" s="93">
        <v>221</v>
      </c>
    </row>
    <row r="312" spans="1:44" ht="16.5">
      <c r="A312" s="93">
        <v>222</v>
      </c>
      <c r="B312" s="93" t="s">
        <v>101</v>
      </c>
      <c r="C312" s="93">
        <v>62.8</v>
      </c>
      <c r="D312" s="93">
        <v>0</v>
      </c>
      <c r="E312" s="93">
        <v>0</v>
      </c>
      <c r="F312" s="93">
        <v>0</v>
      </c>
      <c r="G312" s="93">
        <v>0</v>
      </c>
      <c r="H312" s="93">
        <v>0</v>
      </c>
      <c r="I312" s="93">
        <v>26.2</v>
      </c>
      <c r="J312" s="93">
        <v>0</v>
      </c>
      <c r="K312" s="93">
        <v>0</v>
      </c>
      <c r="L312" s="93">
        <v>11</v>
      </c>
      <c r="M312" s="74" t="str">
        <f t="array" ref="M312">_xlfn.TEXTJOIN("-", TRUE, IF(C312:L312&gt;0, $C$2:$L$2, ""))</f>
        <v xml:space="preserve"> Ti-Nb-Sn</v>
      </c>
      <c r="N312" s="90">
        <f t="shared" si="8"/>
        <v>299</v>
      </c>
      <c r="O312" s="91">
        <f t="shared" si="9"/>
        <v>3</v>
      </c>
      <c r="P312" s="93">
        <v>1</v>
      </c>
      <c r="Q312" s="93">
        <v>0</v>
      </c>
      <c r="R312" s="93">
        <v>0</v>
      </c>
      <c r="S312" s="93">
        <v>0</v>
      </c>
      <c r="T312" s="94">
        <v>950</v>
      </c>
      <c r="U312" s="94">
        <v>1</v>
      </c>
      <c r="V312" s="8">
        <v>1</v>
      </c>
      <c r="W312" s="94">
        <v>0</v>
      </c>
      <c r="X312" s="94">
        <v>0</v>
      </c>
      <c r="Y312" s="103">
        <v>0</v>
      </c>
      <c r="Z312" s="9" t="s">
        <v>102</v>
      </c>
      <c r="AA312" s="9" t="s">
        <v>102</v>
      </c>
      <c r="AB312" s="93">
        <v>590</v>
      </c>
      <c r="AC312" s="93">
        <v>579</v>
      </c>
      <c r="AD312" s="93">
        <v>27.8</v>
      </c>
      <c r="AE312" s="9" t="s">
        <v>101</v>
      </c>
      <c r="AF312" s="9" t="s">
        <v>102</v>
      </c>
      <c r="AG312" s="9" t="s">
        <v>102</v>
      </c>
      <c r="AH312" s="9" t="s">
        <v>102</v>
      </c>
      <c r="AI312" s="9" t="s">
        <v>102</v>
      </c>
      <c r="AJ312" s="9" t="s">
        <v>102</v>
      </c>
      <c r="AK312" s="9" t="s">
        <v>102</v>
      </c>
      <c r="AL312" s="9" t="s">
        <v>102</v>
      </c>
      <c r="AN312" s="12" t="s">
        <v>101</v>
      </c>
      <c r="AO312" s="12" t="s">
        <v>103</v>
      </c>
      <c r="AP312" s="94">
        <v>222</v>
      </c>
      <c r="AQ312" s="94" t="s">
        <v>100</v>
      </c>
      <c r="AR312" s="93">
        <v>222</v>
      </c>
    </row>
    <row r="313" spans="1:44" ht="16.5">
      <c r="A313" s="93">
        <v>223</v>
      </c>
      <c r="B313" s="93" t="s">
        <v>101</v>
      </c>
      <c r="C313" s="93">
        <v>62.8</v>
      </c>
      <c r="D313" s="93">
        <v>0</v>
      </c>
      <c r="E313" s="93">
        <v>0</v>
      </c>
      <c r="F313" s="93">
        <v>0</v>
      </c>
      <c r="G313" s="93">
        <v>0</v>
      </c>
      <c r="H313" s="93">
        <v>0</v>
      </c>
      <c r="I313" s="93">
        <v>26.2</v>
      </c>
      <c r="J313" s="93">
        <v>0</v>
      </c>
      <c r="K313" s="93">
        <v>0</v>
      </c>
      <c r="L313" s="93">
        <v>11</v>
      </c>
      <c r="M313" s="74" t="str">
        <f t="array" ref="M313">_xlfn.TEXTJOIN("-", TRUE, IF(C313:L313&gt;0, $C$2:$L$2, ""))</f>
        <v xml:space="preserve"> Ti-Nb-Sn</v>
      </c>
      <c r="N313" s="90">
        <f t="shared" si="8"/>
        <v>299</v>
      </c>
      <c r="O313" s="91">
        <f t="shared" si="9"/>
        <v>3</v>
      </c>
      <c r="P313" s="93">
        <v>1</v>
      </c>
      <c r="Q313" s="93">
        <v>0</v>
      </c>
      <c r="R313" s="93">
        <v>0</v>
      </c>
      <c r="S313" s="93">
        <v>0</v>
      </c>
      <c r="T313" s="94">
        <v>950</v>
      </c>
      <c r="U313" s="94">
        <v>1</v>
      </c>
      <c r="V313" s="8">
        <v>1</v>
      </c>
      <c r="W313" s="94">
        <v>400</v>
      </c>
      <c r="X313" s="94">
        <v>0.33333333300000001</v>
      </c>
      <c r="Y313" s="103">
        <v>1</v>
      </c>
      <c r="Z313" s="9" t="s">
        <v>102</v>
      </c>
      <c r="AA313" s="9" t="s">
        <v>102</v>
      </c>
      <c r="AB313" s="93">
        <v>576</v>
      </c>
      <c r="AC313" s="93">
        <v>543</v>
      </c>
      <c r="AD313" s="93">
        <v>19.5</v>
      </c>
      <c r="AE313" s="9" t="s">
        <v>101</v>
      </c>
      <c r="AF313" s="9" t="s">
        <v>102</v>
      </c>
      <c r="AG313" s="9" t="s">
        <v>102</v>
      </c>
      <c r="AH313" s="9" t="s">
        <v>102</v>
      </c>
      <c r="AI313" s="9" t="s">
        <v>102</v>
      </c>
      <c r="AJ313" s="9" t="s">
        <v>102</v>
      </c>
      <c r="AK313" s="9" t="s">
        <v>102</v>
      </c>
      <c r="AL313" s="9" t="s">
        <v>102</v>
      </c>
      <c r="AN313" s="12" t="s">
        <v>101</v>
      </c>
      <c r="AO313" s="12" t="s">
        <v>103</v>
      </c>
      <c r="AP313" s="94">
        <v>223</v>
      </c>
      <c r="AQ313" s="94" t="s">
        <v>100</v>
      </c>
      <c r="AR313" s="93">
        <v>223</v>
      </c>
    </row>
    <row r="314" spans="1:44" ht="16.5">
      <c r="A314" s="93">
        <v>224</v>
      </c>
      <c r="B314" s="93" t="s">
        <v>101</v>
      </c>
      <c r="C314" s="93">
        <v>62.8</v>
      </c>
      <c r="D314" s="93">
        <v>0</v>
      </c>
      <c r="E314" s="93">
        <v>0</v>
      </c>
      <c r="F314" s="93">
        <v>0</v>
      </c>
      <c r="G314" s="93">
        <v>0</v>
      </c>
      <c r="H314" s="93">
        <v>0</v>
      </c>
      <c r="I314" s="93">
        <v>26.2</v>
      </c>
      <c r="J314" s="93">
        <v>0</v>
      </c>
      <c r="K314" s="93">
        <v>0</v>
      </c>
      <c r="L314" s="93">
        <v>11</v>
      </c>
      <c r="M314" s="74" t="str">
        <f t="array" ref="M314">_xlfn.TEXTJOIN("-", TRUE, IF(C314:L314&gt;0, $C$2:$L$2, ""))</f>
        <v xml:space="preserve"> Ti-Nb-Sn</v>
      </c>
      <c r="N314" s="90">
        <f t="shared" si="8"/>
        <v>299</v>
      </c>
      <c r="O314" s="91">
        <f t="shared" si="9"/>
        <v>3</v>
      </c>
      <c r="P314" s="93">
        <v>1</v>
      </c>
      <c r="Q314" s="93">
        <v>0</v>
      </c>
      <c r="R314" s="93">
        <v>0</v>
      </c>
      <c r="S314" s="93">
        <v>0</v>
      </c>
      <c r="T314" s="94">
        <v>950</v>
      </c>
      <c r="U314" s="94">
        <v>1</v>
      </c>
      <c r="V314" s="8">
        <v>1</v>
      </c>
      <c r="W314" s="94">
        <v>450</v>
      </c>
      <c r="X314" s="94">
        <v>0.33333333300000001</v>
      </c>
      <c r="Y314" s="103">
        <v>1</v>
      </c>
      <c r="Z314" s="9" t="s">
        <v>102</v>
      </c>
      <c r="AA314" s="9" t="s">
        <v>102</v>
      </c>
      <c r="AB314" s="93">
        <v>587</v>
      </c>
      <c r="AC314" s="93">
        <v>581</v>
      </c>
      <c r="AD314" s="93">
        <v>14.1</v>
      </c>
      <c r="AE314" s="9" t="s">
        <v>101</v>
      </c>
      <c r="AF314" s="9" t="s">
        <v>102</v>
      </c>
      <c r="AG314" s="9" t="s">
        <v>102</v>
      </c>
      <c r="AH314" s="9" t="s">
        <v>102</v>
      </c>
      <c r="AI314" s="9" t="s">
        <v>102</v>
      </c>
      <c r="AJ314" s="9" t="s">
        <v>102</v>
      </c>
      <c r="AK314" s="9" t="s">
        <v>102</v>
      </c>
      <c r="AL314" s="9" t="s">
        <v>102</v>
      </c>
      <c r="AN314" s="12" t="s">
        <v>101</v>
      </c>
      <c r="AO314" s="12" t="s">
        <v>103</v>
      </c>
      <c r="AP314" s="94">
        <v>224</v>
      </c>
      <c r="AQ314" s="94" t="s">
        <v>100</v>
      </c>
      <c r="AR314" s="93">
        <v>224</v>
      </c>
    </row>
    <row r="315" spans="1:44" ht="16.5">
      <c r="A315" s="93">
        <v>362</v>
      </c>
      <c r="B315" s="93" t="s">
        <v>113</v>
      </c>
      <c r="C315" s="94">
        <v>79.239999999999995</v>
      </c>
      <c r="D315" s="94">
        <v>0</v>
      </c>
      <c r="E315" s="94">
        <v>0</v>
      </c>
      <c r="F315" s="94">
        <v>0</v>
      </c>
      <c r="G315" s="94">
        <v>0</v>
      </c>
      <c r="H315" s="94">
        <v>0</v>
      </c>
      <c r="I315" s="94">
        <v>19.79</v>
      </c>
      <c r="J315" s="94">
        <v>0</v>
      </c>
      <c r="K315" s="94">
        <v>0</v>
      </c>
      <c r="L315" s="94">
        <v>0.97</v>
      </c>
      <c r="M315" s="74" t="str">
        <f t="array" ref="M315">_xlfn.TEXTJOIN("-", TRUE, IF(C315:L315&gt;0, $C$2:$L$2, ""))</f>
        <v xml:space="preserve"> Ti-Nb-Sn</v>
      </c>
      <c r="N315" s="90">
        <f t="shared" si="8"/>
        <v>299</v>
      </c>
      <c r="O315" s="91">
        <f t="shared" si="9"/>
        <v>3</v>
      </c>
      <c r="P315" s="94">
        <v>1</v>
      </c>
      <c r="Q315" s="94">
        <v>1</v>
      </c>
      <c r="R315" s="93" t="s">
        <v>113</v>
      </c>
      <c r="S315" s="93" t="s">
        <v>113</v>
      </c>
      <c r="T315" s="93" t="s">
        <v>113</v>
      </c>
      <c r="U315" s="93" t="s">
        <v>113</v>
      </c>
      <c r="V315" s="93">
        <v>1</v>
      </c>
      <c r="W315" s="93" t="s">
        <v>113</v>
      </c>
      <c r="X315" s="93" t="s">
        <v>113</v>
      </c>
      <c r="Y315" s="93" t="s">
        <v>113</v>
      </c>
      <c r="Z315" s="94">
        <v>60</v>
      </c>
      <c r="AA315" s="93" t="s">
        <v>113</v>
      </c>
      <c r="AB315" s="93" t="s">
        <v>113</v>
      </c>
      <c r="AC315" s="94">
        <v>665</v>
      </c>
      <c r="AD315" s="93" t="s">
        <v>113</v>
      </c>
      <c r="AE315" s="93" t="s">
        <v>113</v>
      </c>
      <c r="AF315" s="93" t="s">
        <v>113</v>
      </c>
      <c r="AG315" s="93" t="s">
        <v>113</v>
      </c>
      <c r="AH315" s="93" t="s">
        <v>113</v>
      </c>
      <c r="AI315" s="93" t="s">
        <v>113</v>
      </c>
      <c r="AJ315" s="93" t="s">
        <v>113</v>
      </c>
      <c r="AK315" s="93" t="s">
        <v>113</v>
      </c>
      <c r="AL315" s="93" t="s">
        <v>113</v>
      </c>
      <c r="AM315" s="93"/>
      <c r="AN315" s="93" t="s">
        <v>113</v>
      </c>
      <c r="AO315" s="93" t="s">
        <v>114</v>
      </c>
      <c r="AP315" s="94">
        <v>362</v>
      </c>
      <c r="AQ315" s="94" t="s">
        <v>100</v>
      </c>
      <c r="AR315" s="93">
        <v>362</v>
      </c>
    </row>
    <row r="316" spans="1:44" ht="16.5">
      <c r="A316" s="93">
        <v>382</v>
      </c>
      <c r="B316" s="93" t="s">
        <v>113</v>
      </c>
      <c r="C316" s="94">
        <v>75.64</v>
      </c>
      <c r="D316" s="94">
        <v>0</v>
      </c>
      <c r="E316" s="94">
        <v>0</v>
      </c>
      <c r="F316" s="94">
        <v>0</v>
      </c>
      <c r="G316" s="94">
        <v>0</v>
      </c>
      <c r="H316" s="94">
        <v>0</v>
      </c>
      <c r="I316" s="94">
        <v>22.36</v>
      </c>
      <c r="J316" s="94">
        <v>0</v>
      </c>
      <c r="K316" s="94">
        <v>0</v>
      </c>
      <c r="L316" s="94">
        <v>2</v>
      </c>
      <c r="M316" s="74" t="str">
        <f t="array" ref="M316">_xlfn.TEXTJOIN("-", TRUE, IF(C316:L316&gt;0, $C$2:$L$2, ""))</f>
        <v xml:space="preserve"> Ti-Nb-Sn</v>
      </c>
      <c r="N316" s="90">
        <f t="shared" si="8"/>
        <v>299</v>
      </c>
      <c r="O316" s="91">
        <f t="shared" si="9"/>
        <v>3</v>
      </c>
      <c r="P316" s="94">
        <v>1</v>
      </c>
      <c r="Q316" s="94">
        <v>1</v>
      </c>
      <c r="R316" s="93" t="s">
        <v>113</v>
      </c>
      <c r="S316" s="93" t="s">
        <v>113</v>
      </c>
      <c r="T316" s="93" t="s">
        <v>113</v>
      </c>
      <c r="U316" s="93" t="s">
        <v>113</v>
      </c>
      <c r="V316" s="93">
        <v>1</v>
      </c>
      <c r="W316" s="93" t="s">
        <v>113</v>
      </c>
      <c r="X316" s="93" t="s">
        <v>113</v>
      </c>
      <c r="Y316" s="93" t="s">
        <v>113</v>
      </c>
      <c r="Z316" s="94">
        <v>55</v>
      </c>
      <c r="AA316" s="93" t="s">
        <v>113</v>
      </c>
      <c r="AB316" s="93" t="s">
        <v>113</v>
      </c>
      <c r="AC316" s="94">
        <v>376</v>
      </c>
      <c r="AD316" s="93" t="s">
        <v>113</v>
      </c>
      <c r="AE316" s="93" t="s">
        <v>113</v>
      </c>
      <c r="AF316" s="93" t="s">
        <v>113</v>
      </c>
      <c r="AG316" s="93" t="s">
        <v>113</v>
      </c>
      <c r="AH316" s="93" t="s">
        <v>113</v>
      </c>
      <c r="AI316" s="93" t="s">
        <v>113</v>
      </c>
      <c r="AJ316" s="93" t="s">
        <v>113</v>
      </c>
      <c r="AK316" s="93" t="s">
        <v>113</v>
      </c>
      <c r="AL316" s="93" t="s">
        <v>113</v>
      </c>
      <c r="AM316" s="93"/>
      <c r="AN316" s="93" t="s">
        <v>113</v>
      </c>
      <c r="AO316" s="93" t="s">
        <v>114</v>
      </c>
      <c r="AP316" s="94">
        <v>382</v>
      </c>
      <c r="AQ316" s="94" t="s">
        <v>100</v>
      </c>
      <c r="AR316" s="93">
        <v>382</v>
      </c>
    </row>
    <row r="317" spans="1:44" ht="16.5">
      <c r="A317" s="93">
        <v>383</v>
      </c>
      <c r="B317" s="93" t="s">
        <v>113</v>
      </c>
      <c r="C317" s="94">
        <v>72.91</v>
      </c>
      <c r="D317" s="94">
        <v>0</v>
      </c>
      <c r="E317" s="94">
        <v>0</v>
      </c>
      <c r="F317" s="94">
        <v>0</v>
      </c>
      <c r="G317" s="94">
        <v>0</v>
      </c>
      <c r="H317" s="94">
        <v>0</v>
      </c>
      <c r="I317" s="94">
        <v>23.02</v>
      </c>
      <c r="J317" s="94">
        <v>0</v>
      </c>
      <c r="K317" s="94">
        <v>0</v>
      </c>
      <c r="L317" s="94">
        <v>4.07</v>
      </c>
      <c r="M317" s="74" t="str">
        <f t="array" ref="M317">_xlfn.TEXTJOIN("-", TRUE, IF(C317:L317&gt;0, $C$2:$L$2, ""))</f>
        <v xml:space="preserve"> Ti-Nb-Sn</v>
      </c>
      <c r="N317" s="90">
        <f t="shared" si="8"/>
        <v>299</v>
      </c>
      <c r="O317" s="91">
        <f t="shared" si="9"/>
        <v>3</v>
      </c>
      <c r="P317" s="94">
        <v>1</v>
      </c>
      <c r="Q317" s="94">
        <v>1</v>
      </c>
      <c r="R317" s="93" t="s">
        <v>113</v>
      </c>
      <c r="S317" s="93" t="s">
        <v>113</v>
      </c>
      <c r="T317" s="93" t="s">
        <v>113</v>
      </c>
      <c r="U317" s="93" t="s">
        <v>113</v>
      </c>
      <c r="V317" s="93">
        <v>1</v>
      </c>
      <c r="W317" s="93" t="s">
        <v>113</v>
      </c>
      <c r="X317" s="93" t="s">
        <v>113</v>
      </c>
      <c r="Y317" s="93" t="s">
        <v>113</v>
      </c>
      <c r="Z317" s="94">
        <v>61</v>
      </c>
      <c r="AA317" s="93" t="s">
        <v>113</v>
      </c>
      <c r="AB317" s="93" t="s">
        <v>113</v>
      </c>
      <c r="AC317" s="94">
        <v>444</v>
      </c>
      <c r="AD317" s="93" t="s">
        <v>113</v>
      </c>
      <c r="AE317" s="93" t="s">
        <v>113</v>
      </c>
      <c r="AF317" s="93" t="s">
        <v>113</v>
      </c>
      <c r="AG317" s="93" t="s">
        <v>113</v>
      </c>
      <c r="AH317" s="93" t="s">
        <v>113</v>
      </c>
      <c r="AI317" s="93" t="s">
        <v>113</v>
      </c>
      <c r="AJ317" s="93" t="s">
        <v>113</v>
      </c>
      <c r="AK317" s="93" t="s">
        <v>113</v>
      </c>
      <c r="AL317" s="93" t="s">
        <v>113</v>
      </c>
      <c r="AM317" s="93"/>
      <c r="AN317" s="93" t="s">
        <v>113</v>
      </c>
      <c r="AO317" s="93" t="s">
        <v>114</v>
      </c>
      <c r="AP317" s="94">
        <v>383</v>
      </c>
      <c r="AQ317" s="94" t="s">
        <v>100</v>
      </c>
      <c r="AR317" s="93">
        <v>383</v>
      </c>
    </row>
    <row r="318" spans="1:44" ht="16.5">
      <c r="A318" s="93">
        <v>455</v>
      </c>
      <c r="B318" s="93" t="s">
        <v>113</v>
      </c>
      <c r="C318" s="94">
        <v>76.649999999999991</v>
      </c>
      <c r="D318" s="94">
        <v>0</v>
      </c>
      <c r="E318" s="94">
        <v>0</v>
      </c>
      <c r="F318" s="94">
        <v>0</v>
      </c>
      <c r="G318" s="94">
        <v>0</v>
      </c>
      <c r="H318" s="94">
        <v>0</v>
      </c>
      <c r="I318" s="94">
        <v>22.11</v>
      </c>
      <c r="J318" s="94">
        <v>0</v>
      </c>
      <c r="K318" s="94">
        <v>0</v>
      </c>
      <c r="L318" s="94">
        <v>1.24</v>
      </c>
      <c r="M318" s="74" t="str">
        <f t="array" ref="M318">_xlfn.TEXTJOIN("-", TRUE, IF(C318:L318&gt;0, $C$2:$L$2, ""))</f>
        <v xml:space="preserve"> Ti-Nb-Sn</v>
      </c>
      <c r="N318" s="90">
        <f t="shared" si="8"/>
        <v>299</v>
      </c>
      <c r="O318" s="91">
        <f t="shared" si="9"/>
        <v>3</v>
      </c>
      <c r="P318" s="94">
        <v>1</v>
      </c>
      <c r="Q318" s="94">
        <v>1</v>
      </c>
      <c r="R318" s="93" t="s">
        <v>113</v>
      </c>
      <c r="S318" s="93" t="s">
        <v>113</v>
      </c>
      <c r="T318" s="93" t="s">
        <v>113</v>
      </c>
      <c r="U318" s="93" t="s">
        <v>113</v>
      </c>
      <c r="V318" s="93">
        <v>1</v>
      </c>
      <c r="W318" s="93" t="s">
        <v>113</v>
      </c>
      <c r="X318" s="93" t="s">
        <v>113</v>
      </c>
      <c r="Y318" s="93" t="s">
        <v>113</v>
      </c>
      <c r="Z318" s="94">
        <v>65.8</v>
      </c>
      <c r="AA318" s="93" t="s">
        <v>113</v>
      </c>
      <c r="AB318" s="93" t="s">
        <v>113</v>
      </c>
      <c r="AC318" s="94">
        <v>237</v>
      </c>
      <c r="AD318" s="93" t="s">
        <v>113</v>
      </c>
      <c r="AE318" s="93" t="s">
        <v>113</v>
      </c>
      <c r="AF318" s="93" t="s">
        <v>113</v>
      </c>
      <c r="AG318" s="93" t="s">
        <v>113</v>
      </c>
      <c r="AH318" s="93" t="s">
        <v>113</v>
      </c>
      <c r="AI318" s="93" t="s">
        <v>113</v>
      </c>
      <c r="AJ318" s="93" t="s">
        <v>113</v>
      </c>
      <c r="AK318" s="93" t="s">
        <v>113</v>
      </c>
      <c r="AL318" s="93" t="s">
        <v>113</v>
      </c>
      <c r="AM318" s="93"/>
      <c r="AN318" s="93" t="s">
        <v>113</v>
      </c>
      <c r="AO318" s="93" t="s">
        <v>114</v>
      </c>
      <c r="AP318" s="94">
        <v>455</v>
      </c>
      <c r="AQ318" s="94" t="s">
        <v>100</v>
      </c>
      <c r="AR318" s="93">
        <v>455</v>
      </c>
    </row>
    <row r="319" spans="1:44" ht="16.5">
      <c r="A319" s="93">
        <v>456</v>
      </c>
      <c r="B319" s="93" t="s">
        <v>113</v>
      </c>
      <c r="C319" s="94">
        <v>74.95</v>
      </c>
      <c r="D319" s="94">
        <v>0</v>
      </c>
      <c r="E319" s="94">
        <v>0</v>
      </c>
      <c r="F319" s="94">
        <v>0</v>
      </c>
      <c r="G319" s="94">
        <v>0</v>
      </c>
      <c r="H319" s="94">
        <v>0</v>
      </c>
      <c r="I319" s="94">
        <v>22.53</v>
      </c>
      <c r="J319" s="94">
        <v>0</v>
      </c>
      <c r="K319" s="94">
        <v>0</v>
      </c>
      <c r="L319" s="94">
        <v>2.52</v>
      </c>
      <c r="M319" s="74" t="str">
        <f t="array" ref="M319">_xlfn.TEXTJOIN("-", TRUE, IF(C319:L319&gt;0, $C$2:$L$2, ""))</f>
        <v xml:space="preserve"> Ti-Nb-Sn</v>
      </c>
      <c r="N319" s="90">
        <f t="shared" si="8"/>
        <v>299</v>
      </c>
      <c r="O319" s="91">
        <f t="shared" si="9"/>
        <v>3</v>
      </c>
      <c r="P319" s="94">
        <v>1</v>
      </c>
      <c r="Q319" s="94">
        <v>1</v>
      </c>
      <c r="R319" s="93" t="s">
        <v>113</v>
      </c>
      <c r="S319" s="93" t="s">
        <v>113</v>
      </c>
      <c r="T319" s="93" t="s">
        <v>113</v>
      </c>
      <c r="U319" s="93" t="s">
        <v>113</v>
      </c>
      <c r="V319" s="93">
        <v>1</v>
      </c>
      <c r="W319" s="93" t="s">
        <v>113</v>
      </c>
      <c r="X319" s="93" t="s">
        <v>113</v>
      </c>
      <c r="Y319" s="93" t="s">
        <v>113</v>
      </c>
      <c r="Z319" s="94">
        <v>68.2</v>
      </c>
      <c r="AA319" s="93" t="s">
        <v>113</v>
      </c>
      <c r="AB319" s="93" t="s">
        <v>113</v>
      </c>
      <c r="AC319" s="94">
        <v>216</v>
      </c>
      <c r="AD319" s="93" t="s">
        <v>113</v>
      </c>
      <c r="AE319" s="93" t="s">
        <v>113</v>
      </c>
      <c r="AF319" s="93" t="s">
        <v>113</v>
      </c>
      <c r="AG319" s="93" t="s">
        <v>113</v>
      </c>
      <c r="AH319" s="93" t="s">
        <v>113</v>
      </c>
      <c r="AI319" s="93" t="s">
        <v>113</v>
      </c>
      <c r="AJ319" s="93" t="s">
        <v>113</v>
      </c>
      <c r="AK319" s="93" t="s">
        <v>113</v>
      </c>
      <c r="AL319" s="93" t="s">
        <v>113</v>
      </c>
      <c r="AM319" s="93"/>
      <c r="AN319" s="93" t="s">
        <v>113</v>
      </c>
      <c r="AO319" s="93" t="s">
        <v>114</v>
      </c>
      <c r="AP319" s="94">
        <v>456</v>
      </c>
      <c r="AQ319" s="94" t="s">
        <v>100</v>
      </c>
      <c r="AR319" s="93">
        <v>456</v>
      </c>
    </row>
    <row r="320" spans="1:44" ht="16.5">
      <c r="A320" s="93">
        <v>457</v>
      </c>
      <c r="B320" s="93" t="s">
        <v>113</v>
      </c>
      <c r="C320" s="94">
        <v>73.2</v>
      </c>
      <c r="D320" s="94">
        <v>0</v>
      </c>
      <c r="E320" s="94">
        <v>0</v>
      </c>
      <c r="F320" s="94">
        <v>0</v>
      </c>
      <c r="G320" s="94">
        <v>0</v>
      </c>
      <c r="H320" s="94">
        <v>0</v>
      </c>
      <c r="I320" s="94">
        <v>22.95</v>
      </c>
      <c r="J320" s="94">
        <v>0</v>
      </c>
      <c r="K320" s="94">
        <v>0</v>
      </c>
      <c r="L320" s="94">
        <v>3.85</v>
      </c>
      <c r="M320" s="74" t="str">
        <f t="array" ref="M320">_xlfn.TEXTJOIN("-", TRUE, IF(C320:L320&gt;0, $C$2:$L$2, ""))</f>
        <v xml:space="preserve"> Ti-Nb-Sn</v>
      </c>
      <c r="N320" s="90">
        <f t="shared" si="8"/>
        <v>299</v>
      </c>
      <c r="O320" s="91">
        <f t="shared" si="9"/>
        <v>3</v>
      </c>
      <c r="P320" s="94">
        <v>1</v>
      </c>
      <c r="Q320" s="94">
        <v>1</v>
      </c>
      <c r="R320" s="93" t="s">
        <v>113</v>
      </c>
      <c r="S320" s="93" t="s">
        <v>113</v>
      </c>
      <c r="T320" s="93" t="s">
        <v>113</v>
      </c>
      <c r="U320" s="93" t="s">
        <v>113</v>
      </c>
      <c r="V320" s="93">
        <v>1</v>
      </c>
      <c r="W320" s="93" t="s">
        <v>113</v>
      </c>
      <c r="X320" s="93" t="s">
        <v>113</v>
      </c>
      <c r="Y320" s="93" t="s">
        <v>113</v>
      </c>
      <c r="Z320" s="94">
        <v>86.4</v>
      </c>
      <c r="AA320" s="93" t="s">
        <v>113</v>
      </c>
      <c r="AB320" s="93" t="s">
        <v>113</v>
      </c>
      <c r="AC320" s="94">
        <v>262</v>
      </c>
      <c r="AD320" s="93" t="s">
        <v>113</v>
      </c>
      <c r="AE320" s="93" t="s">
        <v>113</v>
      </c>
      <c r="AF320" s="93" t="s">
        <v>113</v>
      </c>
      <c r="AG320" s="93" t="s">
        <v>113</v>
      </c>
      <c r="AH320" s="93" t="s">
        <v>113</v>
      </c>
      <c r="AI320" s="93" t="s">
        <v>113</v>
      </c>
      <c r="AJ320" s="93" t="s">
        <v>113</v>
      </c>
      <c r="AK320" s="93" t="s">
        <v>113</v>
      </c>
      <c r="AL320" s="93" t="s">
        <v>113</v>
      </c>
      <c r="AM320" s="93"/>
      <c r="AN320" s="93" t="s">
        <v>113</v>
      </c>
      <c r="AO320" s="93" t="s">
        <v>114</v>
      </c>
      <c r="AP320" s="94">
        <v>457</v>
      </c>
      <c r="AQ320" s="94" t="s">
        <v>100</v>
      </c>
      <c r="AR320" s="93">
        <v>457</v>
      </c>
    </row>
    <row r="321" spans="1:44" ht="16.5">
      <c r="A321" s="93">
        <v>492</v>
      </c>
      <c r="B321" s="93" t="s">
        <v>113</v>
      </c>
      <c r="C321" s="94">
        <v>77</v>
      </c>
      <c r="D321" s="94">
        <v>0</v>
      </c>
      <c r="E321" s="94">
        <v>0</v>
      </c>
      <c r="F321" s="94">
        <v>0</v>
      </c>
      <c r="G321" s="94">
        <v>0</v>
      </c>
      <c r="H321" s="94">
        <v>0</v>
      </c>
      <c r="I321" s="94">
        <v>22</v>
      </c>
      <c r="J321" s="94">
        <v>0</v>
      </c>
      <c r="K321" s="94">
        <v>0</v>
      </c>
      <c r="L321" s="94">
        <v>1</v>
      </c>
      <c r="M321" s="74" t="str">
        <f t="array" ref="M321">_xlfn.TEXTJOIN("-", TRUE, IF(C321:L321&gt;0, $C$2:$L$2, ""))</f>
        <v xml:space="preserve"> Ti-Nb-Sn</v>
      </c>
      <c r="N321" s="90">
        <f t="shared" si="8"/>
        <v>299</v>
      </c>
      <c r="O321" s="91">
        <f t="shared" si="9"/>
        <v>3</v>
      </c>
      <c r="P321" s="94">
        <v>1</v>
      </c>
      <c r="Q321" s="94">
        <v>1</v>
      </c>
      <c r="R321" s="93" t="s">
        <v>113</v>
      </c>
      <c r="S321" s="93" t="s">
        <v>113</v>
      </c>
      <c r="T321" s="93" t="s">
        <v>113</v>
      </c>
      <c r="U321" s="93" t="s">
        <v>113</v>
      </c>
      <c r="V321" s="94">
        <v>1</v>
      </c>
      <c r="W321" s="93" t="s">
        <v>113</v>
      </c>
      <c r="X321" s="93" t="s">
        <v>113</v>
      </c>
      <c r="Y321" s="93" t="s">
        <v>113</v>
      </c>
      <c r="Z321" s="94">
        <v>65</v>
      </c>
      <c r="AA321" s="93" t="s">
        <v>113</v>
      </c>
      <c r="AB321" s="93" t="s">
        <v>113</v>
      </c>
      <c r="AC321" s="94">
        <v>503</v>
      </c>
      <c r="AD321" s="93" t="s">
        <v>113</v>
      </c>
      <c r="AE321" s="93" t="s">
        <v>113</v>
      </c>
      <c r="AF321" s="93" t="s">
        <v>113</v>
      </c>
      <c r="AG321" s="93" t="s">
        <v>113</v>
      </c>
      <c r="AH321" s="93" t="s">
        <v>113</v>
      </c>
      <c r="AI321" s="93" t="s">
        <v>113</v>
      </c>
      <c r="AJ321" s="93" t="s">
        <v>113</v>
      </c>
      <c r="AK321" s="93" t="s">
        <v>113</v>
      </c>
      <c r="AL321" s="93" t="s">
        <v>113</v>
      </c>
      <c r="AM321" s="93"/>
      <c r="AN321" s="93" t="s">
        <v>113</v>
      </c>
      <c r="AO321" s="93" t="s">
        <v>114</v>
      </c>
      <c r="AP321" s="94">
        <v>492</v>
      </c>
      <c r="AQ321" s="94" t="s">
        <v>100</v>
      </c>
      <c r="AR321" s="93">
        <v>492</v>
      </c>
    </row>
    <row r="322" spans="1:44" ht="16.5">
      <c r="A322" s="9">
        <v>12</v>
      </c>
      <c r="C322" s="9">
        <v>77.78</v>
      </c>
      <c r="D322">
        <v>0</v>
      </c>
      <c r="E322" s="9">
        <v>0</v>
      </c>
      <c r="F322" s="9">
        <v>0</v>
      </c>
      <c r="G322" s="9">
        <v>0</v>
      </c>
      <c r="H322" s="9">
        <v>0</v>
      </c>
      <c r="I322" s="9">
        <v>16.66</v>
      </c>
      <c r="J322" s="9">
        <v>0</v>
      </c>
      <c r="K322" s="9">
        <v>0</v>
      </c>
      <c r="L322" s="9">
        <v>5.56</v>
      </c>
      <c r="M322" s="74" t="str">
        <f t="array" ref="M322">_xlfn.TEXTJOIN("-", TRUE, IF(C322:L322&gt;0, $C$2:$L$2, ""))</f>
        <v xml:space="preserve"> Ti-Nb-Sn</v>
      </c>
      <c r="N322" s="90">
        <f t="shared" si="8"/>
        <v>299</v>
      </c>
      <c r="O322" s="91">
        <f t="shared" si="9"/>
        <v>3</v>
      </c>
      <c r="Z322" s="9">
        <v>56</v>
      </c>
      <c r="AQ322" s="94" t="s">
        <v>382</v>
      </c>
    </row>
    <row r="323" spans="1:44" ht="16.5">
      <c r="A323" s="9">
        <v>39</v>
      </c>
      <c r="C323" s="9">
        <v>62.8</v>
      </c>
      <c r="D323">
        <v>0</v>
      </c>
      <c r="E323" s="9">
        <v>0</v>
      </c>
      <c r="F323" s="9">
        <v>0</v>
      </c>
      <c r="G323" s="9">
        <v>0</v>
      </c>
      <c r="H323" s="9">
        <v>0</v>
      </c>
      <c r="I323" s="9">
        <v>26.2</v>
      </c>
      <c r="J323" s="9">
        <v>0</v>
      </c>
      <c r="K323" s="9">
        <v>0</v>
      </c>
      <c r="L323" s="9">
        <v>11</v>
      </c>
      <c r="M323" s="74" t="str">
        <f t="array" ref="M323">_xlfn.TEXTJOIN("-", TRUE, IF(C323:L323&gt;0, $C$2:$L$2, ""))</f>
        <v xml:space="preserve"> Ti-Nb-Sn</v>
      </c>
      <c r="N323" s="90">
        <f t="shared" ref="N323:N386" si="10">IF(COUNTIF(M$3:M$1206, M323)&gt;1, MATCH(M323, M:M, 0), "")</f>
        <v>299</v>
      </c>
      <c r="O323" s="91">
        <f t="shared" ref="O323:O386" si="11">COUNTIF(C323:L323, "&lt;&gt;0")</f>
        <v>3</v>
      </c>
      <c r="Z323" s="9">
        <v>56</v>
      </c>
      <c r="AQ323" s="94" t="s">
        <v>382</v>
      </c>
    </row>
    <row r="324" spans="1:44" ht="16.5">
      <c r="A324" s="9">
        <v>67</v>
      </c>
      <c r="C324" s="9">
        <v>80.7</v>
      </c>
      <c r="D324">
        <v>0</v>
      </c>
      <c r="E324" s="9">
        <v>0</v>
      </c>
      <c r="F324" s="9">
        <v>0</v>
      </c>
      <c r="G324" s="9">
        <v>0</v>
      </c>
      <c r="H324" s="9">
        <v>0</v>
      </c>
      <c r="I324" s="9">
        <v>18.34</v>
      </c>
      <c r="J324" s="9">
        <v>0</v>
      </c>
      <c r="K324" s="9">
        <v>0</v>
      </c>
      <c r="L324" s="9">
        <v>0.96</v>
      </c>
      <c r="M324" s="74" t="str">
        <f t="array" ref="M324">_xlfn.TEXTJOIN("-", TRUE, IF(C324:L324&gt;0, $C$2:$L$2, ""))</f>
        <v xml:space="preserve"> Ti-Nb-Sn</v>
      </c>
      <c r="N324" s="90">
        <f t="shared" si="10"/>
        <v>299</v>
      </c>
      <c r="O324" s="91">
        <f t="shared" si="11"/>
        <v>3</v>
      </c>
      <c r="Z324" s="9">
        <v>77.400000000000006</v>
      </c>
      <c r="AQ324" s="94" t="s">
        <v>382</v>
      </c>
    </row>
    <row r="325" spans="1:44" ht="16.5">
      <c r="A325" s="9">
        <v>68</v>
      </c>
      <c r="C325" s="9">
        <v>79.45</v>
      </c>
      <c r="D325">
        <v>0</v>
      </c>
      <c r="E325" s="9">
        <v>0</v>
      </c>
      <c r="F325" s="9">
        <v>0</v>
      </c>
      <c r="G325" s="9">
        <v>0</v>
      </c>
      <c r="H325" s="9">
        <v>0</v>
      </c>
      <c r="I325" s="9">
        <v>18.61</v>
      </c>
      <c r="J325" s="9">
        <v>0</v>
      </c>
      <c r="K325" s="9">
        <v>0</v>
      </c>
      <c r="L325" s="9">
        <v>1.94</v>
      </c>
      <c r="M325" s="74" t="str">
        <f t="array" ref="M325">_xlfn.TEXTJOIN("-", TRUE, IF(C325:L325&gt;0, $C$2:$L$2, ""))</f>
        <v xml:space="preserve"> Ti-Nb-Sn</v>
      </c>
      <c r="N325" s="90">
        <f t="shared" si="10"/>
        <v>299</v>
      </c>
      <c r="O325" s="91">
        <f t="shared" si="11"/>
        <v>3</v>
      </c>
      <c r="Z325" s="9">
        <v>72.2</v>
      </c>
      <c r="AQ325" s="94" t="s">
        <v>382</v>
      </c>
    </row>
    <row r="326" spans="1:44" ht="16.5">
      <c r="A326" s="9">
        <v>69</v>
      </c>
      <c r="C326" s="9">
        <v>78.17</v>
      </c>
      <c r="D326">
        <v>0</v>
      </c>
      <c r="E326" s="9">
        <v>0</v>
      </c>
      <c r="F326" s="9">
        <v>0</v>
      </c>
      <c r="G326" s="9">
        <v>0</v>
      </c>
      <c r="H326" s="9">
        <v>0</v>
      </c>
      <c r="I326" s="9">
        <v>18.88</v>
      </c>
      <c r="J326" s="9">
        <v>0</v>
      </c>
      <c r="K326" s="9">
        <v>0</v>
      </c>
      <c r="L326" s="9">
        <v>2.95</v>
      </c>
      <c r="M326" s="74" t="str">
        <f t="array" ref="M326">_xlfn.TEXTJOIN("-", TRUE, IF(C326:L326&gt;0, $C$2:$L$2, ""))</f>
        <v xml:space="preserve"> Ti-Nb-Sn</v>
      </c>
      <c r="N326" s="90">
        <f t="shared" si="10"/>
        <v>299</v>
      </c>
      <c r="O326" s="91">
        <f t="shared" si="11"/>
        <v>3</v>
      </c>
      <c r="Z326" s="9">
        <v>67</v>
      </c>
      <c r="AQ326" s="94" t="s">
        <v>382</v>
      </c>
    </row>
    <row r="327" spans="1:44" ht="16.5">
      <c r="A327" s="9">
        <v>70</v>
      </c>
      <c r="C327" s="9">
        <v>76.84</v>
      </c>
      <c r="D327">
        <v>0</v>
      </c>
      <c r="E327" s="9">
        <v>0</v>
      </c>
      <c r="F327" s="9">
        <v>0</v>
      </c>
      <c r="G327" s="9">
        <v>0</v>
      </c>
      <c r="H327" s="9">
        <v>0</v>
      </c>
      <c r="I327" s="9">
        <v>19.16</v>
      </c>
      <c r="J327" s="9">
        <v>0</v>
      </c>
      <c r="K327" s="9">
        <v>0</v>
      </c>
      <c r="L327" s="9">
        <v>4</v>
      </c>
      <c r="M327" s="74" t="str">
        <f t="array" ref="M327">_xlfn.TEXTJOIN("-", TRUE, IF(C327:L327&gt;0, $C$2:$L$2, ""))</f>
        <v xml:space="preserve"> Ti-Nb-Sn</v>
      </c>
      <c r="N327" s="90">
        <f t="shared" si="10"/>
        <v>299</v>
      </c>
      <c r="O327" s="91">
        <f t="shared" si="11"/>
        <v>3</v>
      </c>
      <c r="Z327" s="9">
        <v>74</v>
      </c>
      <c r="AQ327" s="94" t="s">
        <v>382</v>
      </c>
    </row>
    <row r="328" spans="1:44" ht="16.5">
      <c r="A328" s="9">
        <v>71</v>
      </c>
      <c r="C328" s="9">
        <v>75.48</v>
      </c>
      <c r="D328">
        <v>0</v>
      </c>
      <c r="E328" s="9">
        <v>0</v>
      </c>
      <c r="F328" s="9">
        <v>0</v>
      </c>
      <c r="G328" s="9">
        <v>0</v>
      </c>
      <c r="H328" s="9">
        <v>0</v>
      </c>
      <c r="I328" s="9">
        <v>19.45</v>
      </c>
      <c r="J328" s="9">
        <v>0</v>
      </c>
      <c r="K328" s="9">
        <v>0</v>
      </c>
      <c r="L328" s="9">
        <v>5.07</v>
      </c>
      <c r="M328" s="74" t="str">
        <f t="array" ref="M328">_xlfn.TEXTJOIN("-", TRUE, IF(C328:L328&gt;0, $C$2:$L$2, ""))</f>
        <v xml:space="preserve"> Ti-Nb-Sn</v>
      </c>
      <c r="N328" s="90">
        <f t="shared" si="10"/>
        <v>299</v>
      </c>
      <c r="O328" s="91">
        <f t="shared" si="11"/>
        <v>3</v>
      </c>
      <c r="Z328" s="9">
        <v>92</v>
      </c>
      <c r="AQ328" s="94" t="s">
        <v>382</v>
      </c>
    </row>
    <row r="329" spans="1:44" ht="16.5">
      <c r="A329" s="9">
        <v>88</v>
      </c>
      <c r="C329" s="9">
        <v>75.64</v>
      </c>
      <c r="D32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22.36</v>
      </c>
      <c r="J329" s="9">
        <v>0</v>
      </c>
      <c r="K329" s="9">
        <v>0</v>
      </c>
      <c r="L329" s="9">
        <v>2</v>
      </c>
      <c r="M329" s="74" t="str">
        <f t="array" ref="M329">_xlfn.TEXTJOIN("-", TRUE, IF(C329:L329&gt;0, $C$2:$L$2, ""))</f>
        <v xml:space="preserve"> Ti-Nb-Sn</v>
      </c>
      <c r="N329" s="90">
        <f t="shared" si="10"/>
        <v>299</v>
      </c>
      <c r="O329" s="91">
        <f t="shared" si="11"/>
        <v>3</v>
      </c>
      <c r="Z329" s="9">
        <v>54.86</v>
      </c>
      <c r="AQ329" s="94" t="s">
        <v>382</v>
      </c>
    </row>
    <row r="330" spans="1:44" ht="16.5">
      <c r="A330" s="9">
        <v>135</v>
      </c>
      <c r="C330" s="9">
        <v>45.74</v>
      </c>
      <c r="D330">
        <v>0</v>
      </c>
      <c r="E330" s="9">
        <v>0</v>
      </c>
      <c r="F330" s="9">
        <v>0</v>
      </c>
      <c r="G330" s="9">
        <v>0</v>
      </c>
      <c r="H330" s="9">
        <v>0</v>
      </c>
      <c r="I330" s="9">
        <v>49.72</v>
      </c>
      <c r="J330" s="9">
        <v>0</v>
      </c>
      <c r="K330" s="9">
        <v>0</v>
      </c>
      <c r="L330" s="9">
        <v>4.54</v>
      </c>
      <c r="M330" s="74" t="str">
        <f t="array" ref="M330">_xlfn.TEXTJOIN("-", TRUE, IF(C330:L330&gt;0, $C$2:$L$2, ""))</f>
        <v xml:space="preserve"> Ti-Nb-Sn</v>
      </c>
      <c r="N330" s="90">
        <f t="shared" si="10"/>
        <v>299</v>
      </c>
      <c r="O330" s="91">
        <f t="shared" si="11"/>
        <v>3</v>
      </c>
      <c r="Z330" s="9">
        <v>63.55</v>
      </c>
      <c r="AQ330" s="94" t="s">
        <v>382</v>
      </c>
    </row>
    <row r="331" spans="1:44" ht="16.5">
      <c r="A331" s="9">
        <v>160</v>
      </c>
      <c r="C331" s="9">
        <v>78.709999999999994</v>
      </c>
      <c r="D331">
        <v>0</v>
      </c>
      <c r="E331" s="9">
        <v>0</v>
      </c>
      <c r="F331" s="9">
        <v>0</v>
      </c>
      <c r="G331" s="9">
        <v>0</v>
      </c>
      <c r="H331" s="9">
        <v>0</v>
      </c>
      <c r="I331" s="9">
        <v>15.84</v>
      </c>
      <c r="J331" s="9">
        <v>0</v>
      </c>
      <c r="K331" s="9">
        <v>0</v>
      </c>
      <c r="L331" s="9">
        <v>5.45</v>
      </c>
      <c r="M331" s="74" t="str">
        <f t="array" ref="M331">_xlfn.TEXTJOIN("-", TRUE, IF(C331:L331&gt;0, $C$2:$L$2, ""))</f>
        <v xml:space="preserve"> Ti-Nb-Sn</v>
      </c>
      <c r="N331" s="90">
        <f t="shared" si="10"/>
        <v>299</v>
      </c>
      <c r="O331" s="91">
        <f t="shared" si="11"/>
        <v>3</v>
      </c>
      <c r="Z331" s="9">
        <v>55</v>
      </c>
      <c r="AQ331" s="94" t="s">
        <v>382</v>
      </c>
    </row>
    <row r="332" spans="1:44" ht="16.5">
      <c r="A332" s="9">
        <v>170</v>
      </c>
      <c r="C332" s="9">
        <v>79.349999999999994</v>
      </c>
      <c r="D332">
        <v>0</v>
      </c>
      <c r="E332" s="9">
        <v>0</v>
      </c>
      <c r="F332" s="9">
        <v>0</v>
      </c>
      <c r="G332" s="9">
        <v>0</v>
      </c>
      <c r="H332" s="9">
        <v>0</v>
      </c>
      <c r="I332" s="9">
        <v>15.73</v>
      </c>
      <c r="J332" s="9">
        <v>0</v>
      </c>
      <c r="K332" s="9">
        <v>0</v>
      </c>
      <c r="L332" s="9">
        <v>4.92</v>
      </c>
      <c r="M332" s="74" t="str">
        <f t="array" ref="M332">_xlfn.TEXTJOIN("-", TRUE, IF(C332:L332&gt;0, $C$2:$L$2, ""))</f>
        <v xml:space="preserve"> Ti-Nb-Sn</v>
      </c>
      <c r="N332" s="90">
        <f t="shared" si="10"/>
        <v>299</v>
      </c>
      <c r="O332" s="91">
        <f t="shared" si="11"/>
        <v>3</v>
      </c>
      <c r="Z332" s="9">
        <v>72</v>
      </c>
      <c r="AQ332" s="94" t="s">
        <v>382</v>
      </c>
    </row>
    <row r="333" spans="1:44" ht="16.5">
      <c r="A333" s="9">
        <v>171</v>
      </c>
      <c r="C333" s="9">
        <v>80.62</v>
      </c>
      <c r="D333">
        <v>0</v>
      </c>
      <c r="E333" s="9">
        <v>0</v>
      </c>
      <c r="F333" s="9">
        <v>0</v>
      </c>
      <c r="G333" s="9">
        <v>0</v>
      </c>
      <c r="H333" s="9">
        <v>0</v>
      </c>
      <c r="I333" s="9">
        <v>15.5</v>
      </c>
      <c r="J333" s="9">
        <v>0</v>
      </c>
      <c r="K333" s="9">
        <v>0</v>
      </c>
      <c r="L333" s="9">
        <v>3.88</v>
      </c>
      <c r="M333" s="74" t="str">
        <f t="array" ref="M333">_xlfn.TEXTJOIN("-", TRUE, IF(C333:L333&gt;0, $C$2:$L$2, ""))</f>
        <v xml:space="preserve"> Ti-Nb-Sn</v>
      </c>
      <c r="N333" s="90">
        <f t="shared" si="10"/>
        <v>299</v>
      </c>
      <c r="O333" s="91">
        <f t="shared" si="11"/>
        <v>3</v>
      </c>
      <c r="Z333" s="9">
        <v>52</v>
      </c>
      <c r="AQ333" s="94" t="s">
        <v>382</v>
      </c>
    </row>
    <row r="334" spans="1:44" ht="16.5">
      <c r="A334" s="9">
        <v>174</v>
      </c>
      <c r="C334" s="9">
        <v>79.989999999999995</v>
      </c>
      <c r="D334">
        <v>0</v>
      </c>
      <c r="E334" s="9">
        <v>0</v>
      </c>
      <c r="F334" s="9">
        <v>0</v>
      </c>
      <c r="G334" s="9">
        <v>0</v>
      </c>
      <c r="H334" s="9">
        <v>0</v>
      </c>
      <c r="I334" s="9">
        <v>15.61</v>
      </c>
      <c r="J334" s="9">
        <v>0</v>
      </c>
      <c r="K334" s="9">
        <v>0</v>
      </c>
      <c r="L334" s="9">
        <v>4.4000000000000004</v>
      </c>
      <c r="M334" s="74" t="str">
        <f t="array" ref="M334">_xlfn.TEXTJOIN("-", TRUE, IF(C334:L334&gt;0, $C$2:$L$2, ""))</f>
        <v xml:space="preserve"> Ti-Nb-Sn</v>
      </c>
      <c r="N334" s="90">
        <f t="shared" si="10"/>
        <v>299</v>
      </c>
      <c r="O334" s="91">
        <f t="shared" si="11"/>
        <v>3</v>
      </c>
      <c r="Z334" s="9">
        <v>53</v>
      </c>
      <c r="AQ334" s="94" t="s">
        <v>382</v>
      </c>
    </row>
    <row r="335" spans="1:44" ht="16.5">
      <c r="A335" s="9">
        <v>183</v>
      </c>
      <c r="C335" s="9">
        <v>72.91</v>
      </c>
      <c r="D335">
        <v>0</v>
      </c>
      <c r="E335" s="9">
        <v>0</v>
      </c>
      <c r="F335" s="9">
        <v>0</v>
      </c>
      <c r="G335" s="9">
        <v>0</v>
      </c>
      <c r="H335" s="9">
        <v>0</v>
      </c>
      <c r="I335" s="9">
        <v>23.03</v>
      </c>
      <c r="J335" s="9">
        <v>0</v>
      </c>
      <c r="K335" s="9">
        <v>0</v>
      </c>
      <c r="L335" s="9">
        <v>4.0599999999999996</v>
      </c>
      <c r="M335" s="74" t="str">
        <f t="array" ref="M335">_xlfn.TEXTJOIN("-", TRUE, IF(C335:L335&gt;0, $C$2:$L$2, ""))</f>
        <v xml:space="preserve"> Ti-Nb-Sn</v>
      </c>
      <c r="N335" s="90">
        <f t="shared" si="10"/>
        <v>299</v>
      </c>
      <c r="O335" s="91">
        <f t="shared" si="11"/>
        <v>3</v>
      </c>
      <c r="Z335" s="9">
        <v>61</v>
      </c>
      <c r="AQ335" s="94" t="s">
        <v>382</v>
      </c>
    </row>
    <row r="336" spans="1:44" ht="16.5">
      <c r="A336" s="9">
        <v>184</v>
      </c>
      <c r="C336" s="9">
        <v>76.98</v>
      </c>
      <c r="D336">
        <v>0</v>
      </c>
      <c r="E336" s="9">
        <v>0</v>
      </c>
      <c r="F336" s="9">
        <v>0</v>
      </c>
      <c r="G336" s="9">
        <v>0</v>
      </c>
      <c r="H336" s="9">
        <v>0</v>
      </c>
      <c r="I336" s="9">
        <v>22.03</v>
      </c>
      <c r="J336" s="9">
        <v>0</v>
      </c>
      <c r="K336" s="9">
        <v>0</v>
      </c>
      <c r="L336" s="9">
        <v>0.99</v>
      </c>
      <c r="M336" s="74" t="str">
        <f t="array" ref="M336">_xlfn.TEXTJOIN("-", TRUE, IF(C336:L336&gt;0, $C$2:$L$2, ""))</f>
        <v xml:space="preserve"> Ti-Nb-Sn</v>
      </c>
      <c r="N336" s="90">
        <f t="shared" si="10"/>
        <v>299</v>
      </c>
      <c r="O336" s="91">
        <f t="shared" si="11"/>
        <v>3</v>
      </c>
      <c r="Z336" s="9">
        <v>51</v>
      </c>
      <c r="AQ336" s="94" t="s">
        <v>382</v>
      </c>
    </row>
    <row r="337" spans="1:44" ht="16.5">
      <c r="A337" s="12">
        <v>16</v>
      </c>
      <c r="B337" s="12"/>
      <c r="C337" s="12">
        <v>90</v>
      </c>
      <c r="D337" s="12">
        <v>6</v>
      </c>
      <c r="E337" s="12">
        <v>0</v>
      </c>
      <c r="F337" s="12">
        <v>0</v>
      </c>
      <c r="G337" s="12">
        <v>4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74" t="str">
        <f t="array" ref="M337">_xlfn.TEXTJOIN("-", TRUE, IF(C337:L337&gt;0, $C$2:$L$2, ""))</f>
        <v xml:space="preserve"> Ti-Al-V</v>
      </c>
      <c r="N337" s="90">
        <f t="shared" si="10"/>
        <v>337</v>
      </c>
      <c r="O337" s="91">
        <f t="shared" si="11"/>
        <v>3</v>
      </c>
      <c r="P337" s="12">
        <v>1</v>
      </c>
      <c r="Q337" s="12">
        <v>1</v>
      </c>
      <c r="R337" s="12"/>
      <c r="S337" s="12"/>
      <c r="T337" s="12"/>
      <c r="U337" s="12"/>
      <c r="V337" s="12"/>
      <c r="W337" s="12"/>
      <c r="X337" s="12"/>
      <c r="Y337" s="12"/>
      <c r="Z337" s="12">
        <v>113</v>
      </c>
      <c r="AA337" s="12"/>
      <c r="AB337" s="12">
        <v>1173</v>
      </c>
      <c r="AC337" s="12">
        <v>999</v>
      </c>
      <c r="AD337" s="12">
        <v>6</v>
      </c>
      <c r="AE337" s="12"/>
      <c r="AF337" s="12"/>
      <c r="AG337" s="12"/>
      <c r="AH337" s="12"/>
      <c r="AI337" s="12"/>
      <c r="AJ337" s="12"/>
      <c r="AK337" s="12"/>
      <c r="AL337" s="12"/>
      <c r="AM337" s="12"/>
      <c r="AN337" s="12" t="s">
        <v>454</v>
      </c>
      <c r="AO337" s="12" t="s">
        <v>455</v>
      </c>
      <c r="AP337" s="12">
        <v>4</v>
      </c>
      <c r="AQ337" s="12" t="s">
        <v>374</v>
      </c>
      <c r="AR337" s="12">
        <v>16</v>
      </c>
    </row>
    <row r="338" spans="1:44" ht="16.5">
      <c r="A338" s="10">
        <v>26</v>
      </c>
      <c r="B338" s="10"/>
      <c r="C338" s="10">
        <v>90</v>
      </c>
      <c r="D338" s="10">
        <v>5.9</v>
      </c>
      <c r="E338" s="10">
        <v>0</v>
      </c>
      <c r="F338" s="10">
        <v>0</v>
      </c>
      <c r="G338" s="10">
        <v>4.0999999999999996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74" t="str">
        <f t="array" ref="M338">_xlfn.TEXTJOIN("-", TRUE, IF(C338:L338&gt;0, $C$2:$L$2, ""))</f>
        <v xml:space="preserve"> Ti-Al-V</v>
      </c>
      <c r="N338" s="90">
        <f t="shared" si="10"/>
        <v>337</v>
      </c>
      <c r="O338" s="91">
        <f t="shared" si="11"/>
        <v>3</v>
      </c>
      <c r="P338" s="10" t="s">
        <v>81</v>
      </c>
      <c r="Q338" s="10" t="s">
        <v>81</v>
      </c>
      <c r="R338" s="10" t="s">
        <v>81</v>
      </c>
      <c r="S338" s="10" t="s">
        <v>81</v>
      </c>
      <c r="T338" s="10">
        <v>700</v>
      </c>
      <c r="U338" s="10">
        <v>4</v>
      </c>
      <c r="V338" s="10" t="s">
        <v>81</v>
      </c>
      <c r="W338" s="10">
        <v>0</v>
      </c>
      <c r="X338" s="10">
        <v>0</v>
      </c>
      <c r="Y338" s="10">
        <v>0</v>
      </c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>
        <v>53.3</v>
      </c>
      <c r="AM338" s="10"/>
      <c r="AN338" s="11"/>
      <c r="AO338" s="11" t="s">
        <v>198</v>
      </c>
      <c r="AP338" s="10">
        <v>5</v>
      </c>
      <c r="AQ338" s="10" t="s">
        <v>83</v>
      </c>
      <c r="AR338" s="10">
        <v>26</v>
      </c>
    </row>
    <row r="339" spans="1:44" ht="16.5">
      <c r="A339" s="10">
        <v>27</v>
      </c>
      <c r="B339" s="10"/>
      <c r="C339" s="10">
        <v>90</v>
      </c>
      <c r="D339" s="10">
        <v>5.9</v>
      </c>
      <c r="E339" s="10">
        <v>0</v>
      </c>
      <c r="F339" s="10">
        <v>0</v>
      </c>
      <c r="G339" s="10">
        <v>4.0999999999999996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74" t="str">
        <f t="array" ref="M339">_xlfn.TEXTJOIN("-", TRUE, IF(C339:L339&gt;0, $C$2:$L$2, ""))</f>
        <v xml:space="preserve"> Ti-Al-V</v>
      </c>
      <c r="N339" s="90">
        <f t="shared" si="10"/>
        <v>337</v>
      </c>
      <c r="O339" s="91">
        <f t="shared" si="11"/>
        <v>3</v>
      </c>
      <c r="P339" s="10" t="s">
        <v>81</v>
      </c>
      <c r="Q339" s="10" t="s">
        <v>81</v>
      </c>
      <c r="R339" s="10" t="s">
        <v>81</v>
      </c>
      <c r="S339" s="10" t="s">
        <v>81</v>
      </c>
      <c r="T339" s="10">
        <v>700</v>
      </c>
      <c r="U339" s="10">
        <v>4</v>
      </c>
      <c r="V339" s="10" t="s">
        <v>81</v>
      </c>
      <c r="W339" s="10">
        <v>0</v>
      </c>
      <c r="X339" s="10">
        <v>0</v>
      </c>
      <c r="Y339" s="10">
        <v>0</v>
      </c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>
        <v>45.7</v>
      </c>
      <c r="AM339" s="10"/>
      <c r="AN339" s="11"/>
      <c r="AO339" s="11" t="s">
        <v>198</v>
      </c>
      <c r="AP339" s="10">
        <v>5</v>
      </c>
      <c r="AQ339" s="10" t="s">
        <v>83</v>
      </c>
      <c r="AR339" s="10">
        <v>27</v>
      </c>
    </row>
    <row r="340" spans="1:44" ht="16.5">
      <c r="A340" s="10">
        <v>28</v>
      </c>
      <c r="B340" s="10"/>
      <c r="C340" s="10">
        <v>90</v>
      </c>
      <c r="D340" s="10">
        <v>5.9</v>
      </c>
      <c r="E340" s="10">
        <v>0</v>
      </c>
      <c r="F340" s="10">
        <v>0</v>
      </c>
      <c r="G340" s="10">
        <v>4.0999999999999996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74" t="str">
        <f t="array" ref="M340">_xlfn.TEXTJOIN("-", TRUE, IF(C340:L340&gt;0, $C$2:$L$2, ""))</f>
        <v xml:space="preserve"> Ti-Al-V</v>
      </c>
      <c r="N340" s="90">
        <f t="shared" si="10"/>
        <v>337</v>
      </c>
      <c r="O340" s="91">
        <f t="shared" si="11"/>
        <v>3</v>
      </c>
      <c r="P340" s="10" t="s">
        <v>81</v>
      </c>
      <c r="Q340" s="10" t="s">
        <v>81</v>
      </c>
      <c r="R340" s="10" t="s">
        <v>81</v>
      </c>
      <c r="S340" s="10" t="s">
        <v>81</v>
      </c>
      <c r="T340" s="10">
        <v>700</v>
      </c>
      <c r="U340" s="10">
        <v>4</v>
      </c>
      <c r="V340" s="10" t="s">
        <v>81</v>
      </c>
      <c r="W340" s="10">
        <v>0</v>
      </c>
      <c r="X340" s="10">
        <v>0</v>
      </c>
      <c r="Y340" s="10">
        <v>0</v>
      </c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>
        <v>21.2</v>
      </c>
      <c r="AM340" s="10"/>
      <c r="AN340" s="11"/>
      <c r="AO340" s="11" t="s">
        <v>198</v>
      </c>
      <c r="AP340" s="10">
        <v>5</v>
      </c>
      <c r="AQ340" s="10" t="s">
        <v>83</v>
      </c>
      <c r="AR340" s="10">
        <v>28</v>
      </c>
    </row>
    <row r="341" spans="1:44" ht="16.5">
      <c r="A341" s="93">
        <v>36</v>
      </c>
      <c r="B341" s="93" t="s">
        <v>101</v>
      </c>
      <c r="C341" s="93">
        <v>72.959999999999994</v>
      </c>
      <c r="D341" s="93">
        <v>5.2</v>
      </c>
      <c r="E341" s="93">
        <v>0</v>
      </c>
      <c r="F341" s="93">
        <v>0</v>
      </c>
      <c r="G341" s="93">
        <v>21.67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74" t="str">
        <f t="array" ref="M341">_xlfn.TEXTJOIN("-", TRUE, IF(C341:L341&gt;0, $C$2:$L$2, ""))</f>
        <v xml:space="preserve"> Ti-Al-V</v>
      </c>
      <c r="N341" s="90">
        <f t="shared" si="10"/>
        <v>337</v>
      </c>
      <c r="O341" s="91">
        <f t="shared" si="11"/>
        <v>3</v>
      </c>
      <c r="P341" s="93">
        <v>1</v>
      </c>
      <c r="Q341" s="93">
        <v>0</v>
      </c>
      <c r="R341" s="93">
        <v>0</v>
      </c>
      <c r="S341" s="93">
        <v>0</v>
      </c>
      <c r="T341" s="94">
        <v>900</v>
      </c>
      <c r="U341" s="94">
        <v>0.5</v>
      </c>
      <c r="V341" s="8">
        <v>1</v>
      </c>
      <c r="W341" s="94">
        <v>600</v>
      </c>
      <c r="X341" s="94">
        <v>4</v>
      </c>
      <c r="Y341" s="103">
        <v>2</v>
      </c>
      <c r="Z341" s="9" t="s">
        <v>102</v>
      </c>
      <c r="AA341" s="9" t="s">
        <v>102</v>
      </c>
      <c r="AB341" s="93">
        <v>1076.67</v>
      </c>
      <c r="AC341" s="93">
        <v>956.67</v>
      </c>
      <c r="AD341" s="93">
        <v>19.5</v>
      </c>
      <c r="AE341" s="9" t="s">
        <v>101</v>
      </c>
      <c r="AF341" s="9" t="s">
        <v>102</v>
      </c>
      <c r="AG341" s="9" t="s">
        <v>102</v>
      </c>
      <c r="AH341" s="9" t="s">
        <v>102</v>
      </c>
      <c r="AI341" s="9" t="s">
        <v>102</v>
      </c>
      <c r="AJ341" s="9" t="s">
        <v>102</v>
      </c>
      <c r="AK341" s="9" t="s">
        <v>102</v>
      </c>
      <c r="AL341" s="9" t="s">
        <v>102</v>
      </c>
      <c r="AN341" s="12" t="s">
        <v>101</v>
      </c>
      <c r="AO341" s="12" t="s">
        <v>103</v>
      </c>
      <c r="AP341" s="94">
        <v>36</v>
      </c>
      <c r="AQ341" s="94" t="s">
        <v>100</v>
      </c>
      <c r="AR341" s="93">
        <v>36</v>
      </c>
    </row>
    <row r="342" spans="1:44" ht="16.5">
      <c r="A342" s="93">
        <v>37</v>
      </c>
      <c r="B342" s="93" t="s">
        <v>101</v>
      </c>
      <c r="C342" s="93">
        <v>72.959999999999994</v>
      </c>
      <c r="D342" s="93">
        <v>5.2</v>
      </c>
      <c r="E342" s="93">
        <v>0</v>
      </c>
      <c r="F342" s="93">
        <v>0</v>
      </c>
      <c r="G342" s="93">
        <v>21.67</v>
      </c>
      <c r="H342" s="93">
        <v>0</v>
      </c>
      <c r="I342" s="93">
        <v>0</v>
      </c>
      <c r="J342" s="93">
        <v>0</v>
      </c>
      <c r="K342" s="93">
        <v>0</v>
      </c>
      <c r="L342" s="93">
        <v>0</v>
      </c>
      <c r="M342" s="74" t="str">
        <f t="array" ref="M342">_xlfn.TEXTJOIN("-", TRUE, IF(C342:L342&gt;0, $C$2:$L$2, ""))</f>
        <v xml:space="preserve"> Ti-Al-V</v>
      </c>
      <c r="N342" s="90">
        <f t="shared" si="10"/>
        <v>337</v>
      </c>
      <c r="O342" s="91">
        <f t="shared" si="11"/>
        <v>3</v>
      </c>
      <c r="P342" s="93">
        <v>1</v>
      </c>
      <c r="Q342" s="93">
        <v>0</v>
      </c>
      <c r="R342" s="93">
        <v>0</v>
      </c>
      <c r="S342" s="93">
        <v>0</v>
      </c>
      <c r="T342" s="94">
        <v>900</v>
      </c>
      <c r="U342" s="94">
        <v>0.5</v>
      </c>
      <c r="V342" s="8">
        <v>1</v>
      </c>
      <c r="W342" s="94">
        <v>700</v>
      </c>
      <c r="X342" s="94">
        <v>4</v>
      </c>
      <c r="Y342" s="103">
        <v>2</v>
      </c>
      <c r="Z342" s="9" t="s">
        <v>102</v>
      </c>
      <c r="AA342" s="9" t="s">
        <v>102</v>
      </c>
      <c r="AB342" s="93">
        <v>875</v>
      </c>
      <c r="AC342" s="93">
        <v>816.67</v>
      </c>
      <c r="AD342" s="93">
        <v>15.83</v>
      </c>
      <c r="AE342" s="9" t="s">
        <v>101</v>
      </c>
      <c r="AF342" s="9" t="s">
        <v>102</v>
      </c>
      <c r="AG342" s="9" t="s">
        <v>102</v>
      </c>
      <c r="AH342" s="9" t="s">
        <v>102</v>
      </c>
      <c r="AI342" s="9" t="s">
        <v>102</v>
      </c>
      <c r="AJ342" s="9" t="s">
        <v>102</v>
      </c>
      <c r="AK342" s="9" t="s">
        <v>102</v>
      </c>
      <c r="AL342" s="9" t="s">
        <v>102</v>
      </c>
      <c r="AN342" s="12" t="s">
        <v>101</v>
      </c>
      <c r="AO342" s="12" t="s">
        <v>103</v>
      </c>
      <c r="AP342" s="94">
        <v>37</v>
      </c>
      <c r="AQ342" s="94" t="s">
        <v>100</v>
      </c>
      <c r="AR342" s="93">
        <v>37</v>
      </c>
    </row>
    <row r="343" spans="1:44" ht="16.5">
      <c r="A343" s="93">
        <v>376</v>
      </c>
      <c r="B343" s="93" t="s">
        <v>113</v>
      </c>
      <c r="C343" s="94">
        <v>86.2</v>
      </c>
      <c r="D343" s="94">
        <v>10.199999999999999</v>
      </c>
      <c r="E343" s="94">
        <v>0</v>
      </c>
      <c r="F343" s="94">
        <v>0</v>
      </c>
      <c r="G343" s="94">
        <v>3.5999999999999996</v>
      </c>
      <c r="H343" s="94">
        <v>0</v>
      </c>
      <c r="I343" s="94">
        <v>0</v>
      </c>
      <c r="J343" s="94">
        <v>0</v>
      </c>
      <c r="K343" s="94">
        <v>0</v>
      </c>
      <c r="L343" s="94">
        <v>0</v>
      </c>
      <c r="M343" s="74" t="str">
        <f t="array" ref="M343">_xlfn.TEXTJOIN("-", TRUE, IF(C343:L343&gt;0, $C$2:$L$2, ""))</f>
        <v xml:space="preserve"> Ti-Al-V</v>
      </c>
      <c r="N343" s="90">
        <f t="shared" si="10"/>
        <v>337</v>
      </c>
      <c r="O343" s="91">
        <f t="shared" si="11"/>
        <v>3</v>
      </c>
      <c r="P343" s="94">
        <v>1</v>
      </c>
      <c r="Q343" s="94">
        <v>1</v>
      </c>
      <c r="R343" s="93" t="s">
        <v>113</v>
      </c>
      <c r="S343" s="93" t="s">
        <v>113</v>
      </c>
      <c r="T343" s="93" t="s">
        <v>113</v>
      </c>
      <c r="U343" s="93" t="s">
        <v>113</v>
      </c>
      <c r="V343" s="93">
        <v>2</v>
      </c>
      <c r="W343" s="93" t="s">
        <v>113</v>
      </c>
      <c r="X343" s="93" t="s">
        <v>113</v>
      </c>
      <c r="Y343" s="93" t="s">
        <v>113</v>
      </c>
      <c r="Z343" s="94">
        <v>110</v>
      </c>
      <c r="AA343" s="93" t="s">
        <v>113</v>
      </c>
      <c r="AB343" s="93" t="s">
        <v>113</v>
      </c>
      <c r="AC343" s="94">
        <v>760</v>
      </c>
      <c r="AD343" s="93" t="s">
        <v>113</v>
      </c>
      <c r="AE343" s="93" t="s">
        <v>113</v>
      </c>
      <c r="AF343" s="93" t="s">
        <v>113</v>
      </c>
      <c r="AG343" s="93" t="s">
        <v>113</v>
      </c>
      <c r="AH343" s="93" t="s">
        <v>113</v>
      </c>
      <c r="AI343" s="93" t="s">
        <v>113</v>
      </c>
      <c r="AJ343" s="93" t="s">
        <v>113</v>
      </c>
      <c r="AK343" s="93" t="s">
        <v>113</v>
      </c>
      <c r="AL343" s="93" t="s">
        <v>113</v>
      </c>
      <c r="AM343" s="93"/>
      <c r="AN343" s="93" t="s">
        <v>113</v>
      </c>
      <c r="AO343" s="93" t="s">
        <v>114</v>
      </c>
      <c r="AP343" s="94">
        <v>376</v>
      </c>
      <c r="AQ343" s="94" t="s">
        <v>100</v>
      </c>
      <c r="AR343" s="93">
        <v>376</v>
      </c>
    </row>
    <row r="344" spans="1:44" ht="16.5">
      <c r="A344" s="12">
        <v>38</v>
      </c>
      <c r="B344" s="12"/>
      <c r="C344" s="12">
        <v>89</v>
      </c>
      <c r="D344" s="12">
        <v>0</v>
      </c>
      <c r="E344" s="12">
        <v>0</v>
      </c>
      <c r="F344" s="12">
        <v>8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3</v>
      </c>
      <c r="M344" s="74" t="str">
        <f t="array" ref="M344">_xlfn.TEXTJOIN("-", TRUE, IF(C344:L344&gt;0, $C$2:$L$2, ""))</f>
        <v xml:space="preserve"> Ti-Mo-Sn</v>
      </c>
      <c r="N344" s="90">
        <f t="shared" si="10"/>
        <v>344</v>
      </c>
      <c r="O344" s="91">
        <f t="shared" si="11"/>
        <v>3</v>
      </c>
      <c r="P344" s="12">
        <v>1</v>
      </c>
      <c r="Q344" s="12">
        <v>1</v>
      </c>
      <c r="R344" s="12">
        <v>20</v>
      </c>
      <c r="S344" s="12">
        <v>94</v>
      </c>
      <c r="T344" s="12">
        <v>900</v>
      </c>
      <c r="U344" s="12">
        <v>0.5</v>
      </c>
      <c r="V344" s="12">
        <v>1</v>
      </c>
      <c r="W344" s="12"/>
      <c r="X344" s="12"/>
      <c r="Y344" s="12"/>
      <c r="Z344" s="12">
        <v>66.900000000000006</v>
      </c>
      <c r="AA344" s="12"/>
      <c r="AB344" s="12">
        <v>768</v>
      </c>
      <c r="AC344" s="12">
        <v>365</v>
      </c>
      <c r="AD344" s="12">
        <v>30.29</v>
      </c>
      <c r="AE344" s="12"/>
      <c r="AF344" s="12"/>
      <c r="AG344" s="12"/>
      <c r="AH344" s="12"/>
      <c r="AI344" s="12"/>
      <c r="AJ344" s="12"/>
      <c r="AK344" s="12"/>
      <c r="AL344" s="12"/>
      <c r="AM344" s="12"/>
      <c r="AN344" s="12" t="s">
        <v>456</v>
      </c>
      <c r="AO344" s="12" t="s">
        <v>388</v>
      </c>
      <c r="AP344" s="12">
        <v>6</v>
      </c>
      <c r="AQ344" s="12" t="s">
        <v>374</v>
      </c>
      <c r="AR344" s="12">
        <v>38</v>
      </c>
    </row>
    <row r="345" spans="1:44" ht="16.5">
      <c r="A345" s="12">
        <v>39</v>
      </c>
      <c r="B345" s="12"/>
      <c r="C345" s="12">
        <v>87</v>
      </c>
      <c r="D345" s="12">
        <v>0</v>
      </c>
      <c r="E345" s="12">
        <v>0</v>
      </c>
      <c r="F345" s="12">
        <v>8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5</v>
      </c>
      <c r="M345" s="74" t="str">
        <f t="array" ref="M345">_xlfn.TEXTJOIN("-", TRUE, IF(C345:L345&gt;0, $C$2:$L$2, ""))</f>
        <v xml:space="preserve"> Ti-Mo-Sn</v>
      </c>
      <c r="N345" s="90">
        <f t="shared" si="10"/>
        <v>344</v>
      </c>
      <c r="O345" s="91">
        <f t="shared" si="11"/>
        <v>3</v>
      </c>
      <c r="P345" s="12">
        <v>1</v>
      </c>
      <c r="Q345" s="12">
        <v>1</v>
      </c>
      <c r="R345" s="12">
        <v>20</v>
      </c>
      <c r="S345" s="12">
        <v>94</v>
      </c>
      <c r="T345" s="12">
        <v>900</v>
      </c>
      <c r="U345" s="12">
        <v>0.5</v>
      </c>
      <c r="V345" s="12">
        <v>1</v>
      </c>
      <c r="W345" s="12"/>
      <c r="X345" s="12"/>
      <c r="Y345" s="12"/>
      <c r="Z345" s="12">
        <v>74.8</v>
      </c>
      <c r="AA345" s="12"/>
      <c r="AB345" s="12">
        <v>743</v>
      </c>
      <c r="AC345" s="12">
        <v>361</v>
      </c>
      <c r="AD345" s="12">
        <v>29.44</v>
      </c>
      <c r="AE345" s="12"/>
      <c r="AF345" s="12"/>
      <c r="AG345" s="12"/>
      <c r="AH345" s="12"/>
      <c r="AI345" s="12"/>
      <c r="AJ345" s="12"/>
      <c r="AK345" s="12"/>
      <c r="AL345" s="12"/>
      <c r="AM345" s="12"/>
      <c r="AN345" s="12" t="s">
        <v>457</v>
      </c>
      <c r="AO345" s="12" t="s">
        <v>388</v>
      </c>
      <c r="AP345" s="12">
        <v>6</v>
      </c>
      <c r="AQ345" s="12" t="s">
        <v>374</v>
      </c>
      <c r="AR345" s="12">
        <v>39</v>
      </c>
    </row>
    <row r="346" spans="1:44" ht="16.5">
      <c r="A346" s="12">
        <v>40</v>
      </c>
      <c r="B346" s="12"/>
      <c r="C346" s="12">
        <v>85</v>
      </c>
      <c r="D346" s="12">
        <v>0</v>
      </c>
      <c r="E346" s="12">
        <v>0</v>
      </c>
      <c r="F346" s="12">
        <v>8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7</v>
      </c>
      <c r="M346" s="74" t="str">
        <f t="array" ref="M346">_xlfn.TEXTJOIN("-", TRUE, IF(C346:L346&gt;0, $C$2:$L$2, ""))</f>
        <v xml:space="preserve"> Ti-Mo-Sn</v>
      </c>
      <c r="N346" s="90">
        <f t="shared" si="10"/>
        <v>344</v>
      </c>
      <c r="O346" s="91">
        <f t="shared" si="11"/>
        <v>3</v>
      </c>
      <c r="P346" s="12">
        <v>1</v>
      </c>
      <c r="Q346" s="12">
        <v>1</v>
      </c>
      <c r="R346" s="12">
        <v>20</v>
      </c>
      <c r="S346" s="12">
        <v>94</v>
      </c>
      <c r="T346" s="12">
        <v>900</v>
      </c>
      <c r="U346" s="12">
        <v>0.5</v>
      </c>
      <c r="V346" s="12">
        <v>1</v>
      </c>
      <c r="W346" s="12"/>
      <c r="X346" s="12"/>
      <c r="Y346" s="12"/>
      <c r="Z346" s="12">
        <v>76.8</v>
      </c>
      <c r="AA346" s="12"/>
      <c r="AB346" s="12">
        <v>738</v>
      </c>
      <c r="AC346" s="12">
        <v>335</v>
      </c>
      <c r="AD346" s="12">
        <v>24.527000000000001</v>
      </c>
      <c r="AE346" s="12"/>
      <c r="AF346" s="12"/>
      <c r="AG346" s="12"/>
      <c r="AH346" s="12"/>
      <c r="AI346" s="12"/>
      <c r="AJ346" s="12"/>
      <c r="AK346" s="12"/>
      <c r="AL346" s="12"/>
      <c r="AM346" s="12"/>
      <c r="AN346" s="12" t="s">
        <v>458</v>
      </c>
      <c r="AO346" s="12" t="s">
        <v>388</v>
      </c>
      <c r="AP346" s="12">
        <v>6</v>
      </c>
      <c r="AQ346" s="12" t="s">
        <v>374</v>
      </c>
      <c r="AR346" s="12">
        <v>40</v>
      </c>
    </row>
    <row r="347" spans="1:44" ht="16.5">
      <c r="A347" s="12">
        <v>41</v>
      </c>
      <c r="B347" s="12"/>
      <c r="C347" s="12">
        <v>83</v>
      </c>
      <c r="D347" s="12">
        <v>0</v>
      </c>
      <c r="E347" s="12">
        <v>0</v>
      </c>
      <c r="F347" s="12">
        <v>8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9</v>
      </c>
      <c r="M347" s="74" t="str">
        <f t="array" ref="M347">_xlfn.TEXTJOIN("-", TRUE, IF(C347:L347&gt;0, $C$2:$L$2, ""))</f>
        <v xml:space="preserve"> Ti-Mo-Sn</v>
      </c>
      <c r="N347" s="90">
        <f t="shared" si="10"/>
        <v>344</v>
      </c>
      <c r="O347" s="91">
        <f t="shared" si="11"/>
        <v>3</v>
      </c>
      <c r="P347" s="12">
        <v>1</v>
      </c>
      <c r="Q347" s="12">
        <v>1</v>
      </c>
      <c r="R347" s="12">
        <v>20</v>
      </c>
      <c r="S347" s="12">
        <v>94</v>
      </c>
      <c r="T347" s="12">
        <v>900</v>
      </c>
      <c r="U347" s="12">
        <v>0.5</v>
      </c>
      <c r="V347" s="12">
        <v>1</v>
      </c>
      <c r="W347" s="12"/>
      <c r="X347" s="12"/>
      <c r="Y347" s="12"/>
      <c r="Z347" s="12">
        <v>68.7</v>
      </c>
      <c r="AA347" s="12"/>
      <c r="AB347" s="12">
        <v>813</v>
      </c>
      <c r="AC347" s="12">
        <v>303</v>
      </c>
      <c r="AD347" s="12">
        <v>10.81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 t="s">
        <v>459</v>
      </c>
      <c r="AO347" s="12" t="s">
        <v>388</v>
      </c>
      <c r="AP347" s="12">
        <v>6</v>
      </c>
      <c r="AQ347" s="12" t="s">
        <v>374</v>
      </c>
      <c r="AR347" s="12">
        <v>41</v>
      </c>
    </row>
    <row r="348" spans="1:44" ht="16.5">
      <c r="A348" s="12">
        <v>42</v>
      </c>
      <c r="B348" s="12"/>
      <c r="C348" s="12">
        <v>81</v>
      </c>
      <c r="D348" s="12">
        <v>0</v>
      </c>
      <c r="E348" s="12">
        <v>0</v>
      </c>
      <c r="F348" s="12">
        <v>8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11</v>
      </c>
      <c r="M348" s="74" t="str">
        <f t="array" ref="M348">_xlfn.TEXTJOIN("-", TRUE, IF(C348:L348&gt;0, $C$2:$L$2, ""))</f>
        <v xml:space="preserve"> Ti-Mo-Sn</v>
      </c>
      <c r="N348" s="90">
        <f t="shared" si="10"/>
        <v>344</v>
      </c>
      <c r="O348" s="91">
        <f t="shared" si="11"/>
        <v>3</v>
      </c>
      <c r="P348" s="12">
        <v>1</v>
      </c>
      <c r="Q348" s="12">
        <v>1</v>
      </c>
      <c r="R348" s="12">
        <v>20</v>
      </c>
      <c r="S348" s="12">
        <v>94</v>
      </c>
      <c r="T348" s="12">
        <v>900</v>
      </c>
      <c r="U348" s="12">
        <v>0.5</v>
      </c>
      <c r="V348" s="12">
        <v>1</v>
      </c>
      <c r="W348" s="12"/>
      <c r="X348" s="12"/>
      <c r="Y348" s="12"/>
      <c r="Z348" s="12">
        <v>58.4</v>
      </c>
      <c r="AA348" s="12"/>
      <c r="AB348" s="12">
        <v>827</v>
      </c>
      <c r="AC348" s="12">
        <v>193</v>
      </c>
      <c r="AD348" s="12">
        <v>6.44</v>
      </c>
      <c r="AE348" s="12"/>
      <c r="AF348" s="12"/>
      <c r="AG348" s="12"/>
      <c r="AH348" s="12"/>
      <c r="AI348" s="12"/>
      <c r="AJ348" s="12"/>
      <c r="AK348" s="12"/>
      <c r="AL348" s="12"/>
      <c r="AM348" s="12"/>
      <c r="AN348" s="12" t="s">
        <v>460</v>
      </c>
      <c r="AO348" s="12" t="s">
        <v>388</v>
      </c>
      <c r="AP348" s="12">
        <v>6</v>
      </c>
      <c r="AQ348" s="12" t="s">
        <v>374</v>
      </c>
      <c r="AR348" s="12">
        <v>42</v>
      </c>
    </row>
    <row r="349" spans="1:44" ht="16.5">
      <c r="A349" s="12">
        <v>43</v>
      </c>
      <c r="B349" s="12"/>
      <c r="C349" s="12">
        <v>79</v>
      </c>
      <c r="D349" s="12">
        <v>0</v>
      </c>
      <c r="E349" s="12">
        <v>0</v>
      </c>
      <c r="F349" s="12">
        <v>8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13</v>
      </c>
      <c r="M349" s="74" t="str">
        <f t="array" ref="M349">_xlfn.TEXTJOIN("-", TRUE, IF(C349:L349&gt;0, $C$2:$L$2, ""))</f>
        <v xml:space="preserve"> Ti-Mo-Sn</v>
      </c>
      <c r="N349" s="90">
        <f t="shared" si="10"/>
        <v>344</v>
      </c>
      <c r="O349" s="91">
        <f t="shared" si="11"/>
        <v>3</v>
      </c>
      <c r="P349" s="12">
        <v>1</v>
      </c>
      <c r="Q349" s="12">
        <v>1</v>
      </c>
      <c r="R349" s="12">
        <v>20</v>
      </c>
      <c r="S349" s="12">
        <v>94</v>
      </c>
      <c r="T349" s="12">
        <v>900</v>
      </c>
      <c r="U349" s="12">
        <v>0.5</v>
      </c>
      <c r="V349" s="12">
        <v>1</v>
      </c>
      <c r="W349" s="12"/>
      <c r="X349" s="12"/>
      <c r="Y349" s="12"/>
      <c r="Z349" s="12">
        <v>50.2</v>
      </c>
      <c r="AA349" s="12"/>
      <c r="AB349" s="12">
        <v>899</v>
      </c>
      <c r="AC349" s="12">
        <v>512</v>
      </c>
      <c r="AD349" s="12">
        <v>11.11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 t="s">
        <v>461</v>
      </c>
      <c r="AO349" s="12" t="s">
        <v>388</v>
      </c>
      <c r="AP349" s="12">
        <v>6</v>
      </c>
      <c r="AQ349" s="12" t="s">
        <v>374</v>
      </c>
      <c r="AR349" s="12">
        <v>43</v>
      </c>
    </row>
    <row r="350" spans="1:44" ht="16.5">
      <c r="A350" s="12">
        <v>44</v>
      </c>
      <c r="B350" s="12"/>
      <c r="C350" s="12">
        <v>77</v>
      </c>
      <c r="D350" s="12">
        <v>0</v>
      </c>
      <c r="E350" s="12">
        <v>0</v>
      </c>
      <c r="F350" s="12">
        <v>8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15</v>
      </c>
      <c r="M350" s="74" t="str">
        <f t="array" ref="M350">_xlfn.TEXTJOIN("-", TRUE, IF(C350:L350&gt;0, $C$2:$L$2, ""))</f>
        <v xml:space="preserve"> Ti-Mo-Sn</v>
      </c>
      <c r="N350" s="90">
        <f t="shared" si="10"/>
        <v>344</v>
      </c>
      <c r="O350" s="91">
        <f t="shared" si="11"/>
        <v>3</v>
      </c>
      <c r="P350" s="12">
        <v>1</v>
      </c>
      <c r="Q350" s="12">
        <v>1</v>
      </c>
      <c r="R350" s="12">
        <v>20</v>
      </c>
      <c r="S350" s="12">
        <v>94</v>
      </c>
      <c r="T350" s="12">
        <v>900</v>
      </c>
      <c r="U350" s="12">
        <v>0.5</v>
      </c>
      <c r="V350" s="12">
        <v>1</v>
      </c>
      <c r="W350" s="12"/>
      <c r="X350" s="12"/>
      <c r="Y350" s="12"/>
      <c r="Z350" s="12">
        <v>46.8</v>
      </c>
      <c r="AA350" s="12"/>
      <c r="AB350" s="12">
        <v>801</v>
      </c>
      <c r="AC350" s="12">
        <v>732</v>
      </c>
      <c r="AD350" s="12">
        <v>19.739999999999998</v>
      </c>
      <c r="AE350" s="12"/>
      <c r="AF350" s="12"/>
      <c r="AG350" s="12"/>
      <c r="AH350" s="12"/>
      <c r="AI350" s="12"/>
      <c r="AJ350" s="12"/>
      <c r="AK350" s="12"/>
      <c r="AL350" s="12"/>
      <c r="AM350" s="12"/>
      <c r="AN350" s="12" t="s">
        <v>462</v>
      </c>
      <c r="AO350" s="12" t="s">
        <v>463</v>
      </c>
      <c r="AP350" s="12">
        <v>7</v>
      </c>
      <c r="AQ350" s="12" t="s">
        <v>374</v>
      </c>
      <c r="AR350" s="12">
        <v>44</v>
      </c>
    </row>
    <row r="351" spans="1:44" ht="16.5">
      <c r="A351" s="93">
        <v>350</v>
      </c>
      <c r="B351" s="93" t="s">
        <v>113</v>
      </c>
      <c r="C351" s="94">
        <v>89.84</v>
      </c>
      <c r="D351" s="94">
        <v>0</v>
      </c>
      <c r="E351" s="94">
        <v>0</v>
      </c>
      <c r="F351" s="94">
        <v>7.24</v>
      </c>
      <c r="G351" s="94">
        <v>0</v>
      </c>
      <c r="H351" s="94">
        <v>0</v>
      </c>
      <c r="I351" s="94">
        <v>0</v>
      </c>
      <c r="J351" s="94">
        <v>0</v>
      </c>
      <c r="K351" s="94">
        <v>0</v>
      </c>
      <c r="L351" s="94">
        <v>2.92</v>
      </c>
      <c r="M351" s="74" t="str">
        <f t="array" ref="M351">_xlfn.TEXTJOIN("-", TRUE, IF(C351:L351&gt;0, $C$2:$L$2, ""))</f>
        <v xml:space="preserve"> Ti-Mo-Sn</v>
      </c>
      <c r="N351" s="90">
        <f t="shared" si="10"/>
        <v>344</v>
      </c>
      <c r="O351" s="91">
        <f t="shared" si="11"/>
        <v>3</v>
      </c>
      <c r="P351" s="94">
        <v>1</v>
      </c>
      <c r="Q351" s="94">
        <v>1</v>
      </c>
      <c r="R351" s="93" t="s">
        <v>113</v>
      </c>
      <c r="S351" s="93" t="s">
        <v>113</v>
      </c>
      <c r="T351" s="93" t="s">
        <v>113</v>
      </c>
      <c r="U351" s="93" t="s">
        <v>113</v>
      </c>
      <c r="V351" s="93">
        <v>1</v>
      </c>
      <c r="W351" s="93" t="s">
        <v>113</v>
      </c>
      <c r="X351" s="93" t="s">
        <v>113</v>
      </c>
      <c r="Y351" s="93" t="s">
        <v>113</v>
      </c>
      <c r="Z351" s="94">
        <v>66</v>
      </c>
      <c r="AA351" s="93" t="s">
        <v>113</v>
      </c>
      <c r="AB351" s="93" t="s">
        <v>113</v>
      </c>
      <c r="AC351" s="94">
        <v>650</v>
      </c>
      <c r="AD351" s="93" t="s">
        <v>113</v>
      </c>
      <c r="AE351" s="93" t="s">
        <v>113</v>
      </c>
      <c r="AF351" s="93" t="s">
        <v>113</v>
      </c>
      <c r="AG351" s="93" t="s">
        <v>113</v>
      </c>
      <c r="AH351" s="93" t="s">
        <v>113</v>
      </c>
      <c r="AI351" s="93" t="s">
        <v>113</v>
      </c>
      <c r="AJ351" s="93" t="s">
        <v>113</v>
      </c>
      <c r="AK351" s="93" t="s">
        <v>113</v>
      </c>
      <c r="AL351" s="93" t="s">
        <v>113</v>
      </c>
      <c r="AM351" s="93"/>
      <c r="AN351" s="93" t="s">
        <v>113</v>
      </c>
      <c r="AO351" s="93" t="s">
        <v>174</v>
      </c>
      <c r="AP351" s="94">
        <v>350</v>
      </c>
      <c r="AQ351" s="94" t="s">
        <v>100</v>
      </c>
      <c r="AR351" s="93">
        <v>350</v>
      </c>
    </row>
    <row r="352" spans="1:44" ht="16.5">
      <c r="A352" s="93">
        <v>352</v>
      </c>
      <c r="B352" s="93" t="s">
        <v>113</v>
      </c>
      <c r="C352" s="94">
        <v>94.36</v>
      </c>
      <c r="D352" s="94">
        <v>0</v>
      </c>
      <c r="E352" s="94">
        <v>0</v>
      </c>
      <c r="F352" s="94">
        <v>4.87</v>
      </c>
      <c r="G352" s="94">
        <v>0</v>
      </c>
      <c r="H352" s="94">
        <v>0</v>
      </c>
      <c r="I352" s="94">
        <v>0</v>
      </c>
      <c r="J352" s="94">
        <v>0</v>
      </c>
      <c r="K352" s="94">
        <v>0</v>
      </c>
      <c r="L352" s="94">
        <v>0.77</v>
      </c>
      <c r="M352" s="74" t="str">
        <f t="array" ref="M352">_xlfn.TEXTJOIN("-", TRUE, IF(C352:L352&gt;0, $C$2:$L$2, ""))</f>
        <v xml:space="preserve"> Ti-Mo-Sn</v>
      </c>
      <c r="N352" s="90">
        <f t="shared" si="10"/>
        <v>344</v>
      </c>
      <c r="O352" s="91">
        <f t="shared" si="11"/>
        <v>3</v>
      </c>
      <c r="P352" s="94">
        <v>1</v>
      </c>
      <c r="Q352" s="94">
        <v>1</v>
      </c>
      <c r="R352" s="93" t="s">
        <v>113</v>
      </c>
      <c r="S352" s="93" t="s">
        <v>113</v>
      </c>
      <c r="T352" s="93" t="s">
        <v>113</v>
      </c>
      <c r="U352" s="93" t="s">
        <v>113</v>
      </c>
      <c r="V352" s="93">
        <v>1</v>
      </c>
      <c r="W352" s="93" t="s">
        <v>113</v>
      </c>
      <c r="X352" s="93" t="s">
        <v>113</v>
      </c>
      <c r="Y352" s="93" t="s">
        <v>113</v>
      </c>
      <c r="Z352" s="94">
        <v>89</v>
      </c>
      <c r="AA352" s="93" t="s">
        <v>113</v>
      </c>
      <c r="AB352" s="93" t="s">
        <v>113</v>
      </c>
      <c r="AC352" s="94">
        <v>511</v>
      </c>
      <c r="AD352" s="93" t="s">
        <v>113</v>
      </c>
      <c r="AE352" s="93" t="s">
        <v>113</v>
      </c>
      <c r="AF352" s="93" t="s">
        <v>113</v>
      </c>
      <c r="AG352" s="93" t="s">
        <v>113</v>
      </c>
      <c r="AH352" s="93" t="s">
        <v>113</v>
      </c>
      <c r="AI352" s="93" t="s">
        <v>113</v>
      </c>
      <c r="AJ352" s="93" t="s">
        <v>113</v>
      </c>
      <c r="AK352" s="93" t="s">
        <v>113</v>
      </c>
      <c r="AL352" s="93" t="s">
        <v>113</v>
      </c>
      <c r="AM352" s="93"/>
      <c r="AN352" s="93" t="s">
        <v>113</v>
      </c>
      <c r="AO352" s="93" t="s">
        <v>174</v>
      </c>
      <c r="AP352" s="94">
        <v>352</v>
      </c>
      <c r="AQ352" s="94" t="s">
        <v>100</v>
      </c>
      <c r="AR352" s="93">
        <v>352</v>
      </c>
    </row>
    <row r="353" spans="1:44" ht="16.5">
      <c r="A353" s="93">
        <v>353</v>
      </c>
      <c r="B353" s="93" t="s">
        <v>113</v>
      </c>
      <c r="C353" s="94">
        <v>92.41</v>
      </c>
      <c r="D353" s="94">
        <v>0</v>
      </c>
      <c r="E353" s="94">
        <v>0</v>
      </c>
      <c r="F353" s="94">
        <v>4.7300000000000004</v>
      </c>
      <c r="G353" s="94">
        <v>0</v>
      </c>
      <c r="H353" s="94">
        <v>0</v>
      </c>
      <c r="I353" s="94">
        <v>0</v>
      </c>
      <c r="J353" s="94">
        <v>0</v>
      </c>
      <c r="K353" s="94">
        <v>0</v>
      </c>
      <c r="L353" s="94">
        <v>2.86</v>
      </c>
      <c r="M353" s="74" t="str">
        <f t="array" ref="M353">_xlfn.TEXTJOIN("-", TRUE, IF(C353:L353&gt;0, $C$2:$L$2, ""))</f>
        <v xml:space="preserve"> Ti-Mo-Sn</v>
      </c>
      <c r="N353" s="90">
        <f t="shared" si="10"/>
        <v>344</v>
      </c>
      <c r="O353" s="91">
        <f t="shared" si="11"/>
        <v>3</v>
      </c>
      <c r="P353" s="94">
        <v>1</v>
      </c>
      <c r="Q353" s="94">
        <v>1</v>
      </c>
      <c r="R353" s="93" t="s">
        <v>113</v>
      </c>
      <c r="S353" s="93" t="s">
        <v>113</v>
      </c>
      <c r="T353" s="93" t="s">
        <v>113</v>
      </c>
      <c r="U353" s="93" t="s">
        <v>113</v>
      </c>
      <c r="V353" s="93">
        <v>1</v>
      </c>
      <c r="W353" s="93" t="s">
        <v>113</v>
      </c>
      <c r="X353" s="93" t="s">
        <v>113</v>
      </c>
      <c r="Y353" s="93" t="s">
        <v>113</v>
      </c>
      <c r="Z353" s="94">
        <v>78</v>
      </c>
      <c r="AA353" s="93" t="s">
        <v>113</v>
      </c>
      <c r="AB353" s="93" t="s">
        <v>113</v>
      </c>
      <c r="AC353" s="94">
        <v>441</v>
      </c>
      <c r="AD353" s="93" t="s">
        <v>113</v>
      </c>
      <c r="AE353" s="93" t="s">
        <v>113</v>
      </c>
      <c r="AF353" s="93" t="s">
        <v>113</v>
      </c>
      <c r="AG353" s="93" t="s">
        <v>113</v>
      </c>
      <c r="AH353" s="93" t="s">
        <v>113</v>
      </c>
      <c r="AI353" s="93" t="s">
        <v>113</v>
      </c>
      <c r="AJ353" s="93" t="s">
        <v>113</v>
      </c>
      <c r="AK353" s="93" t="s">
        <v>113</v>
      </c>
      <c r="AL353" s="93" t="s">
        <v>113</v>
      </c>
      <c r="AM353" s="93"/>
      <c r="AN353" s="93" t="s">
        <v>113</v>
      </c>
      <c r="AO353" s="93" t="s">
        <v>174</v>
      </c>
      <c r="AP353" s="94">
        <v>353</v>
      </c>
      <c r="AQ353" s="94" t="s">
        <v>100</v>
      </c>
      <c r="AR353" s="93">
        <v>353</v>
      </c>
    </row>
    <row r="354" spans="1:44" ht="16.5">
      <c r="A354" s="9">
        <v>5</v>
      </c>
      <c r="C354" s="9">
        <v>87.5</v>
      </c>
      <c r="D354">
        <v>0</v>
      </c>
      <c r="E354" s="9">
        <v>0</v>
      </c>
      <c r="F354" s="9">
        <v>6.25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6.25</v>
      </c>
      <c r="M354" s="74" t="str">
        <f t="array" ref="M354">_xlfn.TEXTJOIN("-", TRUE, IF(C354:L354&gt;0, $C$2:$L$2, ""))</f>
        <v xml:space="preserve"> Ti-Mo-Sn</v>
      </c>
      <c r="N354" s="90">
        <f t="shared" si="10"/>
        <v>344</v>
      </c>
      <c r="O354" s="91">
        <f t="shared" si="11"/>
        <v>3</v>
      </c>
      <c r="Z354" s="9">
        <v>70</v>
      </c>
      <c r="AQ354" s="94" t="s">
        <v>382</v>
      </c>
    </row>
    <row r="355" spans="1:44" ht="16.5">
      <c r="A355" s="9">
        <v>24</v>
      </c>
      <c r="C355" s="9">
        <v>75.8</v>
      </c>
      <c r="D355">
        <v>0</v>
      </c>
      <c r="E355" s="9">
        <v>0</v>
      </c>
      <c r="F355" s="9">
        <v>10.8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13.4</v>
      </c>
      <c r="M355" s="74" t="str">
        <f t="array" ref="M355">_xlfn.TEXTJOIN("-", TRUE, IF(C355:L355&gt;0, $C$2:$L$2, ""))</f>
        <v xml:space="preserve"> Ti-Mo-Sn</v>
      </c>
      <c r="N355" s="90">
        <f t="shared" si="10"/>
        <v>344</v>
      </c>
      <c r="O355" s="91">
        <f t="shared" si="11"/>
        <v>3</v>
      </c>
      <c r="Z355" s="9">
        <v>70</v>
      </c>
      <c r="AQ355" s="94" t="s">
        <v>382</v>
      </c>
    </row>
    <row r="356" spans="1:44" ht="16.5">
      <c r="A356" s="12">
        <v>55</v>
      </c>
      <c r="B356" s="12"/>
      <c r="C356" s="12">
        <v>92.5</v>
      </c>
      <c r="D356" s="12">
        <v>5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2.5</v>
      </c>
      <c r="L356" s="12">
        <v>0</v>
      </c>
      <c r="M356" s="74" t="str">
        <f t="array" ref="M356">_xlfn.TEXTJOIN("-", TRUE, IF(C356:L356&gt;0, $C$2:$L$2, ""))</f>
        <v xml:space="preserve"> Ti-Al-Fe</v>
      </c>
      <c r="N356" s="90">
        <f t="shared" si="10"/>
        <v>356</v>
      </c>
      <c r="O356" s="91">
        <f t="shared" si="11"/>
        <v>3</v>
      </c>
      <c r="P356" s="12">
        <v>1</v>
      </c>
      <c r="Q356" s="12">
        <v>1</v>
      </c>
      <c r="R356" s="12"/>
      <c r="S356" s="12"/>
      <c r="T356" s="12"/>
      <c r="U356" s="12"/>
      <c r="V356" s="12"/>
      <c r="W356" s="12"/>
      <c r="X356" s="12"/>
      <c r="Y356" s="12"/>
      <c r="Z356" s="12">
        <v>112</v>
      </c>
      <c r="AA356" s="12"/>
      <c r="AB356" s="12">
        <v>1020</v>
      </c>
      <c r="AC356" s="12">
        <v>895</v>
      </c>
      <c r="AD356" s="12">
        <v>15</v>
      </c>
      <c r="AE356" s="12"/>
      <c r="AF356" s="12"/>
      <c r="AG356" s="12"/>
      <c r="AH356" s="12"/>
      <c r="AI356" s="12"/>
      <c r="AJ356" s="12"/>
      <c r="AK356" s="12"/>
      <c r="AL356" s="12"/>
      <c r="AM356" s="12"/>
      <c r="AN356" s="12" t="s">
        <v>464</v>
      </c>
      <c r="AO356" s="12" t="s">
        <v>465</v>
      </c>
      <c r="AP356" s="12">
        <v>10</v>
      </c>
      <c r="AQ356" s="12" t="s">
        <v>374</v>
      </c>
      <c r="AR356" s="12">
        <v>55</v>
      </c>
    </row>
    <row r="357" spans="1:44" ht="16.5">
      <c r="A357" s="10">
        <v>70</v>
      </c>
      <c r="B357" s="10"/>
      <c r="C357" s="10">
        <v>94.688000000000002</v>
      </c>
      <c r="D357" s="10">
        <v>3.79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3.5999999999999997E-2</v>
      </c>
      <c r="L357" s="10">
        <v>0</v>
      </c>
      <c r="M357" s="74" t="str">
        <f t="array" ref="M357">_xlfn.TEXTJOIN("-", TRUE, IF(C357:L357&gt;0, $C$2:$L$2, ""))</f>
        <v xml:space="preserve"> Ti-Al-Fe</v>
      </c>
      <c r="N357" s="90">
        <f t="shared" si="10"/>
        <v>356</v>
      </c>
      <c r="O357" s="91">
        <f t="shared" si="11"/>
        <v>3</v>
      </c>
      <c r="P357" s="10" t="s">
        <v>81</v>
      </c>
      <c r="Q357" s="10" t="s">
        <v>81</v>
      </c>
      <c r="R357" s="10" t="s">
        <v>81</v>
      </c>
      <c r="S357" s="10" t="s">
        <v>81</v>
      </c>
      <c r="T357" s="10">
        <v>945</v>
      </c>
      <c r="U357" s="10">
        <v>0.5</v>
      </c>
      <c r="V357" s="10">
        <v>2</v>
      </c>
      <c r="W357" s="10">
        <v>0</v>
      </c>
      <c r="X357" s="10">
        <v>0</v>
      </c>
      <c r="Y357" s="10">
        <v>0</v>
      </c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1"/>
      <c r="AO357" s="11" t="s">
        <v>237</v>
      </c>
      <c r="AP357" s="10">
        <v>14</v>
      </c>
      <c r="AQ357" s="10" t="s">
        <v>83</v>
      </c>
      <c r="AR357" s="10">
        <v>70</v>
      </c>
    </row>
    <row r="358" spans="1:44" ht="16.5">
      <c r="A358" s="10">
        <v>71</v>
      </c>
      <c r="B358" s="10"/>
      <c r="C358" s="10">
        <v>94.688000000000002</v>
      </c>
      <c r="D358" s="10">
        <v>3.79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3.5999999999999997E-2</v>
      </c>
      <c r="L358" s="10">
        <v>0</v>
      </c>
      <c r="M358" s="74" t="str">
        <f t="array" ref="M358">_xlfn.TEXTJOIN("-", TRUE, IF(C358:L358&gt;0, $C$2:$L$2, ""))</f>
        <v xml:space="preserve"> Ti-Al-Fe</v>
      </c>
      <c r="N358" s="90">
        <f t="shared" si="10"/>
        <v>356</v>
      </c>
      <c r="O358" s="91">
        <f t="shared" si="11"/>
        <v>3</v>
      </c>
      <c r="P358" s="10" t="s">
        <v>81</v>
      </c>
      <c r="Q358" s="10" t="s">
        <v>81</v>
      </c>
      <c r="R358" s="10" t="s">
        <v>81</v>
      </c>
      <c r="S358" s="10" t="s">
        <v>81</v>
      </c>
      <c r="T358" s="10">
        <v>955</v>
      </c>
      <c r="U358" s="10">
        <v>0.5</v>
      </c>
      <c r="V358" s="10">
        <v>2</v>
      </c>
      <c r="W358" s="10">
        <v>0</v>
      </c>
      <c r="X358" s="10">
        <v>0</v>
      </c>
      <c r="Y358" s="10">
        <v>0</v>
      </c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1"/>
      <c r="AO358" s="11" t="s">
        <v>237</v>
      </c>
      <c r="AP358" s="10">
        <v>14</v>
      </c>
      <c r="AQ358" s="10" t="s">
        <v>83</v>
      </c>
      <c r="AR358" s="10">
        <v>71</v>
      </c>
    </row>
    <row r="359" spans="1:44" ht="16.5">
      <c r="A359" s="10">
        <v>72</v>
      </c>
      <c r="B359" s="10"/>
      <c r="C359" s="10">
        <v>94.688000000000002</v>
      </c>
      <c r="D359" s="10">
        <v>3.79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3.5999999999999997E-2</v>
      </c>
      <c r="L359" s="10">
        <v>0</v>
      </c>
      <c r="M359" s="74" t="str">
        <f t="array" ref="M359">_xlfn.TEXTJOIN("-", TRUE, IF(C359:L359&gt;0, $C$2:$L$2, ""))</f>
        <v xml:space="preserve"> Ti-Al-Fe</v>
      </c>
      <c r="N359" s="90">
        <f t="shared" si="10"/>
        <v>356</v>
      </c>
      <c r="O359" s="91">
        <f t="shared" si="11"/>
        <v>3</v>
      </c>
      <c r="P359" s="10" t="s">
        <v>81</v>
      </c>
      <c r="Q359" s="10" t="s">
        <v>81</v>
      </c>
      <c r="R359" s="10" t="s">
        <v>81</v>
      </c>
      <c r="S359" s="10" t="s">
        <v>81</v>
      </c>
      <c r="T359" s="10">
        <v>965</v>
      </c>
      <c r="U359" s="10">
        <v>0.5</v>
      </c>
      <c r="V359" s="10">
        <v>2</v>
      </c>
      <c r="W359" s="10">
        <v>0</v>
      </c>
      <c r="X359" s="10">
        <v>0</v>
      </c>
      <c r="Y359" s="10">
        <v>0</v>
      </c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1"/>
      <c r="AO359" s="11" t="s">
        <v>237</v>
      </c>
      <c r="AP359" s="10">
        <v>14</v>
      </c>
      <c r="AQ359" s="10" t="s">
        <v>83</v>
      </c>
      <c r="AR359" s="10">
        <v>72</v>
      </c>
    </row>
    <row r="360" spans="1:44" ht="16.5">
      <c r="A360" s="93">
        <v>144</v>
      </c>
      <c r="B360" s="93" t="s">
        <v>101</v>
      </c>
      <c r="C360" s="93">
        <v>95.114999999999995</v>
      </c>
      <c r="D360" s="93">
        <v>2.92</v>
      </c>
      <c r="E360" s="93">
        <v>0</v>
      </c>
      <c r="F360" s="93">
        <v>0</v>
      </c>
      <c r="G360" s="93">
        <v>0</v>
      </c>
      <c r="H360" s="93">
        <v>0</v>
      </c>
      <c r="I360" s="93">
        <v>0</v>
      </c>
      <c r="J360" s="93">
        <v>0</v>
      </c>
      <c r="K360" s="93">
        <v>1.84</v>
      </c>
      <c r="L360" s="93">
        <v>0</v>
      </c>
      <c r="M360" s="74" t="str">
        <f t="array" ref="M360">_xlfn.TEXTJOIN("-", TRUE, IF(C360:L360&gt;0, $C$2:$L$2, ""))</f>
        <v xml:space="preserve"> Ti-Al-Fe</v>
      </c>
      <c r="N360" s="90">
        <f t="shared" si="10"/>
        <v>356</v>
      </c>
      <c r="O360" s="91">
        <f t="shared" si="11"/>
        <v>3</v>
      </c>
      <c r="P360" s="93">
        <v>1</v>
      </c>
      <c r="Q360" s="93">
        <v>0</v>
      </c>
      <c r="R360" s="93">
        <v>0</v>
      </c>
      <c r="S360" s="93">
        <v>0</v>
      </c>
      <c r="T360" s="94">
        <v>845</v>
      </c>
      <c r="U360" s="94">
        <v>0.5</v>
      </c>
      <c r="V360" s="8">
        <v>1</v>
      </c>
      <c r="W360" s="94">
        <v>520</v>
      </c>
      <c r="X360" s="94">
        <v>8</v>
      </c>
      <c r="Y360" s="103">
        <v>2</v>
      </c>
      <c r="Z360" s="9" t="s">
        <v>102</v>
      </c>
      <c r="AA360" s="9" t="s">
        <v>102</v>
      </c>
      <c r="AB360" s="93">
        <v>1300</v>
      </c>
      <c r="AC360" s="93">
        <v>1245</v>
      </c>
      <c r="AD360" s="93">
        <v>3.8</v>
      </c>
      <c r="AE360" s="9" t="s">
        <v>101</v>
      </c>
      <c r="AF360" s="9" t="s">
        <v>102</v>
      </c>
      <c r="AG360" s="9" t="s">
        <v>102</v>
      </c>
      <c r="AH360" s="9" t="s">
        <v>102</v>
      </c>
      <c r="AI360" s="9" t="s">
        <v>102</v>
      </c>
      <c r="AJ360" s="9" t="s">
        <v>102</v>
      </c>
      <c r="AK360" s="9" t="s">
        <v>102</v>
      </c>
      <c r="AL360" s="9" t="s">
        <v>102</v>
      </c>
      <c r="AN360" s="12" t="s">
        <v>101</v>
      </c>
      <c r="AO360" s="12" t="s">
        <v>103</v>
      </c>
      <c r="AP360" s="94">
        <v>144</v>
      </c>
      <c r="AQ360" s="94" t="s">
        <v>100</v>
      </c>
      <c r="AR360" s="93">
        <v>144</v>
      </c>
    </row>
    <row r="361" spans="1:44" ht="16.5">
      <c r="A361" s="93">
        <v>145</v>
      </c>
      <c r="B361" s="93" t="s">
        <v>101</v>
      </c>
      <c r="C361" s="93">
        <v>95.114999999999995</v>
      </c>
      <c r="D361" s="93">
        <v>2.92</v>
      </c>
      <c r="E361" s="93">
        <v>0</v>
      </c>
      <c r="F361" s="93">
        <v>0</v>
      </c>
      <c r="G361" s="93">
        <v>0</v>
      </c>
      <c r="H361" s="93">
        <v>0</v>
      </c>
      <c r="I361" s="93">
        <v>0</v>
      </c>
      <c r="J361" s="93">
        <v>0</v>
      </c>
      <c r="K361" s="93">
        <v>1.84</v>
      </c>
      <c r="L361" s="93">
        <v>0</v>
      </c>
      <c r="M361" s="74" t="str">
        <f t="array" ref="M361">_xlfn.TEXTJOIN("-", TRUE, IF(C361:L361&gt;0, $C$2:$L$2, ""))</f>
        <v xml:space="preserve"> Ti-Al-Fe</v>
      </c>
      <c r="N361" s="90">
        <f t="shared" si="10"/>
        <v>356</v>
      </c>
      <c r="O361" s="91">
        <f t="shared" si="11"/>
        <v>3</v>
      </c>
      <c r="P361" s="93">
        <v>1</v>
      </c>
      <c r="Q361" s="93">
        <v>0</v>
      </c>
      <c r="R361" s="93">
        <v>0</v>
      </c>
      <c r="S361" s="93">
        <v>0</v>
      </c>
      <c r="T361" s="94">
        <v>845</v>
      </c>
      <c r="U361" s="94">
        <v>0.5</v>
      </c>
      <c r="V361" s="8">
        <v>1</v>
      </c>
      <c r="W361" s="94">
        <v>300</v>
      </c>
      <c r="X361" s="94">
        <v>8</v>
      </c>
      <c r="Y361" s="103">
        <v>2</v>
      </c>
      <c r="Z361" s="9" t="s">
        <v>102</v>
      </c>
      <c r="AA361" s="9" t="s">
        <v>102</v>
      </c>
      <c r="AB361" s="93">
        <v>1300</v>
      </c>
      <c r="AC361" s="93">
        <v>1230</v>
      </c>
      <c r="AD361" s="93">
        <v>4</v>
      </c>
      <c r="AE361" s="9" t="s">
        <v>101</v>
      </c>
      <c r="AF361" s="9" t="s">
        <v>102</v>
      </c>
      <c r="AG361" s="9" t="s">
        <v>102</v>
      </c>
      <c r="AH361" s="9" t="s">
        <v>102</v>
      </c>
      <c r="AI361" s="9" t="s">
        <v>102</v>
      </c>
      <c r="AJ361" s="9" t="s">
        <v>102</v>
      </c>
      <c r="AK361" s="9" t="s">
        <v>102</v>
      </c>
      <c r="AL361" s="9" t="s">
        <v>102</v>
      </c>
      <c r="AN361" s="12" t="s">
        <v>101</v>
      </c>
      <c r="AO361" s="12" t="s">
        <v>103</v>
      </c>
      <c r="AP361" s="94">
        <v>145</v>
      </c>
      <c r="AQ361" s="94" t="s">
        <v>100</v>
      </c>
      <c r="AR361" s="93">
        <v>145</v>
      </c>
    </row>
    <row r="362" spans="1:44" ht="16.5">
      <c r="A362" s="93">
        <v>146</v>
      </c>
      <c r="B362" s="93" t="s">
        <v>101</v>
      </c>
      <c r="C362" s="93">
        <v>95.114999999999995</v>
      </c>
      <c r="D362" s="93">
        <v>2.92</v>
      </c>
      <c r="E362" s="93">
        <v>0</v>
      </c>
      <c r="F362" s="93">
        <v>0</v>
      </c>
      <c r="G362" s="93">
        <v>0</v>
      </c>
      <c r="H362" s="93">
        <v>0</v>
      </c>
      <c r="I362" s="93">
        <v>0</v>
      </c>
      <c r="J362" s="93">
        <v>0</v>
      </c>
      <c r="K362" s="93">
        <v>1.84</v>
      </c>
      <c r="L362" s="93">
        <v>0</v>
      </c>
      <c r="M362" s="74" t="str">
        <f t="array" ref="M362">_xlfn.TEXTJOIN("-", TRUE, IF(C362:L362&gt;0, $C$2:$L$2, ""))</f>
        <v xml:space="preserve"> Ti-Al-Fe</v>
      </c>
      <c r="N362" s="90">
        <f t="shared" si="10"/>
        <v>356</v>
      </c>
      <c r="O362" s="91">
        <f t="shared" si="11"/>
        <v>3</v>
      </c>
      <c r="P362" s="93">
        <v>1</v>
      </c>
      <c r="Q362" s="93">
        <v>0</v>
      </c>
      <c r="R362" s="93">
        <v>0</v>
      </c>
      <c r="S362" s="93">
        <v>0</v>
      </c>
      <c r="T362" s="94">
        <v>760</v>
      </c>
      <c r="U362" s="94">
        <v>2</v>
      </c>
      <c r="V362" s="8">
        <v>1</v>
      </c>
      <c r="W362" s="94">
        <v>520</v>
      </c>
      <c r="X362" s="94">
        <v>8</v>
      </c>
      <c r="Y362" s="103">
        <v>2</v>
      </c>
      <c r="Z362" s="9" t="s">
        <v>102</v>
      </c>
      <c r="AA362" s="9" t="s">
        <v>102</v>
      </c>
      <c r="AB362" s="93">
        <v>1170</v>
      </c>
      <c r="AC362" s="93">
        <v>1150</v>
      </c>
      <c r="AD362" s="93">
        <v>12</v>
      </c>
      <c r="AE362" s="9" t="s">
        <v>101</v>
      </c>
      <c r="AF362" s="9" t="s">
        <v>102</v>
      </c>
      <c r="AG362" s="9" t="s">
        <v>102</v>
      </c>
      <c r="AH362" s="9" t="s">
        <v>102</v>
      </c>
      <c r="AI362" s="9" t="s">
        <v>102</v>
      </c>
      <c r="AJ362" s="9" t="s">
        <v>102</v>
      </c>
      <c r="AK362" s="9" t="s">
        <v>102</v>
      </c>
      <c r="AL362" s="9" t="s">
        <v>102</v>
      </c>
      <c r="AN362" s="12" t="s">
        <v>101</v>
      </c>
      <c r="AO362" s="12" t="s">
        <v>103</v>
      </c>
      <c r="AP362" s="94">
        <v>146</v>
      </c>
      <c r="AQ362" s="94" t="s">
        <v>100</v>
      </c>
      <c r="AR362" s="93">
        <v>146</v>
      </c>
    </row>
    <row r="363" spans="1:44" ht="16.5">
      <c r="A363" s="93">
        <v>147</v>
      </c>
      <c r="B363" s="93" t="s">
        <v>101</v>
      </c>
      <c r="C363" s="93">
        <v>95.114999999999995</v>
      </c>
      <c r="D363" s="93">
        <v>2.92</v>
      </c>
      <c r="E363" s="93">
        <v>0</v>
      </c>
      <c r="F363" s="93">
        <v>0</v>
      </c>
      <c r="G363" s="93">
        <v>0</v>
      </c>
      <c r="H363" s="93">
        <v>0</v>
      </c>
      <c r="I363" s="93">
        <v>0</v>
      </c>
      <c r="J363" s="93">
        <v>0</v>
      </c>
      <c r="K363" s="93">
        <v>1.84</v>
      </c>
      <c r="L363" s="93">
        <v>0</v>
      </c>
      <c r="M363" s="74" t="str">
        <f t="array" ref="M363">_xlfn.TEXTJOIN("-", TRUE, IF(C363:L363&gt;0, $C$2:$L$2, ""))</f>
        <v xml:space="preserve"> Ti-Al-Fe</v>
      </c>
      <c r="N363" s="90">
        <f t="shared" si="10"/>
        <v>356</v>
      </c>
      <c r="O363" s="91">
        <f t="shared" si="11"/>
        <v>3</v>
      </c>
      <c r="P363" s="93">
        <v>1</v>
      </c>
      <c r="Q363" s="93">
        <v>1</v>
      </c>
      <c r="R363" s="94">
        <v>740</v>
      </c>
      <c r="S363" s="93">
        <v>40</v>
      </c>
      <c r="T363" s="94">
        <v>0</v>
      </c>
      <c r="U363" s="94">
        <v>0</v>
      </c>
      <c r="V363" s="8">
        <v>0</v>
      </c>
      <c r="W363" s="94">
        <v>500</v>
      </c>
      <c r="X363" s="94">
        <v>8</v>
      </c>
      <c r="Y363" s="103">
        <v>2</v>
      </c>
      <c r="Z363" s="9" t="s">
        <v>102</v>
      </c>
      <c r="AA363" s="9" t="s">
        <v>102</v>
      </c>
      <c r="AB363" s="93">
        <v>1104.43</v>
      </c>
      <c r="AC363" s="93">
        <v>1096.01</v>
      </c>
      <c r="AD363" s="93">
        <v>12.867800000000001</v>
      </c>
      <c r="AE363" s="9" t="s">
        <v>101</v>
      </c>
      <c r="AF363" s="9" t="s">
        <v>102</v>
      </c>
      <c r="AG363" s="9" t="s">
        <v>102</v>
      </c>
      <c r="AH363" s="9" t="s">
        <v>102</v>
      </c>
      <c r="AI363" s="9" t="s">
        <v>102</v>
      </c>
      <c r="AJ363" s="9" t="s">
        <v>102</v>
      </c>
      <c r="AK363" s="9" t="s">
        <v>102</v>
      </c>
      <c r="AL363" s="9" t="s">
        <v>102</v>
      </c>
      <c r="AN363" s="12" t="s">
        <v>101</v>
      </c>
      <c r="AO363" s="12" t="s">
        <v>103</v>
      </c>
      <c r="AP363" s="94">
        <v>147</v>
      </c>
      <c r="AQ363" s="94" t="s">
        <v>100</v>
      </c>
      <c r="AR363" s="93">
        <v>147</v>
      </c>
    </row>
    <row r="364" spans="1:44" ht="16.5">
      <c r="A364" s="93">
        <v>148</v>
      </c>
      <c r="B364" s="93" t="s">
        <v>101</v>
      </c>
      <c r="C364" s="93">
        <v>95.114999999999995</v>
      </c>
      <c r="D364" s="93">
        <v>2.92</v>
      </c>
      <c r="E364" s="93">
        <v>0</v>
      </c>
      <c r="F364" s="93">
        <v>0</v>
      </c>
      <c r="G364" s="93">
        <v>0</v>
      </c>
      <c r="H364" s="93">
        <v>0</v>
      </c>
      <c r="I364" s="93">
        <v>0</v>
      </c>
      <c r="J364" s="93">
        <v>0</v>
      </c>
      <c r="K364" s="93">
        <v>1.84</v>
      </c>
      <c r="L364" s="93">
        <v>0</v>
      </c>
      <c r="M364" s="74" t="str">
        <f t="array" ref="M364">_xlfn.TEXTJOIN("-", TRUE, IF(C364:L364&gt;0, $C$2:$L$2, ""))</f>
        <v xml:space="preserve"> Ti-Al-Fe</v>
      </c>
      <c r="N364" s="90">
        <f t="shared" si="10"/>
        <v>356</v>
      </c>
      <c r="O364" s="91">
        <f t="shared" si="11"/>
        <v>3</v>
      </c>
      <c r="P364" s="93">
        <v>1</v>
      </c>
      <c r="Q364" s="93">
        <v>1</v>
      </c>
      <c r="R364" s="94">
        <v>780</v>
      </c>
      <c r="S364" s="93">
        <v>40</v>
      </c>
      <c r="T364" s="94">
        <v>0</v>
      </c>
      <c r="U364" s="94">
        <v>0</v>
      </c>
      <c r="V364" s="8">
        <v>0</v>
      </c>
      <c r="W364" s="94">
        <v>500</v>
      </c>
      <c r="X364" s="94">
        <v>8</v>
      </c>
      <c r="Y364" s="103">
        <v>2</v>
      </c>
      <c r="Z364" s="9" t="s">
        <v>102</v>
      </c>
      <c r="AA364" s="9" t="s">
        <v>102</v>
      </c>
      <c r="AB364" s="93">
        <v>1149.71</v>
      </c>
      <c r="AC364" s="93">
        <v>1113.93</v>
      </c>
      <c r="AD364" s="93">
        <v>11.575699999999999</v>
      </c>
      <c r="AE364" s="9" t="s">
        <v>101</v>
      </c>
      <c r="AF364" s="9" t="s">
        <v>102</v>
      </c>
      <c r="AG364" s="9" t="s">
        <v>102</v>
      </c>
      <c r="AH364" s="9" t="s">
        <v>102</v>
      </c>
      <c r="AI364" s="9" t="s">
        <v>102</v>
      </c>
      <c r="AJ364" s="9" t="s">
        <v>102</v>
      </c>
      <c r="AK364" s="9" t="s">
        <v>102</v>
      </c>
      <c r="AL364" s="9" t="s">
        <v>102</v>
      </c>
      <c r="AN364" s="12" t="s">
        <v>101</v>
      </c>
      <c r="AO364" s="12" t="s">
        <v>103</v>
      </c>
      <c r="AP364" s="94">
        <v>148</v>
      </c>
      <c r="AQ364" s="94" t="s">
        <v>100</v>
      </c>
      <c r="AR364" s="93">
        <v>148</v>
      </c>
    </row>
    <row r="365" spans="1:44" ht="16.5">
      <c r="A365" s="93">
        <v>149</v>
      </c>
      <c r="B365" s="93" t="s">
        <v>101</v>
      </c>
      <c r="C365" s="93">
        <v>95.114999999999995</v>
      </c>
      <c r="D365" s="93">
        <v>2.92</v>
      </c>
      <c r="E365" s="93">
        <v>0</v>
      </c>
      <c r="F365" s="93">
        <v>0</v>
      </c>
      <c r="G365" s="93">
        <v>0</v>
      </c>
      <c r="H365" s="93">
        <v>0</v>
      </c>
      <c r="I365" s="93">
        <v>0</v>
      </c>
      <c r="J365" s="93">
        <v>0</v>
      </c>
      <c r="K365" s="93">
        <v>1.84</v>
      </c>
      <c r="L365" s="93">
        <v>0</v>
      </c>
      <c r="M365" s="74" t="str">
        <f t="array" ref="M365">_xlfn.TEXTJOIN("-", TRUE, IF(C365:L365&gt;0, $C$2:$L$2, ""))</f>
        <v xml:space="preserve"> Ti-Al-Fe</v>
      </c>
      <c r="N365" s="90">
        <f t="shared" si="10"/>
        <v>356</v>
      </c>
      <c r="O365" s="91">
        <f t="shared" si="11"/>
        <v>3</v>
      </c>
      <c r="P365" s="93">
        <v>1</v>
      </c>
      <c r="Q365" s="93">
        <v>1</v>
      </c>
      <c r="R365" s="94">
        <v>845</v>
      </c>
      <c r="S365" s="93">
        <v>40</v>
      </c>
      <c r="T365" s="94">
        <v>0</v>
      </c>
      <c r="U365" s="94">
        <v>0</v>
      </c>
      <c r="V365" s="8">
        <v>0</v>
      </c>
      <c r="W365" s="94">
        <v>500</v>
      </c>
      <c r="X365" s="94">
        <v>8</v>
      </c>
      <c r="Y365" s="103">
        <v>2</v>
      </c>
      <c r="Z365" s="9" t="s">
        <v>102</v>
      </c>
      <c r="AA365" s="9" t="s">
        <v>102</v>
      </c>
      <c r="AB365" s="93">
        <v>1327.61</v>
      </c>
      <c r="AC365" s="93">
        <v>1270.0999999999999</v>
      </c>
      <c r="AD365" s="93">
        <v>2.5588600000000001</v>
      </c>
      <c r="AE365" s="9" t="s">
        <v>101</v>
      </c>
      <c r="AF365" s="9" t="s">
        <v>102</v>
      </c>
      <c r="AG365" s="9" t="s">
        <v>102</v>
      </c>
      <c r="AH365" s="9" t="s">
        <v>102</v>
      </c>
      <c r="AI365" s="9" t="s">
        <v>102</v>
      </c>
      <c r="AJ365" s="9" t="s">
        <v>102</v>
      </c>
      <c r="AK365" s="9" t="s">
        <v>102</v>
      </c>
      <c r="AL365" s="9" t="s">
        <v>102</v>
      </c>
      <c r="AN365" s="12" t="s">
        <v>101</v>
      </c>
      <c r="AO365" s="12" t="s">
        <v>103</v>
      </c>
      <c r="AP365" s="94">
        <v>149</v>
      </c>
      <c r="AQ365" s="94" t="s">
        <v>100</v>
      </c>
      <c r="AR365" s="93">
        <v>149</v>
      </c>
    </row>
    <row r="366" spans="1:44" ht="16.5">
      <c r="A366" s="93">
        <v>150</v>
      </c>
      <c r="B366" s="93" t="s">
        <v>101</v>
      </c>
      <c r="C366" s="93">
        <v>95.114999999999995</v>
      </c>
      <c r="D366" s="93">
        <v>2.92</v>
      </c>
      <c r="E366" s="93">
        <v>0</v>
      </c>
      <c r="F366" s="93">
        <v>0</v>
      </c>
      <c r="G366" s="93">
        <v>0</v>
      </c>
      <c r="H366" s="93">
        <v>0</v>
      </c>
      <c r="I366" s="93">
        <v>0</v>
      </c>
      <c r="J366" s="93">
        <v>0</v>
      </c>
      <c r="K366" s="93">
        <v>1.84</v>
      </c>
      <c r="L366" s="93">
        <v>0</v>
      </c>
      <c r="M366" s="74" t="str">
        <f t="array" ref="M366">_xlfn.TEXTJOIN("-", TRUE, IF(C366:L366&gt;0, $C$2:$L$2, ""))</f>
        <v xml:space="preserve"> Ti-Al-Fe</v>
      </c>
      <c r="N366" s="90">
        <f t="shared" si="10"/>
        <v>356</v>
      </c>
      <c r="O366" s="91">
        <f t="shared" si="11"/>
        <v>3</v>
      </c>
      <c r="P366" s="93">
        <v>1</v>
      </c>
      <c r="Q366" s="93">
        <v>1</v>
      </c>
      <c r="R366" s="12">
        <v>700</v>
      </c>
      <c r="S366" s="12">
        <v>35</v>
      </c>
      <c r="T366" s="94">
        <v>0</v>
      </c>
      <c r="U366" s="94">
        <v>0</v>
      </c>
      <c r="V366" s="8">
        <v>0</v>
      </c>
      <c r="W366" s="94">
        <v>500</v>
      </c>
      <c r="X366" s="94">
        <v>8</v>
      </c>
      <c r="Y366" s="103">
        <v>2</v>
      </c>
      <c r="Z366" s="9" t="s">
        <v>102</v>
      </c>
      <c r="AA366" s="9" t="s">
        <v>102</v>
      </c>
      <c r="AB366" s="93">
        <v>1124.68</v>
      </c>
      <c r="AC366" s="93">
        <v>1105.03</v>
      </c>
      <c r="AD366" s="93">
        <v>13.8583</v>
      </c>
      <c r="AE366" s="9" t="s">
        <v>101</v>
      </c>
      <c r="AF366" s="9" t="s">
        <v>102</v>
      </c>
      <c r="AG366" s="9" t="s">
        <v>102</v>
      </c>
      <c r="AH366" s="9" t="s">
        <v>102</v>
      </c>
      <c r="AI366" s="9" t="s">
        <v>102</v>
      </c>
      <c r="AJ366" s="9" t="s">
        <v>102</v>
      </c>
      <c r="AK366" s="9" t="s">
        <v>102</v>
      </c>
      <c r="AL366" s="9" t="s">
        <v>102</v>
      </c>
      <c r="AN366" s="12" t="s">
        <v>101</v>
      </c>
      <c r="AO366" s="12" t="s">
        <v>103</v>
      </c>
      <c r="AP366" s="94">
        <v>150</v>
      </c>
      <c r="AQ366" s="94" t="s">
        <v>100</v>
      </c>
      <c r="AR366" s="93">
        <v>150</v>
      </c>
    </row>
    <row r="367" spans="1:44" ht="16.5">
      <c r="A367" s="93">
        <v>151</v>
      </c>
      <c r="B367" s="93" t="s">
        <v>101</v>
      </c>
      <c r="C367" s="93">
        <v>95.114999999999995</v>
      </c>
      <c r="D367" s="93">
        <v>2.92</v>
      </c>
      <c r="E367" s="93">
        <v>0</v>
      </c>
      <c r="F367" s="93">
        <v>0</v>
      </c>
      <c r="G367" s="93">
        <v>0</v>
      </c>
      <c r="H367" s="93">
        <v>0</v>
      </c>
      <c r="I367" s="93">
        <v>0</v>
      </c>
      <c r="J367" s="93">
        <v>0</v>
      </c>
      <c r="K367" s="93">
        <v>1.84</v>
      </c>
      <c r="L367" s="93">
        <v>0</v>
      </c>
      <c r="M367" s="74" t="str">
        <f t="array" ref="M367">_xlfn.TEXTJOIN("-", TRUE, IF(C367:L367&gt;0, $C$2:$L$2, ""))</f>
        <v xml:space="preserve"> Ti-Al-Fe</v>
      </c>
      <c r="N367" s="90">
        <f t="shared" si="10"/>
        <v>356</v>
      </c>
      <c r="O367" s="91">
        <f t="shared" si="11"/>
        <v>3</v>
      </c>
      <c r="P367" s="93">
        <v>1</v>
      </c>
      <c r="Q367" s="93">
        <v>1</v>
      </c>
      <c r="R367" s="94">
        <v>700</v>
      </c>
      <c r="S367" s="93">
        <v>45</v>
      </c>
      <c r="T367" s="94">
        <v>0</v>
      </c>
      <c r="U367" s="94">
        <v>0</v>
      </c>
      <c r="V367" s="8">
        <v>0</v>
      </c>
      <c r="W367" s="94">
        <v>500</v>
      </c>
      <c r="X367" s="94">
        <v>8</v>
      </c>
      <c r="Y367" s="103">
        <v>2</v>
      </c>
      <c r="Z367" s="9" t="s">
        <v>102</v>
      </c>
      <c r="AA367" s="9" t="s">
        <v>102</v>
      </c>
      <c r="AB367" s="93">
        <v>1145.02</v>
      </c>
      <c r="AC367" s="93">
        <v>1115.05</v>
      </c>
      <c r="AD367" s="93">
        <v>16.062999999999999</v>
      </c>
      <c r="AE367" s="9" t="s">
        <v>101</v>
      </c>
      <c r="AF367" s="9" t="s">
        <v>102</v>
      </c>
      <c r="AG367" s="9" t="s">
        <v>102</v>
      </c>
      <c r="AH367" s="9" t="s">
        <v>102</v>
      </c>
      <c r="AI367" s="9" t="s">
        <v>102</v>
      </c>
      <c r="AJ367" s="9" t="s">
        <v>102</v>
      </c>
      <c r="AK367" s="9" t="s">
        <v>102</v>
      </c>
      <c r="AL367" s="9" t="s">
        <v>102</v>
      </c>
      <c r="AN367" s="12" t="s">
        <v>101</v>
      </c>
      <c r="AO367" s="12" t="s">
        <v>103</v>
      </c>
      <c r="AP367" s="94">
        <v>151</v>
      </c>
      <c r="AQ367" s="94" t="s">
        <v>100</v>
      </c>
      <c r="AR367" s="93">
        <v>151</v>
      </c>
    </row>
    <row r="368" spans="1:44" ht="16.5">
      <c r="A368" s="93">
        <v>153</v>
      </c>
      <c r="B368" s="93" t="s">
        <v>101</v>
      </c>
      <c r="C368" s="93">
        <v>95.114999999999995</v>
      </c>
      <c r="D368" s="93">
        <v>2.92</v>
      </c>
      <c r="E368" s="93">
        <v>0</v>
      </c>
      <c r="F368" s="93">
        <v>0</v>
      </c>
      <c r="G368" s="93">
        <v>0</v>
      </c>
      <c r="H368" s="93">
        <v>0</v>
      </c>
      <c r="I368" s="93">
        <v>0</v>
      </c>
      <c r="J368" s="93">
        <v>0</v>
      </c>
      <c r="K368" s="93">
        <v>1.84</v>
      </c>
      <c r="L368" s="93">
        <v>0</v>
      </c>
      <c r="M368" s="74" t="str">
        <f t="array" ref="M368">_xlfn.TEXTJOIN("-", TRUE, IF(C368:L368&gt;0, $C$2:$L$2, ""))</f>
        <v xml:space="preserve"> Ti-Al-Fe</v>
      </c>
      <c r="N368" s="90">
        <f t="shared" si="10"/>
        <v>356</v>
      </c>
      <c r="O368" s="91">
        <f t="shared" si="11"/>
        <v>3</v>
      </c>
      <c r="P368" s="93">
        <v>1</v>
      </c>
      <c r="Q368" s="93">
        <v>1</v>
      </c>
      <c r="R368" s="94">
        <v>780</v>
      </c>
      <c r="S368" s="93">
        <v>45</v>
      </c>
      <c r="T368" s="94">
        <v>0</v>
      </c>
      <c r="U368" s="94">
        <v>0</v>
      </c>
      <c r="V368" s="8">
        <v>0</v>
      </c>
      <c r="W368" s="94">
        <v>500</v>
      </c>
      <c r="X368" s="94">
        <v>8</v>
      </c>
      <c r="Y368" s="103">
        <v>2</v>
      </c>
      <c r="Z368" s="9" t="s">
        <v>102</v>
      </c>
      <c r="AA368" s="9" t="s">
        <v>102</v>
      </c>
      <c r="AB368" s="93">
        <v>1155</v>
      </c>
      <c r="AC368" s="93">
        <v>1120</v>
      </c>
      <c r="AD368" s="93">
        <v>16.8</v>
      </c>
      <c r="AE368" s="9" t="s">
        <v>101</v>
      </c>
      <c r="AF368" s="9" t="s">
        <v>102</v>
      </c>
      <c r="AG368" s="9" t="s">
        <v>102</v>
      </c>
      <c r="AH368" s="9" t="s">
        <v>102</v>
      </c>
      <c r="AI368" s="9" t="s">
        <v>102</v>
      </c>
      <c r="AJ368" s="9" t="s">
        <v>102</v>
      </c>
      <c r="AK368" s="9" t="s">
        <v>102</v>
      </c>
      <c r="AL368" s="9" t="s">
        <v>102</v>
      </c>
      <c r="AN368" s="12" t="s">
        <v>101</v>
      </c>
      <c r="AO368" s="12" t="s">
        <v>103</v>
      </c>
      <c r="AP368" s="94">
        <v>153</v>
      </c>
      <c r="AQ368" s="94" t="s">
        <v>100</v>
      </c>
      <c r="AR368" s="93">
        <v>153</v>
      </c>
    </row>
    <row r="369" spans="1:45" ht="16.5">
      <c r="A369" s="93">
        <v>156</v>
      </c>
      <c r="B369" s="93" t="s">
        <v>101</v>
      </c>
      <c r="C369" s="93">
        <v>95.114999999999995</v>
      </c>
      <c r="D369" s="93">
        <v>2.92</v>
      </c>
      <c r="E369" s="93">
        <v>0</v>
      </c>
      <c r="F369" s="93">
        <v>0</v>
      </c>
      <c r="G369" s="93">
        <v>0</v>
      </c>
      <c r="H369" s="93">
        <v>0</v>
      </c>
      <c r="I369" s="93">
        <v>0</v>
      </c>
      <c r="J369" s="93">
        <v>0</v>
      </c>
      <c r="K369" s="93">
        <v>1.84</v>
      </c>
      <c r="L369" s="93">
        <v>0</v>
      </c>
      <c r="M369" s="74" t="str">
        <f t="array" ref="M369">_xlfn.TEXTJOIN("-", TRUE, IF(C369:L369&gt;0, $C$2:$L$2, ""))</f>
        <v xml:space="preserve"> Ti-Al-Fe</v>
      </c>
      <c r="N369" s="90">
        <f t="shared" si="10"/>
        <v>356</v>
      </c>
      <c r="O369" s="91">
        <f t="shared" si="11"/>
        <v>3</v>
      </c>
      <c r="P369" s="93">
        <v>1</v>
      </c>
      <c r="Q369" s="93">
        <v>1</v>
      </c>
      <c r="R369" s="94">
        <v>845</v>
      </c>
      <c r="S369" s="93">
        <v>45</v>
      </c>
      <c r="T369" s="94">
        <v>0</v>
      </c>
      <c r="U369" s="94">
        <v>0</v>
      </c>
      <c r="V369" s="8">
        <v>0</v>
      </c>
      <c r="W369" s="94">
        <v>500</v>
      </c>
      <c r="X369" s="94">
        <v>8</v>
      </c>
      <c r="Y369" s="103">
        <v>2</v>
      </c>
      <c r="Z369" s="9" t="s">
        <v>102</v>
      </c>
      <c r="AA369" s="9" t="s">
        <v>102</v>
      </c>
      <c r="AB369" s="93">
        <v>1330</v>
      </c>
      <c r="AC369" s="93">
        <v>1270</v>
      </c>
      <c r="AD369" s="93">
        <v>7.5</v>
      </c>
      <c r="AE369" s="9" t="s">
        <v>101</v>
      </c>
      <c r="AF369" s="9" t="s">
        <v>102</v>
      </c>
      <c r="AG369" s="9" t="s">
        <v>102</v>
      </c>
      <c r="AH369" s="9" t="s">
        <v>102</v>
      </c>
      <c r="AI369" s="9" t="s">
        <v>102</v>
      </c>
      <c r="AJ369" s="9" t="s">
        <v>102</v>
      </c>
      <c r="AK369" s="9" t="s">
        <v>102</v>
      </c>
      <c r="AL369" s="9" t="s">
        <v>102</v>
      </c>
      <c r="AN369" s="12" t="s">
        <v>101</v>
      </c>
      <c r="AO369" s="12" t="s">
        <v>103</v>
      </c>
      <c r="AP369" s="94">
        <v>156</v>
      </c>
      <c r="AQ369" s="94" t="s">
        <v>100</v>
      </c>
      <c r="AR369" s="93">
        <v>156</v>
      </c>
    </row>
    <row r="370" spans="1:45" ht="16.5">
      <c r="A370" s="93">
        <v>152</v>
      </c>
      <c r="B370" s="93" t="s">
        <v>101</v>
      </c>
      <c r="C370" s="93">
        <v>95.114999999999995</v>
      </c>
      <c r="D370" s="93">
        <v>2.92</v>
      </c>
      <c r="E370" s="93">
        <v>0</v>
      </c>
      <c r="F370" s="93">
        <v>0</v>
      </c>
      <c r="G370" s="93">
        <v>0</v>
      </c>
      <c r="H370" s="93">
        <v>0</v>
      </c>
      <c r="I370" s="93">
        <v>0</v>
      </c>
      <c r="J370" s="93">
        <v>0</v>
      </c>
      <c r="K370" s="93">
        <v>1.84</v>
      </c>
      <c r="L370" s="93">
        <v>0</v>
      </c>
      <c r="M370" s="74" t="str">
        <f t="array" ref="M370">_xlfn.TEXTJOIN("-", TRUE, IF(C370:L370&gt;0, $C$2:$L$2, ""))</f>
        <v xml:space="preserve"> Ti-Al-Fe</v>
      </c>
      <c r="N370" s="90">
        <f t="shared" si="10"/>
        <v>356</v>
      </c>
      <c r="O370" s="91">
        <f t="shared" si="11"/>
        <v>3</v>
      </c>
      <c r="P370" s="93">
        <v>1</v>
      </c>
      <c r="Q370" s="93">
        <v>1</v>
      </c>
      <c r="R370" s="94">
        <v>700</v>
      </c>
      <c r="S370" s="93">
        <v>50</v>
      </c>
      <c r="T370" s="94">
        <v>0</v>
      </c>
      <c r="U370" s="94">
        <v>0</v>
      </c>
      <c r="V370" s="8">
        <v>0</v>
      </c>
      <c r="W370" s="94">
        <v>500</v>
      </c>
      <c r="X370" s="94">
        <v>8</v>
      </c>
      <c r="Y370" s="103">
        <v>2</v>
      </c>
      <c r="Z370" s="9" t="s">
        <v>102</v>
      </c>
      <c r="AA370" s="9" t="s">
        <v>102</v>
      </c>
      <c r="AB370" s="93">
        <v>1134.8499999999999</v>
      </c>
      <c r="AC370" s="93">
        <v>1120.31</v>
      </c>
      <c r="AD370" s="93">
        <v>15.7874</v>
      </c>
      <c r="AE370" s="9" t="s">
        <v>101</v>
      </c>
      <c r="AF370" s="9" t="s">
        <v>102</v>
      </c>
      <c r="AG370" s="9" t="s">
        <v>102</v>
      </c>
      <c r="AH370" s="9" t="s">
        <v>102</v>
      </c>
      <c r="AI370" s="9" t="s">
        <v>102</v>
      </c>
      <c r="AJ370" s="9" t="s">
        <v>102</v>
      </c>
      <c r="AK370" s="9" t="s">
        <v>102</v>
      </c>
      <c r="AL370" s="9" t="s">
        <v>102</v>
      </c>
      <c r="AN370" s="12" t="s">
        <v>101</v>
      </c>
      <c r="AO370" s="12" t="s">
        <v>103</v>
      </c>
      <c r="AP370" s="94">
        <v>152</v>
      </c>
      <c r="AQ370" s="94" t="s">
        <v>100</v>
      </c>
      <c r="AR370" s="93">
        <v>152</v>
      </c>
    </row>
    <row r="371" spans="1:45" ht="16.5">
      <c r="A371" s="93">
        <v>154</v>
      </c>
      <c r="B371" s="93" t="s">
        <v>101</v>
      </c>
      <c r="C371" s="93">
        <v>95.114999999999995</v>
      </c>
      <c r="D371" s="93">
        <v>2.92</v>
      </c>
      <c r="E371" s="93">
        <v>0</v>
      </c>
      <c r="F371" s="93">
        <v>0</v>
      </c>
      <c r="G371" s="93">
        <v>0</v>
      </c>
      <c r="H371" s="93">
        <v>0</v>
      </c>
      <c r="I371" s="93">
        <v>0</v>
      </c>
      <c r="J371" s="93">
        <v>0</v>
      </c>
      <c r="K371" s="93">
        <v>1.84</v>
      </c>
      <c r="L371" s="93">
        <v>0</v>
      </c>
      <c r="M371" s="74" t="str">
        <f t="array" ref="M371">_xlfn.TEXTJOIN("-", TRUE, IF(C371:L371&gt;0, $C$2:$L$2, ""))</f>
        <v xml:space="preserve"> Ti-Al-Fe</v>
      </c>
      <c r="N371" s="90">
        <f t="shared" si="10"/>
        <v>356</v>
      </c>
      <c r="O371" s="91">
        <f t="shared" si="11"/>
        <v>3</v>
      </c>
      <c r="P371" s="93">
        <v>1</v>
      </c>
      <c r="Q371" s="93">
        <v>1</v>
      </c>
      <c r="R371" s="94">
        <v>780</v>
      </c>
      <c r="S371" s="93">
        <v>45</v>
      </c>
      <c r="T371" s="94">
        <v>0</v>
      </c>
      <c r="U371" s="94">
        <v>0</v>
      </c>
      <c r="V371" s="8">
        <v>0</v>
      </c>
      <c r="W371" s="94">
        <v>300</v>
      </c>
      <c r="X371" s="94">
        <v>8</v>
      </c>
      <c r="Y371" s="103">
        <v>2</v>
      </c>
      <c r="Z371" s="9" t="s">
        <v>102</v>
      </c>
      <c r="AA371" s="9" t="s">
        <v>102</v>
      </c>
      <c r="AB371" s="93">
        <v>1260</v>
      </c>
      <c r="AC371" s="93">
        <v>1233</v>
      </c>
      <c r="AD371" s="93">
        <v>13.2</v>
      </c>
      <c r="AE371" s="9" t="s">
        <v>101</v>
      </c>
      <c r="AF371" s="9" t="s">
        <v>102</v>
      </c>
      <c r="AG371" s="9" t="s">
        <v>102</v>
      </c>
      <c r="AH371" s="9" t="s">
        <v>102</v>
      </c>
      <c r="AI371" s="9" t="s">
        <v>102</v>
      </c>
      <c r="AJ371" s="9" t="s">
        <v>102</v>
      </c>
      <c r="AK371" s="9" t="s">
        <v>102</v>
      </c>
      <c r="AL371" s="9" t="s">
        <v>102</v>
      </c>
      <c r="AN371" s="12" t="s">
        <v>101</v>
      </c>
      <c r="AO371" s="12" t="s">
        <v>103</v>
      </c>
      <c r="AP371" s="94">
        <v>154</v>
      </c>
      <c r="AQ371" s="94" t="s">
        <v>100</v>
      </c>
      <c r="AR371" s="93">
        <v>154</v>
      </c>
    </row>
    <row r="372" spans="1:45" ht="16.5">
      <c r="A372" s="93">
        <v>155</v>
      </c>
      <c r="B372" s="93" t="s">
        <v>101</v>
      </c>
      <c r="C372" s="93">
        <v>95.114999999999995</v>
      </c>
      <c r="D372" s="93">
        <v>2.92</v>
      </c>
      <c r="E372" s="93">
        <v>0</v>
      </c>
      <c r="F372" s="93">
        <v>0</v>
      </c>
      <c r="G372" s="93">
        <v>0</v>
      </c>
      <c r="H372" s="93">
        <v>0</v>
      </c>
      <c r="I372" s="93">
        <v>0</v>
      </c>
      <c r="J372" s="93">
        <v>0</v>
      </c>
      <c r="K372" s="93">
        <v>1.84</v>
      </c>
      <c r="L372" s="93">
        <v>0</v>
      </c>
      <c r="M372" s="74" t="str">
        <f t="array" ref="M372">_xlfn.TEXTJOIN("-", TRUE, IF(C372:L372&gt;0, $C$2:$L$2, ""))</f>
        <v xml:space="preserve"> Ti-Al-Fe</v>
      </c>
      <c r="N372" s="90">
        <f t="shared" si="10"/>
        <v>356</v>
      </c>
      <c r="O372" s="91">
        <f t="shared" si="11"/>
        <v>3</v>
      </c>
      <c r="P372" s="93">
        <v>1</v>
      </c>
      <c r="Q372" s="93">
        <v>1</v>
      </c>
      <c r="R372" s="94">
        <v>780</v>
      </c>
      <c r="S372" s="93">
        <v>45</v>
      </c>
      <c r="T372" s="94">
        <v>0</v>
      </c>
      <c r="U372" s="94">
        <v>0</v>
      </c>
      <c r="V372" s="8">
        <v>0</v>
      </c>
      <c r="W372" s="94">
        <v>300</v>
      </c>
      <c r="X372" s="94">
        <v>8</v>
      </c>
      <c r="Y372" s="103">
        <v>2</v>
      </c>
      <c r="Z372" s="9" t="s">
        <v>102</v>
      </c>
      <c r="AA372" s="9" t="s">
        <v>102</v>
      </c>
      <c r="AB372" s="93">
        <v>1230</v>
      </c>
      <c r="AC372" s="93">
        <v>1195</v>
      </c>
      <c r="AD372" s="93">
        <v>16</v>
      </c>
      <c r="AE372" s="9" t="s">
        <v>101</v>
      </c>
      <c r="AF372" s="9" t="s">
        <v>102</v>
      </c>
      <c r="AG372" s="9" t="s">
        <v>102</v>
      </c>
      <c r="AH372" s="9" t="s">
        <v>102</v>
      </c>
      <c r="AI372" s="9" t="s">
        <v>102</v>
      </c>
      <c r="AJ372" s="9" t="s">
        <v>102</v>
      </c>
      <c r="AK372" s="9" t="s">
        <v>102</v>
      </c>
      <c r="AL372" s="9" t="s">
        <v>102</v>
      </c>
      <c r="AN372" s="12" t="s">
        <v>101</v>
      </c>
      <c r="AO372" s="12" t="s">
        <v>103</v>
      </c>
      <c r="AP372" s="94">
        <v>155</v>
      </c>
      <c r="AQ372" s="94" t="s">
        <v>100</v>
      </c>
      <c r="AR372" s="93">
        <v>155</v>
      </c>
    </row>
    <row r="373" spans="1:45" ht="16.5">
      <c r="A373" s="93">
        <v>157</v>
      </c>
      <c r="B373" s="93" t="s">
        <v>101</v>
      </c>
      <c r="C373" s="93">
        <v>95.114999999999995</v>
      </c>
      <c r="D373" s="93">
        <v>2.92</v>
      </c>
      <c r="E373" s="93">
        <v>0</v>
      </c>
      <c r="F373" s="93">
        <v>0</v>
      </c>
      <c r="G373" s="93">
        <v>0</v>
      </c>
      <c r="H373" s="93">
        <v>0</v>
      </c>
      <c r="I373" s="93">
        <v>0</v>
      </c>
      <c r="J373" s="93">
        <v>0</v>
      </c>
      <c r="K373" s="93">
        <v>1.84</v>
      </c>
      <c r="L373" s="93">
        <v>0</v>
      </c>
      <c r="M373" s="74" t="str">
        <f t="array" ref="M373">_xlfn.TEXTJOIN("-", TRUE, IF(C373:L373&gt;0, $C$2:$L$2, ""))</f>
        <v xml:space="preserve"> Ti-Al-Fe</v>
      </c>
      <c r="N373" s="90">
        <f t="shared" si="10"/>
        <v>356</v>
      </c>
      <c r="O373" s="91">
        <f t="shared" si="11"/>
        <v>3</v>
      </c>
      <c r="P373" s="93">
        <v>1</v>
      </c>
      <c r="Q373" s="93">
        <v>1</v>
      </c>
      <c r="R373" s="94">
        <v>845</v>
      </c>
      <c r="S373" s="93">
        <v>45</v>
      </c>
      <c r="T373" s="94">
        <v>0</v>
      </c>
      <c r="U373" s="94">
        <v>0</v>
      </c>
      <c r="V373" s="8">
        <v>0</v>
      </c>
      <c r="W373" s="94">
        <v>300</v>
      </c>
      <c r="X373" s="94">
        <v>8</v>
      </c>
      <c r="Y373" s="103">
        <v>2</v>
      </c>
      <c r="Z373" s="9" t="s">
        <v>102</v>
      </c>
      <c r="AA373" s="9" t="s">
        <v>102</v>
      </c>
      <c r="AB373" s="93">
        <v>1355</v>
      </c>
      <c r="AC373" s="93">
        <v>1265</v>
      </c>
      <c r="AD373" s="93">
        <v>2.8</v>
      </c>
      <c r="AE373" s="9" t="s">
        <v>101</v>
      </c>
      <c r="AF373" s="9" t="s">
        <v>102</v>
      </c>
      <c r="AG373" s="9" t="s">
        <v>102</v>
      </c>
      <c r="AH373" s="9" t="s">
        <v>102</v>
      </c>
      <c r="AI373" s="9" t="s">
        <v>102</v>
      </c>
      <c r="AJ373" s="9" t="s">
        <v>102</v>
      </c>
      <c r="AK373" s="9" t="s">
        <v>102</v>
      </c>
      <c r="AL373" s="9" t="s">
        <v>102</v>
      </c>
      <c r="AN373" s="12" t="s">
        <v>101</v>
      </c>
      <c r="AO373" s="12" t="s">
        <v>103</v>
      </c>
      <c r="AP373" s="94">
        <v>157</v>
      </c>
      <c r="AQ373" s="94" t="s">
        <v>100</v>
      </c>
      <c r="AR373" s="93">
        <v>157</v>
      </c>
    </row>
    <row r="374" spans="1:45" ht="16.5">
      <c r="A374" s="93">
        <v>158</v>
      </c>
      <c r="B374" s="93" t="s">
        <v>101</v>
      </c>
      <c r="C374" s="93">
        <v>95.114999999999995</v>
      </c>
      <c r="D374" s="93">
        <v>2.92</v>
      </c>
      <c r="E374" s="93">
        <v>0</v>
      </c>
      <c r="F374" s="93">
        <v>0</v>
      </c>
      <c r="G374" s="93">
        <v>0</v>
      </c>
      <c r="H374" s="93">
        <v>0</v>
      </c>
      <c r="I374" s="93">
        <v>0</v>
      </c>
      <c r="J374" s="93">
        <v>0</v>
      </c>
      <c r="K374" s="93">
        <v>1.84</v>
      </c>
      <c r="L374" s="93">
        <v>0</v>
      </c>
      <c r="M374" s="74" t="str">
        <f t="array" ref="M374">_xlfn.TEXTJOIN("-", TRUE, IF(C374:L374&gt;0, $C$2:$L$2, ""))</f>
        <v xml:space="preserve"> Ti-Al-Fe</v>
      </c>
      <c r="N374" s="90">
        <f t="shared" si="10"/>
        <v>356</v>
      </c>
      <c r="O374" s="91">
        <f t="shared" si="11"/>
        <v>3</v>
      </c>
      <c r="P374" s="93">
        <v>1</v>
      </c>
      <c r="Q374" s="93">
        <v>1</v>
      </c>
      <c r="R374" s="94">
        <v>845</v>
      </c>
      <c r="S374" s="93">
        <v>45</v>
      </c>
      <c r="T374" s="94">
        <v>780</v>
      </c>
      <c r="U374" s="94">
        <v>1</v>
      </c>
      <c r="V374" s="8">
        <v>1</v>
      </c>
      <c r="W374" s="94">
        <v>520</v>
      </c>
      <c r="X374" s="94">
        <v>8</v>
      </c>
      <c r="Y374" s="103">
        <v>2</v>
      </c>
      <c r="Z374" s="9" t="s">
        <v>102</v>
      </c>
      <c r="AA374" s="9" t="s">
        <v>102</v>
      </c>
      <c r="AB374" s="93">
        <v>1250</v>
      </c>
      <c r="AC374" s="93">
        <v>1200</v>
      </c>
      <c r="AD374" s="93">
        <v>10.5</v>
      </c>
      <c r="AE374" s="9" t="s">
        <v>101</v>
      </c>
      <c r="AF374" s="9" t="s">
        <v>102</v>
      </c>
      <c r="AG374" s="9" t="s">
        <v>102</v>
      </c>
      <c r="AH374" s="9" t="s">
        <v>102</v>
      </c>
      <c r="AI374" s="9" t="s">
        <v>102</v>
      </c>
      <c r="AJ374" s="9" t="s">
        <v>102</v>
      </c>
      <c r="AK374" s="9" t="s">
        <v>102</v>
      </c>
      <c r="AL374" s="9" t="s">
        <v>102</v>
      </c>
      <c r="AN374" s="12" t="s">
        <v>101</v>
      </c>
      <c r="AO374" s="12" t="s">
        <v>103</v>
      </c>
      <c r="AP374" s="94">
        <v>158</v>
      </c>
      <c r="AQ374" s="94" t="s">
        <v>100</v>
      </c>
      <c r="AR374" s="93">
        <v>158</v>
      </c>
    </row>
    <row r="375" spans="1:45" ht="16.5">
      <c r="A375" s="93">
        <v>159</v>
      </c>
      <c r="B375" s="93" t="s">
        <v>101</v>
      </c>
      <c r="C375" s="93">
        <v>95.114999999999995</v>
      </c>
      <c r="D375" s="93">
        <v>2.92</v>
      </c>
      <c r="E375" s="93">
        <v>0</v>
      </c>
      <c r="F375" s="93">
        <v>0</v>
      </c>
      <c r="G375" s="93">
        <v>0</v>
      </c>
      <c r="H375" s="93">
        <v>0</v>
      </c>
      <c r="I375" s="93">
        <v>0</v>
      </c>
      <c r="J375" s="93">
        <v>0</v>
      </c>
      <c r="K375" s="93">
        <v>1.84</v>
      </c>
      <c r="L375" s="93">
        <v>0</v>
      </c>
      <c r="M375" s="74" t="str">
        <f t="array" ref="M375">_xlfn.TEXTJOIN("-", TRUE, IF(C375:L375&gt;0, $C$2:$L$2, ""))</f>
        <v xml:space="preserve"> Ti-Al-Fe</v>
      </c>
      <c r="N375" s="90">
        <f t="shared" si="10"/>
        <v>356</v>
      </c>
      <c r="O375" s="91">
        <f t="shared" si="11"/>
        <v>3</v>
      </c>
      <c r="P375" s="93">
        <v>1</v>
      </c>
      <c r="Q375" s="93">
        <v>1</v>
      </c>
      <c r="R375" s="94">
        <v>845</v>
      </c>
      <c r="S375" s="93">
        <v>45</v>
      </c>
      <c r="T375" s="94">
        <v>780</v>
      </c>
      <c r="U375" s="94">
        <v>1</v>
      </c>
      <c r="V375" s="8">
        <v>1</v>
      </c>
      <c r="W375" s="94">
        <v>520</v>
      </c>
      <c r="X375" s="94">
        <v>8</v>
      </c>
      <c r="Y375" s="103">
        <v>2</v>
      </c>
      <c r="Z375" s="9" t="s">
        <v>102</v>
      </c>
      <c r="AA375" s="9" t="s">
        <v>102</v>
      </c>
      <c r="AB375" s="93">
        <v>1263.3</v>
      </c>
      <c r="AC375" s="93">
        <v>1203.3</v>
      </c>
      <c r="AD375" s="93">
        <v>10.199999999999999</v>
      </c>
      <c r="AE375" s="9" t="s">
        <v>101</v>
      </c>
      <c r="AF375" s="9" t="s">
        <v>102</v>
      </c>
      <c r="AG375" s="9" t="s">
        <v>102</v>
      </c>
      <c r="AH375" s="9" t="s">
        <v>102</v>
      </c>
      <c r="AI375" s="9" t="s">
        <v>102</v>
      </c>
      <c r="AJ375" s="9" t="s">
        <v>102</v>
      </c>
      <c r="AK375" s="9" t="s">
        <v>102</v>
      </c>
      <c r="AL375" s="9" t="s">
        <v>102</v>
      </c>
      <c r="AN375" s="12" t="s">
        <v>101</v>
      </c>
      <c r="AO375" s="12" t="s">
        <v>103</v>
      </c>
      <c r="AP375" s="94">
        <v>159</v>
      </c>
      <c r="AQ375" s="94" t="s">
        <v>100</v>
      </c>
      <c r="AR375" s="93">
        <v>159</v>
      </c>
    </row>
    <row r="376" spans="1:45" ht="16.5">
      <c r="A376" s="93">
        <v>160</v>
      </c>
      <c r="B376" s="93" t="s">
        <v>101</v>
      </c>
      <c r="C376" s="93">
        <v>95.114999999999995</v>
      </c>
      <c r="D376" s="93">
        <v>2.92</v>
      </c>
      <c r="E376" s="93">
        <v>0</v>
      </c>
      <c r="F376" s="93">
        <v>0</v>
      </c>
      <c r="G376" s="93">
        <v>0</v>
      </c>
      <c r="H376" s="93">
        <v>0</v>
      </c>
      <c r="I376" s="93">
        <v>0</v>
      </c>
      <c r="J376" s="93">
        <v>0</v>
      </c>
      <c r="K376" s="93">
        <v>1.84</v>
      </c>
      <c r="L376" s="93">
        <v>0</v>
      </c>
      <c r="M376" s="74" t="str">
        <f t="array" ref="M376">_xlfn.TEXTJOIN("-", TRUE, IF(C376:L376&gt;0, $C$2:$L$2, ""))</f>
        <v xml:space="preserve"> Ti-Al-Fe</v>
      </c>
      <c r="N376" s="90">
        <f t="shared" si="10"/>
        <v>356</v>
      </c>
      <c r="O376" s="91">
        <f t="shared" si="11"/>
        <v>3</v>
      </c>
      <c r="P376" s="93">
        <v>1</v>
      </c>
      <c r="Q376" s="93">
        <v>0</v>
      </c>
      <c r="R376" s="93">
        <v>0</v>
      </c>
      <c r="S376" s="93">
        <v>45</v>
      </c>
      <c r="T376" s="94">
        <v>780</v>
      </c>
      <c r="U376" s="94">
        <v>1</v>
      </c>
      <c r="V376" s="8">
        <v>2</v>
      </c>
      <c r="W376" s="94">
        <v>520</v>
      </c>
      <c r="X376" s="94">
        <v>8</v>
      </c>
      <c r="Y376" s="103">
        <v>2</v>
      </c>
      <c r="Z376" s="9" t="s">
        <v>102</v>
      </c>
      <c r="AA376" s="9" t="s">
        <v>102</v>
      </c>
      <c r="AB376" s="93">
        <v>1280</v>
      </c>
      <c r="AC376" s="93">
        <v>1223.3</v>
      </c>
      <c r="AD376" s="93">
        <v>9.5</v>
      </c>
      <c r="AE376" s="9" t="s">
        <v>101</v>
      </c>
      <c r="AF376" s="9" t="s">
        <v>102</v>
      </c>
      <c r="AG376" s="9" t="s">
        <v>102</v>
      </c>
      <c r="AH376" s="9" t="s">
        <v>102</v>
      </c>
      <c r="AI376" s="9" t="s">
        <v>102</v>
      </c>
      <c r="AJ376" s="9" t="s">
        <v>102</v>
      </c>
      <c r="AK376" s="9" t="s">
        <v>102</v>
      </c>
      <c r="AL376" s="9" t="s">
        <v>102</v>
      </c>
      <c r="AN376" s="12" t="s">
        <v>101</v>
      </c>
      <c r="AO376" s="12" t="s">
        <v>103</v>
      </c>
      <c r="AP376" s="94">
        <v>160</v>
      </c>
      <c r="AQ376" s="94" t="s">
        <v>100</v>
      </c>
      <c r="AR376" s="93">
        <v>160</v>
      </c>
    </row>
    <row r="377" spans="1:45" ht="16.5">
      <c r="A377" s="93">
        <v>161</v>
      </c>
      <c r="B377" s="93" t="s">
        <v>101</v>
      </c>
      <c r="C377" s="93">
        <v>95.114999999999995</v>
      </c>
      <c r="D377" s="93">
        <v>2.92</v>
      </c>
      <c r="E377" s="93">
        <v>0</v>
      </c>
      <c r="F377" s="93">
        <v>0</v>
      </c>
      <c r="G377" s="93">
        <v>0</v>
      </c>
      <c r="H377" s="93">
        <v>0</v>
      </c>
      <c r="I377" s="93">
        <v>0</v>
      </c>
      <c r="J377" s="93">
        <v>0</v>
      </c>
      <c r="K377" s="93">
        <v>1.84</v>
      </c>
      <c r="L377" s="93">
        <v>0</v>
      </c>
      <c r="M377" s="74" t="str">
        <f t="array" ref="M377">_xlfn.TEXTJOIN("-", TRUE, IF(C377:L377&gt;0, $C$2:$L$2, ""))</f>
        <v xml:space="preserve"> Ti-Al-Fe</v>
      </c>
      <c r="N377" s="90">
        <f t="shared" si="10"/>
        <v>356</v>
      </c>
      <c r="O377" s="91">
        <f t="shared" si="11"/>
        <v>3</v>
      </c>
      <c r="P377" s="93">
        <v>1</v>
      </c>
      <c r="Q377" s="93">
        <v>0</v>
      </c>
      <c r="R377" s="93">
        <v>0</v>
      </c>
      <c r="S377" s="93">
        <v>45</v>
      </c>
      <c r="T377" s="94">
        <v>760</v>
      </c>
      <c r="U377" s="94">
        <v>2</v>
      </c>
      <c r="V377" s="8">
        <v>1</v>
      </c>
      <c r="W377" s="94">
        <v>520</v>
      </c>
      <c r="X377" s="94">
        <v>8</v>
      </c>
      <c r="Y377" s="103">
        <v>2</v>
      </c>
      <c r="Z377" s="9" t="s">
        <v>102</v>
      </c>
      <c r="AA377" s="9" t="s">
        <v>102</v>
      </c>
      <c r="AB377" s="93">
        <v>1245</v>
      </c>
      <c r="AC377" s="93">
        <v>1188</v>
      </c>
      <c r="AD377" s="93">
        <v>10.3</v>
      </c>
      <c r="AE377" s="9" t="s">
        <v>101</v>
      </c>
      <c r="AF377" s="9" t="s">
        <v>102</v>
      </c>
      <c r="AG377" s="9" t="s">
        <v>102</v>
      </c>
      <c r="AH377" s="9" t="s">
        <v>102</v>
      </c>
      <c r="AI377" s="9" t="s">
        <v>102</v>
      </c>
      <c r="AJ377" s="9" t="s">
        <v>102</v>
      </c>
      <c r="AK377" s="9" t="s">
        <v>102</v>
      </c>
      <c r="AL377" s="9" t="s">
        <v>102</v>
      </c>
      <c r="AN377" s="12" t="s">
        <v>101</v>
      </c>
      <c r="AO377" s="12" t="s">
        <v>103</v>
      </c>
      <c r="AP377" s="94">
        <v>161</v>
      </c>
      <c r="AQ377" s="94" t="s">
        <v>100</v>
      </c>
      <c r="AR377" s="93">
        <v>161</v>
      </c>
    </row>
    <row r="378" spans="1:45" ht="16.5">
      <c r="A378" s="93">
        <v>162</v>
      </c>
      <c r="B378" s="93" t="s">
        <v>101</v>
      </c>
      <c r="C378" s="93">
        <v>95.114999999999995</v>
      </c>
      <c r="D378" s="93">
        <v>2.92</v>
      </c>
      <c r="E378" s="93">
        <v>0</v>
      </c>
      <c r="F378" s="93">
        <v>0</v>
      </c>
      <c r="G378" s="93">
        <v>0</v>
      </c>
      <c r="H378" s="93">
        <v>0</v>
      </c>
      <c r="I378" s="93">
        <v>0</v>
      </c>
      <c r="J378" s="93">
        <v>0</v>
      </c>
      <c r="K378" s="93">
        <v>1.84</v>
      </c>
      <c r="L378" s="93">
        <v>0</v>
      </c>
      <c r="M378" s="74" t="str">
        <f t="array" ref="M378">_xlfn.TEXTJOIN("-", TRUE, IF(C378:L378&gt;0, $C$2:$L$2, ""))</f>
        <v xml:space="preserve"> Ti-Al-Fe</v>
      </c>
      <c r="N378" s="90">
        <f t="shared" si="10"/>
        <v>356</v>
      </c>
      <c r="O378" s="91">
        <f t="shared" si="11"/>
        <v>3</v>
      </c>
      <c r="P378" s="93">
        <v>1</v>
      </c>
      <c r="Q378" s="93">
        <v>0</v>
      </c>
      <c r="R378" s="93">
        <v>0</v>
      </c>
      <c r="S378" s="93">
        <v>45</v>
      </c>
      <c r="T378" s="94">
        <v>760</v>
      </c>
      <c r="U378" s="94">
        <v>2</v>
      </c>
      <c r="V378" s="8">
        <v>1</v>
      </c>
      <c r="W378" s="94">
        <v>540</v>
      </c>
      <c r="X378" s="94">
        <v>8</v>
      </c>
      <c r="Y378" s="103">
        <v>2</v>
      </c>
      <c r="Z378" s="9" t="s">
        <v>102</v>
      </c>
      <c r="AA378" s="9" t="s">
        <v>102</v>
      </c>
      <c r="AB378" s="93">
        <v>1222</v>
      </c>
      <c r="AC378" s="93">
        <v>1170</v>
      </c>
      <c r="AD378" s="93">
        <v>11.6</v>
      </c>
      <c r="AE378" s="9" t="s">
        <v>101</v>
      </c>
      <c r="AF378" s="9" t="s">
        <v>102</v>
      </c>
      <c r="AG378" s="9" t="s">
        <v>102</v>
      </c>
      <c r="AH378" s="9" t="s">
        <v>102</v>
      </c>
      <c r="AI378" s="9" t="s">
        <v>102</v>
      </c>
      <c r="AJ378" s="9" t="s">
        <v>102</v>
      </c>
      <c r="AK378" s="9" t="s">
        <v>102</v>
      </c>
      <c r="AL378" s="9" t="s">
        <v>102</v>
      </c>
      <c r="AN378" s="12" t="s">
        <v>101</v>
      </c>
      <c r="AO378" s="12" t="s">
        <v>103</v>
      </c>
      <c r="AP378" s="94">
        <v>162</v>
      </c>
      <c r="AQ378" s="94" t="s">
        <v>100</v>
      </c>
      <c r="AR378" s="93">
        <v>162</v>
      </c>
    </row>
    <row r="379" spans="1:45" ht="16.5">
      <c r="A379" s="93">
        <v>163</v>
      </c>
      <c r="B379" s="93" t="s">
        <v>101</v>
      </c>
      <c r="C379" s="93">
        <v>95.114999999999995</v>
      </c>
      <c r="D379" s="93">
        <v>2.92</v>
      </c>
      <c r="E379" s="93">
        <v>0</v>
      </c>
      <c r="F379" s="93">
        <v>0</v>
      </c>
      <c r="G379" s="93">
        <v>0</v>
      </c>
      <c r="H379" s="93">
        <v>0</v>
      </c>
      <c r="I379" s="93">
        <v>0</v>
      </c>
      <c r="J379" s="93">
        <v>0</v>
      </c>
      <c r="K379" s="93">
        <v>1.84</v>
      </c>
      <c r="L379" s="93">
        <v>0</v>
      </c>
      <c r="M379" s="74" t="str">
        <f t="array" ref="M379">_xlfn.TEXTJOIN("-", TRUE, IF(C379:L379&gt;0, $C$2:$L$2, ""))</f>
        <v xml:space="preserve"> Ti-Al-Fe</v>
      </c>
      <c r="N379" s="90">
        <f t="shared" si="10"/>
        <v>356</v>
      </c>
      <c r="O379" s="91">
        <f t="shared" si="11"/>
        <v>3</v>
      </c>
      <c r="P379" s="93">
        <v>1</v>
      </c>
      <c r="Q379" s="93">
        <v>0</v>
      </c>
      <c r="R379" s="93">
        <v>0</v>
      </c>
      <c r="S379" s="93">
        <v>45</v>
      </c>
      <c r="T379" s="94">
        <v>760</v>
      </c>
      <c r="U379" s="94">
        <v>2</v>
      </c>
      <c r="V379" s="8">
        <v>1</v>
      </c>
      <c r="W379" s="94">
        <v>580</v>
      </c>
      <c r="X379" s="94">
        <v>8</v>
      </c>
      <c r="Y379" s="103">
        <v>2</v>
      </c>
      <c r="Z379" s="9" t="s">
        <v>102</v>
      </c>
      <c r="AA379" s="9" t="s">
        <v>102</v>
      </c>
      <c r="AB379" s="93">
        <v>1048</v>
      </c>
      <c r="AC379" s="93">
        <v>1018</v>
      </c>
      <c r="AD379" s="93">
        <v>17.3</v>
      </c>
      <c r="AE379" s="9" t="s">
        <v>101</v>
      </c>
      <c r="AF379" s="9" t="s">
        <v>102</v>
      </c>
      <c r="AG379" s="9" t="s">
        <v>102</v>
      </c>
      <c r="AH379" s="9" t="s">
        <v>102</v>
      </c>
      <c r="AI379" s="9" t="s">
        <v>102</v>
      </c>
      <c r="AJ379" s="9" t="s">
        <v>102</v>
      </c>
      <c r="AK379" s="9" t="s">
        <v>102</v>
      </c>
      <c r="AL379" s="9" t="s">
        <v>102</v>
      </c>
      <c r="AN379" s="12" t="s">
        <v>101</v>
      </c>
      <c r="AO379" s="12" t="s">
        <v>103</v>
      </c>
      <c r="AP379" s="94">
        <v>163</v>
      </c>
      <c r="AQ379" s="94" t="s">
        <v>100</v>
      </c>
      <c r="AR379" s="93">
        <v>163</v>
      </c>
    </row>
    <row r="380" spans="1:45" ht="16.5">
      <c r="A380" s="93">
        <v>164</v>
      </c>
      <c r="B380" s="93" t="s">
        <v>101</v>
      </c>
      <c r="C380" s="93">
        <v>95.114999999999995</v>
      </c>
      <c r="D380" s="93">
        <v>2.92</v>
      </c>
      <c r="E380" s="93">
        <v>0</v>
      </c>
      <c r="F380" s="93">
        <v>0</v>
      </c>
      <c r="G380" s="93">
        <v>0</v>
      </c>
      <c r="H380" s="93">
        <v>0</v>
      </c>
      <c r="I380" s="93">
        <v>0</v>
      </c>
      <c r="J380" s="93">
        <v>0</v>
      </c>
      <c r="K380" s="93">
        <v>1.84</v>
      </c>
      <c r="L380" s="93">
        <v>0</v>
      </c>
      <c r="M380" s="74" t="str">
        <f t="array" ref="M380">_xlfn.TEXTJOIN("-", TRUE, IF(C380:L380&gt;0, $C$2:$L$2, ""))</f>
        <v xml:space="preserve"> Ti-Al-Fe</v>
      </c>
      <c r="N380" s="90">
        <f t="shared" si="10"/>
        <v>356</v>
      </c>
      <c r="O380" s="91">
        <f t="shared" si="11"/>
        <v>3</v>
      </c>
      <c r="P380" s="93">
        <v>1</v>
      </c>
      <c r="Q380" s="93">
        <v>0</v>
      </c>
      <c r="R380" s="93">
        <v>0</v>
      </c>
      <c r="S380" s="93">
        <v>45</v>
      </c>
      <c r="T380" s="94">
        <v>760</v>
      </c>
      <c r="U380" s="94">
        <v>2</v>
      </c>
      <c r="V380" s="8">
        <v>1</v>
      </c>
      <c r="W380" s="94">
        <v>620</v>
      </c>
      <c r="X380" s="94">
        <v>8</v>
      </c>
      <c r="Y380" s="103">
        <v>2</v>
      </c>
      <c r="Z380" s="9" t="s">
        <v>102</v>
      </c>
      <c r="AA380" s="9" t="s">
        <v>102</v>
      </c>
      <c r="AB380" s="93">
        <v>1018</v>
      </c>
      <c r="AC380" s="93">
        <v>986</v>
      </c>
      <c r="AD380" s="93">
        <v>20</v>
      </c>
      <c r="AE380" s="9" t="s">
        <v>101</v>
      </c>
      <c r="AF380" s="9" t="s">
        <v>102</v>
      </c>
      <c r="AG380" s="9" t="s">
        <v>102</v>
      </c>
      <c r="AH380" s="9" t="s">
        <v>102</v>
      </c>
      <c r="AI380" s="9" t="s">
        <v>102</v>
      </c>
      <c r="AJ380" s="9" t="s">
        <v>102</v>
      </c>
      <c r="AK380" s="9" t="s">
        <v>102</v>
      </c>
      <c r="AL380" s="9" t="s">
        <v>102</v>
      </c>
      <c r="AN380" s="12" t="s">
        <v>101</v>
      </c>
      <c r="AO380" s="12" t="s">
        <v>103</v>
      </c>
      <c r="AP380" s="94">
        <v>164</v>
      </c>
      <c r="AQ380" s="94" t="s">
        <v>100</v>
      </c>
      <c r="AR380" s="93">
        <v>164</v>
      </c>
      <c r="AS380" s="12"/>
    </row>
    <row r="381" spans="1:45" ht="16.5">
      <c r="A381" s="12">
        <v>56</v>
      </c>
      <c r="B381" s="12"/>
      <c r="C381" s="12">
        <v>87</v>
      </c>
      <c r="D381" s="12">
        <v>6</v>
      </c>
      <c r="E381" s="12">
        <v>0</v>
      </c>
      <c r="F381" s="12">
        <v>0</v>
      </c>
      <c r="G381" s="12">
        <v>0</v>
      </c>
      <c r="H381" s="12">
        <v>0</v>
      </c>
      <c r="I381" s="12">
        <v>7</v>
      </c>
      <c r="J381" s="12">
        <v>0</v>
      </c>
      <c r="K381" s="12">
        <v>0</v>
      </c>
      <c r="L381" s="12">
        <v>0</v>
      </c>
      <c r="M381" s="74" t="str">
        <f t="array" ref="M381">_xlfn.TEXTJOIN("-", TRUE, IF(C381:L381&gt;0, $C$2:$L$2, ""))</f>
        <v xml:space="preserve"> Ti-Al-Nb</v>
      </c>
      <c r="N381" s="90">
        <f t="shared" si="10"/>
        <v>381</v>
      </c>
      <c r="O381" s="91">
        <f t="shared" si="11"/>
        <v>3</v>
      </c>
      <c r="P381" s="12">
        <v>1</v>
      </c>
      <c r="Q381" s="12">
        <v>1</v>
      </c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>
        <v>933</v>
      </c>
      <c r="AC381" s="12"/>
      <c r="AD381" s="12">
        <v>7.1</v>
      </c>
      <c r="AE381" s="12"/>
      <c r="AF381" s="12"/>
      <c r="AG381" s="12"/>
      <c r="AH381" s="12"/>
      <c r="AI381" s="12"/>
      <c r="AJ381" s="12"/>
      <c r="AK381" s="12"/>
      <c r="AL381" s="12"/>
      <c r="AM381" s="12"/>
      <c r="AN381" s="12" t="s">
        <v>466</v>
      </c>
      <c r="AO381" s="12" t="s">
        <v>465</v>
      </c>
      <c r="AP381" s="12">
        <v>10</v>
      </c>
      <c r="AQ381" s="12" t="s">
        <v>374</v>
      </c>
      <c r="AR381" s="12">
        <v>56</v>
      </c>
    </row>
    <row r="382" spans="1:45" ht="16.5">
      <c r="A382" s="10">
        <v>54</v>
      </c>
      <c r="B382" s="10"/>
      <c r="C382" s="10">
        <v>90.924999999999997</v>
      </c>
      <c r="D382" s="10">
        <v>5.91</v>
      </c>
      <c r="E382" s="10">
        <v>0</v>
      </c>
      <c r="F382" s="10">
        <v>0</v>
      </c>
      <c r="G382" s="10">
        <v>0</v>
      </c>
      <c r="H382" s="10">
        <v>0</v>
      </c>
      <c r="I382" s="10">
        <v>3.03</v>
      </c>
      <c r="J382" s="10">
        <v>0</v>
      </c>
      <c r="K382" s="10">
        <v>0</v>
      </c>
      <c r="L382" s="10">
        <v>0</v>
      </c>
      <c r="M382" s="74" t="str">
        <f t="array" ref="M382">_xlfn.TEXTJOIN("-", TRUE, IF(C382:L382&gt;0, $C$2:$L$2, ""))</f>
        <v xml:space="preserve"> Ti-Al-Nb</v>
      </c>
      <c r="N382" s="90">
        <f t="shared" si="10"/>
        <v>381</v>
      </c>
      <c r="O382" s="91">
        <f t="shared" si="11"/>
        <v>3</v>
      </c>
      <c r="P382" s="10" t="s">
        <v>81</v>
      </c>
      <c r="Q382" s="10">
        <v>2</v>
      </c>
      <c r="R382" s="10" t="s">
        <v>81</v>
      </c>
      <c r="S382" s="10" t="s">
        <v>81</v>
      </c>
      <c r="T382" s="10">
        <v>830</v>
      </c>
      <c r="U382" s="10">
        <v>2</v>
      </c>
      <c r="V382" s="10">
        <v>2</v>
      </c>
      <c r="W382" s="10">
        <v>0</v>
      </c>
      <c r="X382" s="10">
        <v>0</v>
      </c>
      <c r="Y382" s="10">
        <v>0</v>
      </c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>
        <v>63.3</v>
      </c>
      <c r="AL382" s="10"/>
      <c r="AM382" s="10"/>
      <c r="AN382" s="11"/>
      <c r="AO382" s="11" t="s">
        <v>228</v>
      </c>
      <c r="AP382" s="10">
        <v>9</v>
      </c>
      <c r="AQ382" s="10" t="s">
        <v>83</v>
      </c>
      <c r="AR382" s="10">
        <v>54</v>
      </c>
      <c r="AS382" s="16"/>
    </row>
    <row r="383" spans="1:45" ht="16.5">
      <c r="A383" s="93">
        <v>377</v>
      </c>
      <c r="B383" s="93" t="s">
        <v>113</v>
      </c>
      <c r="C383" s="94">
        <v>85.929999999999993</v>
      </c>
      <c r="D383" s="94">
        <v>10.51</v>
      </c>
      <c r="E383" s="94">
        <v>0</v>
      </c>
      <c r="F383" s="94">
        <v>0</v>
      </c>
      <c r="G383" s="94">
        <v>0</v>
      </c>
      <c r="H383" s="94">
        <v>0</v>
      </c>
      <c r="I383" s="94">
        <v>3.56</v>
      </c>
      <c r="J383" s="94">
        <v>0</v>
      </c>
      <c r="K383" s="94">
        <v>0</v>
      </c>
      <c r="L383" s="94">
        <v>0</v>
      </c>
      <c r="M383" s="74" t="str">
        <f t="array" ref="M383">_xlfn.TEXTJOIN("-", TRUE, IF(C383:L383&gt;0, $C$2:$L$2, ""))</f>
        <v xml:space="preserve"> Ti-Al-Nb</v>
      </c>
      <c r="N383" s="90">
        <f t="shared" si="10"/>
        <v>381</v>
      </c>
      <c r="O383" s="91">
        <f t="shared" si="11"/>
        <v>3</v>
      </c>
      <c r="P383" s="94">
        <v>1</v>
      </c>
      <c r="Q383" s="94">
        <v>1</v>
      </c>
      <c r="R383" s="93" t="s">
        <v>113</v>
      </c>
      <c r="S383" s="93" t="s">
        <v>113</v>
      </c>
      <c r="T383" s="93" t="s">
        <v>113</v>
      </c>
      <c r="U383" s="93" t="s">
        <v>113</v>
      </c>
      <c r="V383" s="93">
        <v>2</v>
      </c>
      <c r="W383" s="93" t="s">
        <v>113</v>
      </c>
      <c r="X383" s="93" t="s">
        <v>113</v>
      </c>
      <c r="Y383" s="93" t="s">
        <v>113</v>
      </c>
      <c r="Z383" s="94">
        <v>110</v>
      </c>
      <c r="AA383" s="93" t="s">
        <v>113</v>
      </c>
      <c r="AB383" s="93" t="s">
        <v>113</v>
      </c>
      <c r="AC383" s="94">
        <v>800</v>
      </c>
      <c r="AD383" s="93" t="s">
        <v>113</v>
      </c>
      <c r="AE383" s="93" t="s">
        <v>113</v>
      </c>
      <c r="AF383" s="93" t="s">
        <v>113</v>
      </c>
      <c r="AG383" s="93" t="s">
        <v>113</v>
      </c>
      <c r="AH383" s="93" t="s">
        <v>113</v>
      </c>
      <c r="AI383" s="93" t="s">
        <v>113</v>
      </c>
      <c r="AJ383" s="93" t="s">
        <v>113</v>
      </c>
      <c r="AK383" s="93" t="s">
        <v>113</v>
      </c>
      <c r="AL383" s="93" t="s">
        <v>113</v>
      </c>
      <c r="AM383" s="93"/>
      <c r="AN383" s="93" t="s">
        <v>113</v>
      </c>
      <c r="AO383" s="93" t="s">
        <v>174</v>
      </c>
      <c r="AP383" s="94">
        <v>377</v>
      </c>
      <c r="AQ383" s="94" t="s">
        <v>100</v>
      </c>
      <c r="AR383" s="93">
        <v>377</v>
      </c>
    </row>
    <row r="384" spans="1:45" ht="16.5">
      <c r="A384" s="12">
        <v>109</v>
      </c>
      <c r="B384" s="12"/>
      <c r="C384" s="12">
        <v>88</v>
      </c>
      <c r="D384" s="12">
        <v>0</v>
      </c>
      <c r="E384" s="12">
        <v>0</v>
      </c>
      <c r="F384" s="12">
        <v>0</v>
      </c>
      <c r="G384" s="12">
        <v>8</v>
      </c>
      <c r="H384" s="12">
        <v>0</v>
      </c>
      <c r="I384" s="12">
        <v>0</v>
      </c>
      <c r="J384" s="12">
        <v>0</v>
      </c>
      <c r="K384" s="12">
        <v>0</v>
      </c>
      <c r="L384" s="12">
        <v>4</v>
      </c>
      <c r="M384" s="74" t="str">
        <f t="array" ref="M384">_xlfn.TEXTJOIN("-", TRUE, IF(C384:L384&gt;0, $C$2:$L$2, ""))</f>
        <v xml:space="preserve"> Ti-V-Sn</v>
      </c>
      <c r="N384" s="90">
        <f t="shared" si="10"/>
        <v>384</v>
      </c>
      <c r="O384" s="91">
        <f t="shared" si="11"/>
        <v>3</v>
      </c>
      <c r="P384" s="12">
        <v>1</v>
      </c>
      <c r="Q384" s="12">
        <v>1</v>
      </c>
      <c r="R384" s="12">
        <v>20</v>
      </c>
      <c r="S384" s="12">
        <v>86</v>
      </c>
      <c r="T384" s="12">
        <v>950</v>
      </c>
      <c r="U384" s="12">
        <v>2.5</v>
      </c>
      <c r="V384" s="12">
        <v>1</v>
      </c>
      <c r="W384" s="12">
        <v>0</v>
      </c>
      <c r="X384" s="12">
        <v>0</v>
      </c>
      <c r="Y384" s="12">
        <v>2</v>
      </c>
      <c r="Z384" s="12"/>
      <c r="AA384" s="12"/>
      <c r="AB384" s="12">
        <v>1040</v>
      </c>
      <c r="AC384" s="12"/>
      <c r="AD384" s="12">
        <v>6</v>
      </c>
      <c r="AE384" s="12"/>
      <c r="AF384" s="12"/>
      <c r="AG384" s="12"/>
      <c r="AH384" s="12"/>
      <c r="AI384" s="12"/>
      <c r="AJ384" s="12"/>
      <c r="AK384" s="12"/>
      <c r="AL384" s="12"/>
      <c r="AM384" s="12"/>
      <c r="AN384" s="12" t="s">
        <v>467</v>
      </c>
      <c r="AO384" s="12" t="s">
        <v>468</v>
      </c>
      <c r="AP384" s="12">
        <v>24</v>
      </c>
      <c r="AQ384" s="12" t="s">
        <v>374</v>
      </c>
      <c r="AR384" s="12">
        <v>109</v>
      </c>
    </row>
    <row r="385" spans="1:46" ht="16.5">
      <c r="A385" s="12">
        <v>110</v>
      </c>
      <c r="B385" s="12"/>
      <c r="C385" s="12">
        <v>88</v>
      </c>
      <c r="D385" s="12">
        <v>0</v>
      </c>
      <c r="E385" s="12">
        <v>0</v>
      </c>
      <c r="F385" s="12">
        <v>0</v>
      </c>
      <c r="G385" s="12">
        <v>8</v>
      </c>
      <c r="H385" s="12">
        <v>0</v>
      </c>
      <c r="I385" s="12">
        <v>0</v>
      </c>
      <c r="J385" s="12">
        <v>0</v>
      </c>
      <c r="K385" s="12">
        <v>0</v>
      </c>
      <c r="L385" s="12">
        <v>4</v>
      </c>
      <c r="M385" s="74" t="str">
        <f t="array" ref="M385">_xlfn.TEXTJOIN("-", TRUE, IF(C385:L385&gt;0, $C$2:$L$2, ""))</f>
        <v xml:space="preserve"> Ti-V-Sn</v>
      </c>
      <c r="N385" s="90">
        <f t="shared" si="10"/>
        <v>384</v>
      </c>
      <c r="O385" s="91">
        <f t="shared" si="11"/>
        <v>3</v>
      </c>
      <c r="P385" s="12">
        <v>1</v>
      </c>
      <c r="Q385" s="12">
        <v>1</v>
      </c>
      <c r="R385" s="12">
        <v>20</v>
      </c>
      <c r="S385" s="12">
        <v>86</v>
      </c>
      <c r="T385" s="12">
        <v>950</v>
      </c>
      <c r="U385" s="12">
        <v>2.5</v>
      </c>
      <c r="V385" s="12">
        <v>1</v>
      </c>
      <c r="W385" s="12">
        <v>250</v>
      </c>
      <c r="X385" s="12">
        <v>1.5</v>
      </c>
      <c r="Y385" s="12">
        <v>2</v>
      </c>
      <c r="Z385" s="12"/>
      <c r="AA385" s="12"/>
      <c r="AB385" s="12">
        <v>1157.51</v>
      </c>
      <c r="AC385" s="12"/>
      <c r="AD385" s="12">
        <v>4.79</v>
      </c>
      <c r="AE385" s="12"/>
      <c r="AF385" s="12"/>
      <c r="AG385" s="12"/>
      <c r="AH385" s="12"/>
      <c r="AI385" s="12"/>
      <c r="AJ385" s="12"/>
      <c r="AK385" s="12"/>
      <c r="AL385" s="12"/>
      <c r="AM385" s="12"/>
      <c r="AN385" s="12" t="s">
        <v>469</v>
      </c>
      <c r="AO385" s="12" t="s">
        <v>468</v>
      </c>
      <c r="AP385" s="12">
        <v>24</v>
      </c>
      <c r="AQ385" s="12" t="s">
        <v>374</v>
      </c>
      <c r="AR385" s="12">
        <v>110</v>
      </c>
    </row>
    <row r="386" spans="1:46" ht="16.5">
      <c r="A386" s="12">
        <v>111</v>
      </c>
      <c r="B386" s="12"/>
      <c r="C386" s="12">
        <v>75.3</v>
      </c>
      <c r="D386" s="12">
        <v>0</v>
      </c>
      <c r="E386" s="12">
        <v>0</v>
      </c>
      <c r="F386" s="12">
        <v>0</v>
      </c>
      <c r="G386" s="12">
        <v>20</v>
      </c>
      <c r="H386" s="12">
        <v>0</v>
      </c>
      <c r="I386" s="12">
        <v>0</v>
      </c>
      <c r="J386" s="12">
        <v>0</v>
      </c>
      <c r="K386" s="12">
        <v>0</v>
      </c>
      <c r="L386" s="12">
        <v>4.7</v>
      </c>
      <c r="M386" s="74" t="str">
        <f t="array" ref="M386">_xlfn.TEXTJOIN("-", TRUE, IF(C386:L386&gt;0, $C$2:$L$2, ""))</f>
        <v xml:space="preserve"> Ti-V-Sn</v>
      </c>
      <c r="N386" s="90">
        <f t="shared" si="10"/>
        <v>384</v>
      </c>
      <c r="O386" s="91">
        <f t="shared" si="11"/>
        <v>3</v>
      </c>
      <c r="P386" s="12">
        <v>1</v>
      </c>
      <c r="Q386" s="12">
        <v>1</v>
      </c>
      <c r="R386" s="12">
        <v>20</v>
      </c>
      <c r="S386" s="12">
        <v>86</v>
      </c>
      <c r="T386" s="12">
        <v>950</v>
      </c>
      <c r="U386" s="12">
        <v>2.5</v>
      </c>
      <c r="V386" s="12">
        <v>1</v>
      </c>
      <c r="W386" s="12">
        <v>0</v>
      </c>
      <c r="X386" s="12">
        <v>0</v>
      </c>
      <c r="Y386" s="12">
        <v>2</v>
      </c>
      <c r="Z386" s="12"/>
      <c r="AA386" s="12"/>
      <c r="AB386" s="12">
        <v>867.08</v>
      </c>
      <c r="AC386" s="12"/>
      <c r="AD386" s="12">
        <v>8.2899999999999991</v>
      </c>
      <c r="AE386" s="12"/>
      <c r="AF386" s="12"/>
      <c r="AG386" s="12"/>
      <c r="AH386" s="12"/>
      <c r="AI386" s="12"/>
      <c r="AJ386" s="12"/>
      <c r="AK386" s="12"/>
      <c r="AL386" s="12"/>
      <c r="AM386" s="12"/>
      <c r="AN386" s="12" t="s">
        <v>470</v>
      </c>
      <c r="AO386" s="12" t="s">
        <v>468</v>
      </c>
      <c r="AP386" s="12">
        <v>24</v>
      </c>
      <c r="AQ386" s="12" t="s">
        <v>374</v>
      </c>
      <c r="AR386" s="12">
        <v>111</v>
      </c>
    </row>
    <row r="387" spans="1:46" ht="16.5">
      <c r="A387" s="12">
        <v>112</v>
      </c>
      <c r="B387" s="12"/>
      <c r="C387" s="12">
        <v>75.3</v>
      </c>
      <c r="D387" s="12">
        <v>0</v>
      </c>
      <c r="E387" s="12">
        <v>0</v>
      </c>
      <c r="F387" s="12">
        <v>0</v>
      </c>
      <c r="G387" s="12">
        <v>20</v>
      </c>
      <c r="H387" s="12">
        <v>0</v>
      </c>
      <c r="I387" s="12">
        <v>0</v>
      </c>
      <c r="J387" s="12">
        <v>0</v>
      </c>
      <c r="K387" s="12">
        <v>0</v>
      </c>
      <c r="L387" s="12">
        <v>4.7</v>
      </c>
      <c r="M387" s="74" t="str">
        <f t="array" ref="M387">_xlfn.TEXTJOIN("-", TRUE, IF(C387:L387&gt;0, $C$2:$L$2, ""))</f>
        <v xml:space="preserve"> Ti-V-Sn</v>
      </c>
      <c r="N387" s="90">
        <f t="shared" ref="N387:N450" si="12">IF(COUNTIF(M$3:M$1206, M387)&gt;1, MATCH(M387, M:M, 0), "")</f>
        <v>384</v>
      </c>
      <c r="O387" s="91">
        <f t="shared" ref="O387:O450" si="13">COUNTIF(C387:L387, "&lt;&gt;0")</f>
        <v>3</v>
      </c>
      <c r="P387" s="12">
        <v>1</v>
      </c>
      <c r="Q387" s="12">
        <v>1</v>
      </c>
      <c r="R387" s="12">
        <v>20</v>
      </c>
      <c r="S387" s="12">
        <v>86</v>
      </c>
      <c r="T387" s="12">
        <v>950</v>
      </c>
      <c r="U387" s="12">
        <v>2.5</v>
      </c>
      <c r="V387" s="12">
        <v>1</v>
      </c>
      <c r="W387" s="12">
        <v>250</v>
      </c>
      <c r="X387" s="12">
        <v>1.5</v>
      </c>
      <c r="Y387" s="12">
        <v>2</v>
      </c>
      <c r="Z387" s="12"/>
      <c r="AA387" s="12"/>
      <c r="AB387" s="12">
        <v>1264.1199999999999</v>
      </c>
      <c r="AC387" s="12"/>
      <c r="AD387" s="12">
        <v>0.5</v>
      </c>
      <c r="AE387" s="12"/>
      <c r="AF387" s="12"/>
      <c r="AG387" s="12"/>
      <c r="AH387" s="12"/>
      <c r="AI387" s="12"/>
      <c r="AJ387" s="12"/>
      <c r="AK387" s="12"/>
      <c r="AL387" s="12"/>
      <c r="AM387" s="12"/>
      <c r="AN387" s="12" t="s">
        <v>471</v>
      </c>
      <c r="AO387" s="12" t="s">
        <v>468</v>
      </c>
      <c r="AP387" s="12">
        <v>24</v>
      </c>
      <c r="AQ387" s="12" t="s">
        <v>374</v>
      </c>
      <c r="AR387" s="12">
        <v>112</v>
      </c>
    </row>
    <row r="388" spans="1:46" ht="16.5">
      <c r="A388" s="10">
        <v>53</v>
      </c>
      <c r="B388" s="10"/>
      <c r="C388" s="10">
        <v>92.155000000000001</v>
      </c>
      <c r="D388" s="10">
        <v>5.73</v>
      </c>
      <c r="E388" s="10">
        <v>0</v>
      </c>
      <c r="F388" s="10">
        <v>2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74" t="str">
        <f t="array" ref="M388">_xlfn.TEXTJOIN("-", TRUE, IF(C388:L388&gt;0, $C$2:$L$2, ""))</f>
        <v xml:space="preserve"> Ti-Al-Mo</v>
      </c>
      <c r="N388" s="90">
        <f t="shared" si="12"/>
        <v>388</v>
      </c>
      <c r="O388" s="91">
        <f t="shared" si="13"/>
        <v>3</v>
      </c>
      <c r="P388" s="10" t="s">
        <v>81</v>
      </c>
      <c r="Q388" s="10">
        <v>2</v>
      </c>
      <c r="R388" s="10" t="s">
        <v>81</v>
      </c>
      <c r="S388" s="10" t="s">
        <v>81</v>
      </c>
      <c r="T388" s="10">
        <v>830</v>
      </c>
      <c r="U388" s="10">
        <v>2</v>
      </c>
      <c r="V388" s="10">
        <v>2</v>
      </c>
      <c r="W388" s="10">
        <v>0</v>
      </c>
      <c r="X388" s="10">
        <v>0</v>
      </c>
      <c r="Y388" s="10">
        <v>0</v>
      </c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>
        <v>62.8</v>
      </c>
      <c r="AL388" s="10"/>
      <c r="AM388" s="10"/>
      <c r="AN388" s="11"/>
      <c r="AO388" s="11" t="s">
        <v>228</v>
      </c>
      <c r="AP388" s="10">
        <v>9</v>
      </c>
      <c r="AQ388" s="10" t="s">
        <v>83</v>
      </c>
      <c r="AR388" s="10">
        <v>53</v>
      </c>
      <c r="AS388" s="16"/>
    </row>
    <row r="389" spans="1:46" ht="16.5">
      <c r="A389" s="93">
        <v>40</v>
      </c>
      <c r="B389" s="93" t="s">
        <v>101</v>
      </c>
      <c r="C389" s="93">
        <v>81.849999999999994</v>
      </c>
      <c r="D389" s="93">
        <v>4.4000000000000004</v>
      </c>
      <c r="E389" s="93">
        <v>0</v>
      </c>
      <c r="F389" s="93">
        <v>13.6</v>
      </c>
      <c r="G389" s="93">
        <v>0</v>
      </c>
      <c r="H389" s="93">
        <v>0</v>
      </c>
      <c r="I389" s="93">
        <v>0</v>
      </c>
      <c r="J389" s="93">
        <v>0</v>
      </c>
      <c r="K389" s="93">
        <v>0</v>
      </c>
      <c r="L389" s="93">
        <v>0</v>
      </c>
      <c r="M389" s="74" t="str">
        <f t="array" ref="M389">_xlfn.TEXTJOIN("-", TRUE, IF(C389:L389&gt;0, $C$2:$L$2, ""))</f>
        <v xml:space="preserve"> Ti-Al-Mo</v>
      </c>
      <c r="N389" s="90">
        <f t="shared" si="12"/>
        <v>388</v>
      </c>
      <c r="O389" s="91">
        <f t="shared" si="13"/>
        <v>3</v>
      </c>
      <c r="P389" s="93">
        <v>1</v>
      </c>
      <c r="Q389" s="93">
        <v>0</v>
      </c>
      <c r="R389" s="93">
        <v>0</v>
      </c>
      <c r="S389" s="93">
        <v>0</v>
      </c>
      <c r="T389" s="94">
        <v>900</v>
      </c>
      <c r="U389" s="94">
        <v>0.5</v>
      </c>
      <c r="V389" s="8">
        <v>1</v>
      </c>
      <c r="W389" s="94">
        <v>500</v>
      </c>
      <c r="X389" s="94">
        <v>4</v>
      </c>
      <c r="Y389" s="103">
        <v>2</v>
      </c>
      <c r="Z389" s="9" t="s">
        <v>102</v>
      </c>
      <c r="AA389" s="9" t="s">
        <v>102</v>
      </c>
      <c r="AB389" s="93">
        <v>1393.33</v>
      </c>
      <c r="AC389" s="93">
        <v>1290</v>
      </c>
      <c r="AD389" s="93">
        <v>5.67</v>
      </c>
      <c r="AE389" s="9" t="s">
        <v>101</v>
      </c>
      <c r="AF389" s="9" t="s">
        <v>102</v>
      </c>
      <c r="AG389" s="9" t="s">
        <v>102</v>
      </c>
      <c r="AH389" s="9" t="s">
        <v>102</v>
      </c>
      <c r="AI389" s="9" t="s">
        <v>102</v>
      </c>
      <c r="AJ389" s="9" t="s">
        <v>102</v>
      </c>
      <c r="AK389" s="9" t="s">
        <v>102</v>
      </c>
      <c r="AL389" s="9" t="s">
        <v>102</v>
      </c>
      <c r="AN389" s="12" t="s">
        <v>101</v>
      </c>
      <c r="AO389" s="12" t="s">
        <v>103</v>
      </c>
      <c r="AP389" s="94">
        <v>40</v>
      </c>
      <c r="AQ389" s="94" t="s">
        <v>100</v>
      </c>
      <c r="AR389" s="93">
        <v>40</v>
      </c>
    </row>
    <row r="390" spans="1:46" ht="16.5">
      <c r="A390" s="93">
        <v>41</v>
      </c>
      <c r="B390" s="93" t="s">
        <v>101</v>
      </c>
      <c r="C390" s="93">
        <v>81.849999999999994</v>
      </c>
      <c r="D390" s="93">
        <v>4.4000000000000004</v>
      </c>
      <c r="E390" s="93">
        <v>0</v>
      </c>
      <c r="F390" s="93">
        <v>13.6</v>
      </c>
      <c r="G390" s="93">
        <v>0</v>
      </c>
      <c r="H390" s="93">
        <v>0</v>
      </c>
      <c r="I390" s="93">
        <v>0</v>
      </c>
      <c r="J390" s="93">
        <v>0</v>
      </c>
      <c r="K390" s="93">
        <v>0</v>
      </c>
      <c r="L390" s="93">
        <v>0</v>
      </c>
      <c r="M390" s="74" t="str">
        <f t="array" ref="M390">_xlfn.TEXTJOIN("-", TRUE, IF(C390:L390&gt;0, $C$2:$L$2, ""))</f>
        <v xml:space="preserve"> Ti-Al-Mo</v>
      </c>
      <c r="N390" s="90">
        <f t="shared" si="12"/>
        <v>388</v>
      </c>
      <c r="O390" s="91">
        <f t="shared" si="13"/>
        <v>3</v>
      </c>
      <c r="P390" s="93">
        <v>1</v>
      </c>
      <c r="Q390" s="93">
        <v>0</v>
      </c>
      <c r="R390" s="93">
        <v>0</v>
      </c>
      <c r="S390" s="93">
        <v>0</v>
      </c>
      <c r="T390" s="94">
        <v>900</v>
      </c>
      <c r="U390" s="94">
        <v>0.5</v>
      </c>
      <c r="V390" s="8">
        <v>1</v>
      </c>
      <c r="W390" s="94">
        <v>600</v>
      </c>
      <c r="X390" s="94">
        <v>4</v>
      </c>
      <c r="Y390" s="103">
        <v>2</v>
      </c>
      <c r="Z390" s="9" t="s">
        <v>102</v>
      </c>
      <c r="AA390" s="9" t="s">
        <v>102</v>
      </c>
      <c r="AB390" s="93">
        <v>1116.67</v>
      </c>
      <c r="AC390" s="93">
        <v>1020</v>
      </c>
      <c r="AD390" s="93">
        <v>12.5</v>
      </c>
      <c r="AE390" s="9" t="s">
        <v>101</v>
      </c>
      <c r="AF390" s="9" t="s">
        <v>102</v>
      </c>
      <c r="AG390" s="9" t="s">
        <v>102</v>
      </c>
      <c r="AH390" s="9" t="s">
        <v>102</v>
      </c>
      <c r="AI390" s="9" t="s">
        <v>102</v>
      </c>
      <c r="AJ390" s="9" t="s">
        <v>102</v>
      </c>
      <c r="AK390" s="9" t="s">
        <v>102</v>
      </c>
      <c r="AL390" s="9" t="s">
        <v>102</v>
      </c>
      <c r="AN390" s="12" t="s">
        <v>101</v>
      </c>
      <c r="AO390" s="12" t="s">
        <v>103</v>
      </c>
      <c r="AP390" s="94">
        <v>41</v>
      </c>
      <c r="AQ390" s="94" t="s">
        <v>100</v>
      </c>
      <c r="AR390" s="93">
        <v>41</v>
      </c>
    </row>
    <row r="391" spans="1:46" ht="16.5">
      <c r="A391" s="93">
        <v>42</v>
      </c>
      <c r="B391" s="93" t="s">
        <v>101</v>
      </c>
      <c r="C391" s="93">
        <v>81.849999999999994</v>
      </c>
      <c r="D391" s="93">
        <v>4.4000000000000004</v>
      </c>
      <c r="E391" s="93">
        <v>0</v>
      </c>
      <c r="F391" s="93">
        <v>13.6</v>
      </c>
      <c r="G391" s="93">
        <v>0</v>
      </c>
      <c r="H391" s="93">
        <v>0</v>
      </c>
      <c r="I391" s="93">
        <v>0</v>
      </c>
      <c r="J391" s="93">
        <v>0</v>
      </c>
      <c r="K391" s="93">
        <v>0</v>
      </c>
      <c r="L391" s="93">
        <v>0</v>
      </c>
      <c r="M391" s="74" t="str">
        <f t="array" ref="M391">_xlfn.TEXTJOIN("-", TRUE, IF(C391:L391&gt;0, $C$2:$L$2, ""))</f>
        <v xml:space="preserve"> Ti-Al-Mo</v>
      </c>
      <c r="N391" s="90">
        <f t="shared" si="12"/>
        <v>388</v>
      </c>
      <c r="O391" s="91">
        <f t="shared" si="13"/>
        <v>3</v>
      </c>
      <c r="P391" s="93">
        <v>1</v>
      </c>
      <c r="Q391" s="93">
        <v>0</v>
      </c>
      <c r="R391" s="93">
        <v>0</v>
      </c>
      <c r="S391" s="93">
        <v>0</v>
      </c>
      <c r="T391" s="94">
        <v>900</v>
      </c>
      <c r="U391" s="94">
        <v>0.5</v>
      </c>
      <c r="V391" s="8">
        <v>1</v>
      </c>
      <c r="W391" s="94">
        <v>700</v>
      </c>
      <c r="X391" s="94">
        <v>4</v>
      </c>
      <c r="Y391" s="103">
        <v>2</v>
      </c>
      <c r="Z391" s="9" t="s">
        <v>102</v>
      </c>
      <c r="AA391" s="9" t="s">
        <v>102</v>
      </c>
      <c r="AB391" s="93">
        <v>945</v>
      </c>
      <c r="AC391" s="93">
        <v>898.33</v>
      </c>
      <c r="AD391" s="93">
        <v>18.670000000000002</v>
      </c>
      <c r="AE391" s="9" t="s">
        <v>101</v>
      </c>
      <c r="AF391" s="9" t="s">
        <v>102</v>
      </c>
      <c r="AG391" s="9" t="s">
        <v>102</v>
      </c>
      <c r="AH391" s="9" t="s">
        <v>102</v>
      </c>
      <c r="AI391" s="9" t="s">
        <v>102</v>
      </c>
      <c r="AJ391" s="9" t="s">
        <v>102</v>
      </c>
      <c r="AK391" s="9" t="s">
        <v>102</v>
      </c>
      <c r="AL391" s="9" t="s">
        <v>102</v>
      </c>
      <c r="AN391" s="12" t="s">
        <v>101</v>
      </c>
      <c r="AO391" s="12" t="s">
        <v>103</v>
      </c>
      <c r="AP391" s="94">
        <v>42</v>
      </c>
      <c r="AQ391" s="94" t="s">
        <v>100</v>
      </c>
      <c r="AR391" s="93">
        <v>42</v>
      </c>
    </row>
    <row r="392" spans="1:46" ht="16.5">
      <c r="A392" s="10">
        <v>78</v>
      </c>
      <c r="B392" s="10"/>
      <c r="C392" s="10">
        <v>84</v>
      </c>
      <c r="D392" s="10">
        <v>0</v>
      </c>
      <c r="E392" s="10">
        <v>0</v>
      </c>
      <c r="F392" s="10">
        <v>15</v>
      </c>
      <c r="G392" s="10">
        <v>0</v>
      </c>
      <c r="H392" s="10">
        <v>0</v>
      </c>
      <c r="I392" s="10">
        <v>0</v>
      </c>
      <c r="J392" s="10">
        <v>0</v>
      </c>
      <c r="K392" s="10">
        <v>1</v>
      </c>
      <c r="L392" s="10">
        <v>0</v>
      </c>
      <c r="M392" s="74" t="str">
        <f t="array" ref="M392">_xlfn.TEXTJOIN("-", TRUE, IF(C392:L392&gt;0, $C$2:$L$2, ""))</f>
        <v xml:space="preserve"> Ti-Mo-Fe</v>
      </c>
      <c r="N392" s="90">
        <f t="shared" si="12"/>
        <v>392</v>
      </c>
      <c r="O392" s="91">
        <f t="shared" si="13"/>
        <v>3</v>
      </c>
      <c r="P392" s="10" t="s">
        <v>81</v>
      </c>
      <c r="Q392" s="10">
        <v>2</v>
      </c>
      <c r="R392" s="10" t="s">
        <v>81</v>
      </c>
      <c r="S392" s="10" t="s">
        <v>81</v>
      </c>
      <c r="T392" s="10">
        <v>900</v>
      </c>
      <c r="U392" s="10">
        <v>1</v>
      </c>
      <c r="V392" s="10" t="s">
        <v>81</v>
      </c>
      <c r="W392" s="10">
        <v>0</v>
      </c>
      <c r="X392" s="10">
        <v>0</v>
      </c>
      <c r="Y392" s="10">
        <v>0</v>
      </c>
      <c r="Z392" s="10"/>
      <c r="AA392" s="10"/>
      <c r="AB392" s="10"/>
      <c r="AC392" s="10">
        <v>845</v>
      </c>
      <c r="AD392" s="10"/>
      <c r="AE392" s="10"/>
      <c r="AF392" s="10"/>
      <c r="AG392" s="10"/>
      <c r="AH392" s="10"/>
      <c r="AI392" s="10"/>
      <c r="AJ392" s="10"/>
      <c r="AK392" s="10"/>
      <c r="AL392" s="10">
        <v>64</v>
      </c>
      <c r="AM392" s="10"/>
      <c r="AN392" s="11"/>
      <c r="AO392" s="11" t="s">
        <v>131</v>
      </c>
      <c r="AP392" s="10">
        <v>16</v>
      </c>
      <c r="AQ392" s="10" t="s">
        <v>83</v>
      </c>
      <c r="AR392" s="11" t="s">
        <v>472</v>
      </c>
      <c r="AS392" s="10" t="s">
        <v>151</v>
      </c>
      <c r="AT392" s="11"/>
    </row>
    <row r="393" spans="1:46" ht="16.5">
      <c r="A393" s="93">
        <v>366</v>
      </c>
      <c r="B393" s="93" t="s">
        <v>113</v>
      </c>
      <c r="C393" s="94">
        <v>93.61</v>
      </c>
      <c r="D393" s="94">
        <v>0</v>
      </c>
      <c r="E393" s="94">
        <v>0</v>
      </c>
      <c r="F393" s="94">
        <v>2.42</v>
      </c>
      <c r="G393" s="94">
        <v>0</v>
      </c>
      <c r="H393" s="94">
        <v>0</v>
      </c>
      <c r="I393" s="94">
        <v>0</v>
      </c>
      <c r="J393" s="94">
        <v>0</v>
      </c>
      <c r="K393" s="94">
        <v>3.9800000000000004</v>
      </c>
      <c r="L393" s="94">
        <v>0</v>
      </c>
      <c r="M393" s="74" t="str">
        <f t="array" ref="M393">_xlfn.TEXTJOIN("-", TRUE, IF(C393:L393&gt;0, $C$2:$L$2, ""))</f>
        <v xml:space="preserve"> Ti-Mo-Fe</v>
      </c>
      <c r="N393" s="90">
        <f t="shared" si="12"/>
        <v>392</v>
      </c>
      <c r="O393" s="91">
        <f t="shared" si="13"/>
        <v>3</v>
      </c>
      <c r="P393" s="94">
        <v>1</v>
      </c>
      <c r="Q393" s="94">
        <v>1</v>
      </c>
      <c r="R393" s="93" t="s">
        <v>113</v>
      </c>
      <c r="S393" s="93" t="s">
        <v>113</v>
      </c>
      <c r="T393" s="93" t="s">
        <v>113</v>
      </c>
      <c r="U393" s="93" t="s">
        <v>113</v>
      </c>
      <c r="V393" s="93">
        <v>1</v>
      </c>
      <c r="W393" s="93" t="s">
        <v>113</v>
      </c>
      <c r="X393" s="93" t="s">
        <v>113</v>
      </c>
      <c r="Y393" s="93" t="s">
        <v>113</v>
      </c>
      <c r="Z393" s="94">
        <v>83</v>
      </c>
      <c r="AA393" s="93" t="s">
        <v>113</v>
      </c>
      <c r="AB393" s="93" t="s">
        <v>113</v>
      </c>
      <c r="AC393" s="94">
        <v>936</v>
      </c>
      <c r="AD393" s="93" t="s">
        <v>113</v>
      </c>
      <c r="AE393" s="93" t="s">
        <v>113</v>
      </c>
      <c r="AF393" s="93" t="s">
        <v>113</v>
      </c>
      <c r="AG393" s="93" t="s">
        <v>113</v>
      </c>
      <c r="AH393" s="93" t="s">
        <v>113</v>
      </c>
      <c r="AI393" s="93" t="s">
        <v>113</v>
      </c>
      <c r="AJ393" s="93" t="s">
        <v>113</v>
      </c>
      <c r="AK393" s="93" t="s">
        <v>113</v>
      </c>
      <c r="AL393" s="93" t="s">
        <v>113</v>
      </c>
      <c r="AM393" s="93"/>
      <c r="AN393" s="93" t="s">
        <v>113</v>
      </c>
      <c r="AO393" s="93" t="s">
        <v>174</v>
      </c>
      <c r="AP393" s="94">
        <v>366</v>
      </c>
      <c r="AQ393" s="94" t="s">
        <v>100</v>
      </c>
      <c r="AR393" s="93">
        <v>366</v>
      </c>
    </row>
    <row r="394" spans="1:46" ht="16.5">
      <c r="A394" s="93">
        <v>459</v>
      </c>
      <c r="B394" s="93" t="s">
        <v>113</v>
      </c>
      <c r="C394" s="94">
        <v>93.44</v>
      </c>
      <c r="D394" s="94">
        <v>0</v>
      </c>
      <c r="E394" s="94">
        <v>0</v>
      </c>
      <c r="F394" s="94">
        <v>6.54</v>
      </c>
      <c r="G394" s="94">
        <v>0</v>
      </c>
      <c r="H394" s="94">
        <v>0</v>
      </c>
      <c r="I394" s="94">
        <v>0</v>
      </c>
      <c r="J394" s="94">
        <v>0</v>
      </c>
      <c r="K394" s="94">
        <v>0.02</v>
      </c>
      <c r="L394" s="94">
        <v>0</v>
      </c>
      <c r="M394" s="74" t="str">
        <f t="array" ref="M394">_xlfn.TEXTJOIN("-", TRUE, IF(C394:L394&gt;0, $C$2:$L$2, ""))</f>
        <v xml:space="preserve"> Ti-Mo-Fe</v>
      </c>
      <c r="N394" s="90">
        <f t="shared" si="12"/>
        <v>392</v>
      </c>
      <c r="O394" s="91">
        <f t="shared" si="13"/>
        <v>3</v>
      </c>
      <c r="P394" s="94">
        <v>1</v>
      </c>
      <c r="Q394" s="94">
        <v>1</v>
      </c>
      <c r="R394" s="93" t="s">
        <v>113</v>
      </c>
      <c r="S394" s="93" t="s">
        <v>113</v>
      </c>
      <c r="T394" s="93" t="s">
        <v>113</v>
      </c>
      <c r="U394" s="93" t="s">
        <v>113</v>
      </c>
      <c r="V394" s="93">
        <v>1</v>
      </c>
      <c r="W394" s="93" t="s">
        <v>113</v>
      </c>
      <c r="X394" s="93" t="s">
        <v>113</v>
      </c>
      <c r="Y394" s="93" t="s">
        <v>113</v>
      </c>
      <c r="Z394" s="94">
        <v>78</v>
      </c>
      <c r="AA394" s="93" t="s">
        <v>113</v>
      </c>
      <c r="AB394" s="93" t="s">
        <v>113</v>
      </c>
      <c r="AC394" s="94">
        <v>481</v>
      </c>
      <c r="AD394" s="93" t="s">
        <v>113</v>
      </c>
      <c r="AE394" s="93" t="s">
        <v>113</v>
      </c>
      <c r="AF394" s="93" t="s">
        <v>113</v>
      </c>
      <c r="AG394" s="93" t="s">
        <v>113</v>
      </c>
      <c r="AH394" s="93" t="s">
        <v>113</v>
      </c>
      <c r="AI394" s="93" t="s">
        <v>113</v>
      </c>
      <c r="AJ394" s="93" t="s">
        <v>113</v>
      </c>
      <c r="AK394" s="93" t="s">
        <v>113</v>
      </c>
      <c r="AL394" s="93" t="s">
        <v>113</v>
      </c>
      <c r="AM394" s="93"/>
      <c r="AN394" s="93" t="s">
        <v>113</v>
      </c>
      <c r="AO394" s="93" t="s">
        <v>174</v>
      </c>
      <c r="AP394" s="94">
        <v>459</v>
      </c>
      <c r="AQ394" s="94" t="s">
        <v>100</v>
      </c>
      <c r="AR394" s="93">
        <v>459</v>
      </c>
    </row>
    <row r="395" spans="1:46" ht="16.5">
      <c r="A395" s="93">
        <v>501</v>
      </c>
      <c r="B395" s="93" t="s">
        <v>113</v>
      </c>
      <c r="C395" s="94">
        <v>93.61</v>
      </c>
      <c r="D395" s="94">
        <v>0</v>
      </c>
      <c r="E395" s="94">
        <v>0</v>
      </c>
      <c r="F395" s="94">
        <v>6.370000000000001</v>
      </c>
      <c r="G395" s="94">
        <v>0</v>
      </c>
      <c r="H395" s="94">
        <v>0</v>
      </c>
      <c r="I395" s="94">
        <v>0</v>
      </c>
      <c r="J395" s="94">
        <v>0</v>
      </c>
      <c r="K395" s="94">
        <v>0.02</v>
      </c>
      <c r="L395" s="94">
        <v>0</v>
      </c>
      <c r="M395" s="74" t="str">
        <f t="array" ref="M395">_xlfn.TEXTJOIN("-", TRUE, IF(C395:L395&gt;0, $C$2:$L$2, ""))</f>
        <v xml:space="preserve"> Ti-Mo-Fe</v>
      </c>
      <c r="N395" s="90">
        <f t="shared" si="12"/>
        <v>392</v>
      </c>
      <c r="O395" s="91">
        <f t="shared" si="13"/>
        <v>3</v>
      </c>
      <c r="P395" s="94">
        <v>1</v>
      </c>
      <c r="Q395" s="94">
        <v>1</v>
      </c>
      <c r="R395" s="93" t="s">
        <v>113</v>
      </c>
      <c r="S395" s="93" t="s">
        <v>113</v>
      </c>
      <c r="T395" s="93" t="s">
        <v>113</v>
      </c>
      <c r="U395" s="93" t="s">
        <v>113</v>
      </c>
      <c r="V395" s="94">
        <v>1</v>
      </c>
      <c r="W395" s="93" t="s">
        <v>113</v>
      </c>
      <c r="X395" s="93" t="s">
        <v>113</v>
      </c>
      <c r="Y395" s="93" t="s">
        <v>113</v>
      </c>
      <c r="Z395" s="94">
        <v>84</v>
      </c>
      <c r="AA395" s="93" t="s">
        <v>113</v>
      </c>
      <c r="AB395" s="93" t="s">
        <v>113</v>
      </c>
      <c r="AC395" s="94">
        <v>480</v>
      </c>
      <c r="AD395" s="93" t="s">
        <v>113</v>
      </c>
      <c r="AE395" s="93" t="s">
        <v>113</v>
      </c>
      <c r="AF395" s="93" t="s">
        <v>113</v>
      </c>
      <c r="AG395" s="93" t="s">
        <v>113</v>
      </c>
      <c r="AH395" s="93" t="s">
        <v>113</v>
      </c>
      <c r="AI395" s="93" t="s">
        <v>113</v>
      </c>
      <c r="AJ395" s="93" t="s">
        <v>113</v>
      </c>
      <c r="AK395" s="93" t="s">
        <v>113</v>
      </c>
      <c r="AL395" s="93" t="s">
        <v>113</v>
      </c>
      <c r="AM395" s="93"/>
      <c r="AN395" s="93" t="s">
        <v>113</v>
      </c>
      <c r="AO395" s="93" t="s">
        <v>174</v>
      </c>
      <c r="AP395" s="94">
        <v>501</v>
      </c>
      <c r="AQ395" s="94" t="s">
        <v>100</v>
      </c>
      <c r="AR395" s="93">
        <v>501</v>
      </c>
    </row>
    <row r="396" spans="1:46" ht="16.5">
      <c r="A396" s="93">
        <v>38</v>
      </c>
      <c r="B396" s="93" t="s">
        <v>101</v>
      </c>
      <c r="C396" s="93">
        <v>85.11</v>
      </c>
      <c r="D396" s="93">
        <v>5.0599999999999996</v>
      </c>
      <c r="E396" s="93">
        <v>0</v>
      </c>
      <c r="F396" s="93">
        <v>0</v>
      </c>
      <c r="G396" s="93">
        <v>0</v>
      </c>
      <c r="H396" s="93">
        <v>0</v>
      </c>
      <c r="I396" s="93">
        <v>0</v>
      </c>
      <c r="J396" s="93">
        <v>9.68</v>
      </c>
      <c r="K396" s="93">
        <v>0</v>
      </c>
      <c r="L396" s="93">
        <v>0</v>
      </c>
      <c r="M396" s="74" t="str">
        <f t="array" ref="M396">_xlfn.TEXTJOIN("-", TRUE, IF(C396:L396&gt;0, $C$2:$L$2, ""))</f>
        <v xml:space="preserve"> Ti-Al-Cr</v>
      </c>
      <c r="N396" s="90">
        <f t="shared" si="12"/>
        <v>396</v>
      </c>
      <c r="O396" s="91">
        <f t="shared" si="13"/>
        <v>3</v>
      </c>
      <c r="P396" s="93">
        <v>1</v>
      </c>
      <c r="Q396" s="93">
        <v>0</v>
      </c>
      <c r="R396" s="93">
        <v>0</v>
      </c>
      <c r="S396" s="93">
        <v>0</v>
      </c>
      <c r="T396" s="94">
        <v>900</v>
      </c>
      <c r="U396" s="94">
        <v>0.5</v>
      </c>
      <c r="V396" s="8">
        <v>1</v>
      </c>
      <c r="W396" s="94">
        <v>600</v>
      </c>
      <c r="X396" s="94">
        <v>4</v>
      </c>
      <c r="Y396" s="103">
        <v>2</v>
      </c>
      <c r="Z396" s="9" t="s">
        <v>102</v>
      </c>
      <c r="AA396" s="9" t="s">
        <v>102</v>
      </c>
      <c r="AB396" s="93">
        <v>1043.33</v>
      </c>
      <c r="AC396" s="9" t="s">
        <v>101</v>
      </c>
      <c r="AD396" s="9" t="s">
        <v>101</v>
      </c>
      <c r="AE396" s="9" t="s">
        <v>101</v>
      </c>
      <c r="AF396" s="9" t="s">
        <v>102</v>
      </c>
      <c r="AG396" s="9" t="s">
        <v>102</v>
      </c>
      <c r="AH396" s="9" t="s">
        <v>102</v>
      </c>
      <c r="AI396" s="9" t="s">
        <v>102</v>
      </c>
      <c r="AJ396" s="9" t="s">
        <v>102</v>
      </c>
      <c r="AK396" s="9" t="s">
        <v>102</v>
      </c>
      <c r="AL396" s="9" t="s">
        <v>102</v>
      </c>
      <c r="AN396" s="12" t="s">
        <v>101</v>
      </c>
      <c r="AO396" s="12" t="s">
        <v>103</v>
      </c>
      <c r="AP396" s="94">
        <v>38</v>
      </c>
      <c r="AQ396" s="94" t="s">
        <v>100</v>
      </c>
      <c r="AR396" s="93">
        <v>38</v>
      </c>
    </row>
    <row r="397" spans="1:46" ht="16.5">
      <c r="A397" s="93">
        <v>39</v>
      </c>
      <c r="B397" s="93" t="s">
        <v>101</v>
      </c>
      <c r="C397" s="93">
        <v>85.11</v>
      </c>
      <c r="D397" s="93">
        <v>5.0599999999999996</v>
      </c>
      <c r="E397" s="93">
        <v>0</v>
      </c>
      <c r="F397" s="93">
        <v>0</v>
      </c>
      <c r="G397" s="93">
        <v>0</v>
      </c>
      <c r="H397" s="93">
        <v>0</v>
      </c>
      <c r="I397" s="93">
        <v>0</v>
      </c>
      <c r="J397" s="93">
        <v>9.68</v>
      </c>
      <c r="K397" s="93">
        <v>0</v>
      </c>
      <c r="L397" s="93">
        <v>0</v>
      </c>
      <c r="M397" s="74" t="str">
        <f t="array" ref="M397">_xlfn.TEXTJOIN("-", TRUE, IF(C397:L397&gt;0, $C$2:$L$2, ""))</f>
        <v xml:space="preserve"> Ti-Al-Cr</v>
      </c>
      <c r="N397" s="90">
        <f t="shared" si="12"/>
        <v>396</v>
      </c>
      <c r="O397" s="91">
        <f t="shared" si="13"/>
        <v>3</v>
      </c>
      <c r="P397" s="93">
        <v>1</v>
      </c>
      <c r="Q397" s="93">
        <v>0</v>
      </c>
      <c r="R397" s="93">
        <v>0</v>
      </c>
      <c r="S397" s="93">
        <v>0</v>
      </c>
      <c r="T397" s="94">
        <v>900</v>
      </c>
      <c r="U397" s="94">
        <v>0.5</v>
      </c>
      <c r="V397" s="8">
        <v>1</v>
      </c>
      <c r="W397" s="94">
        <v>700</v>
      </c>
      <c r="X397" s="94">
        <v>4</v>
      </c>
      <c r="Y397" s="103">
        <v>2</v>
      </c>
      <c r="Z397" s="9" t="s">
        <v>102</v>
      </c>
      <c r="AA397" s="9" t="s">
        <v>102</v>
      </c>
      <c r="AB397" s="93">
        <v>1143.3</v>
      </c>
      <c r="AC397" s="9" t="s">
        <v>101</v>
      </c>
      <c r="AD397" s="9" t="s">
        <v>101</v>
      </c>
      <c r="AE397" s="9" t="s">
        <v>101</v>
      </c>
      <c r="AF397" s="9" t="s">
        <v>102</v>
      </c>
      <c r="AG397" s="9" t="s">
        <v>102</v>
      </c>
      <c r="AH397" s="9" t="s">
        <v>102</v>
      </c>
      <c r="AI397" s="9" t="s">
        <v>102</v>
      </c>
      <c r="AJ397" s="9" t="s">
        <v>102</v>
      </c>
      <c r="AK397" s="9" t="s">
        <v>102</v>
      </c>
      <c r="AL397" s="9" t="s">
        <v>102</v>
      </c>
      <c r="AN397" s="12" t="s">
        <v>101</v>
      </c>
      <c r="AO397" s="12" t="s">
        <v>103</v>
      </c>
      <c r="AP397" s="94">
        <v>39</v>
      </c>
      <c r="AQ397" s="94" t="s">
        <v>100</v>
      </c>
      <c r="AR397" s="93">
        <v>39</v>
      </c>
    </row>
    <row r="398" spans="1:46" ht="16.5">
      <c r="A398" s="93">
        <v>348</v>
      </c>
      <c r="B398" s="93" t="s">
        <v>113</v>
      </c>
      <c r="C398" s="94">
        <v>94.64</v>
      </c>
      <c r="D398" s="94">
        <v>0</v>
      </c>
      <c r="E398" s="94">
        <v>0</v>
      </c>
      <c r="F398" s="94">
        <v>0</v>
      </c>
      <c r="G398" s="94">
        <v>0</v>
      </c>
      <c r="H398" s="94">
        <v>2.08</v>
      </c>
      <c r="I398" s="94">
        <v>0</v>
      </c>
      <c r="J398" s="94">
        <v>0</v>
      </c>
      <c r="K398" s="94">
        <v>3.2800000000000002</v>
      </c>
      <c r="L398" s="94">
        <v>0</v>
      </c>
      <c r="M398" s="74" t="str">
        <f t="array" ref="M398">_xlfn.TEXTJOIN("-", TRUE, IF(C398:L398&gt;0, $C$2:$L$2, ""))</f>
        <v xml:space="preserve"> Ti-Ta-Fe</v>
      </c>
      <c r="N398" s="90">
        <f t="shared" si="12"/>
        <v>398</v>
      </c>
      <c r="O398" s="91">
        <f t="shared" si="13"/>
        <v>3</v>
      </c>
      <c r="P398" s="94">
        <v>1</v>
      </c>
      <c r="Q398" s="94">
        <v>1</v>
      </c>
      <c r="R398" s="93" t="s">
        <v>113</v>
      </c>
      <c r="S398" s="93" t="s">
        <v>113</v>
      </c>
      <c r="T398" s="93" t="s">
        <v>113</v>
      </c>
      <c r="U398" s="93" t="s">
        <v>113</v>
      </c>
      <c r="V398" s="93">
        <v>1</v>
      </c>
      <c r="W398" s="93" t="s">
        <v>113</v>
      </c>
      <c r="X398" s="93" t="s">
        <v>113</v>
      </c>
      <c r="Y398" s="93" t="s">
        <v>113</v>
      </c>
      <c r="Z398" s="94">
        <v>110</v>
      </c>
      <c r="AA398" s="93" t="s">
        <v>113</v>
      </c>
      <c r="AB398" s="93" t="s">
        <v>113</v>
      </c>
      <c r="AC398" s="94">
        <v>1250</v>
      </c>
      <c r="AD398" s="93" t="s">
        <v>113</v>
      </c>
      <c r="AE398" s="93" t="s">
        <v>113</v>
      </c>
      <c r="AF398" s="93" t="s">
        <v>113</v>
      </c>
      <c r="AG398" s="93" t="s">
        <v>113</v>
      </c>
      <c r="AH398" s="93" t="s">
        <v>113</v>
      </c>
      <c r="AI398" s="93" t="s">
        <v>113</v>
      </c>
      <c r="AJ398" s="93" t="s">
        <v>113</v>
      </c>
      <c r="AK398" s="93" t="s">
        <v>113</v>
      </c>
      <c r="AL398" s="93" t="s">
        <v>113</v>
      </c>
      <c r="AM398" s="93"/>
      <c r="AN398" s="93" t="s">
        <v>113</v>
      </c>
      <c r="AO398" s="93" t="s">
        <v>174</v>
      </c>
      <c r="AP398" s="94">
        <v>348</v>
      </c>
      <c r="AQ398" s="94" t="s">
        <v>100</v>
      </c>
      <c r="AR398" s="93">
        <v>348</v>
      </c>
    </row>
    <row r="399" spans="1:46" ht="16.5">
      <c r="A399" s="93">
        <v>349</v>
      </c>
      <c r="B399" s="93" t="s">
        <v>113</v>
      </c>
      <c r="C399" s="94">
        <v>93.820000000000007</v>
      </c>
      <c r="D399" s="94">
        <v>0</v>
      </c>
      <c r="E399" s="94">
        <v>0</v>
      </c>
      <c r="F399" s="94">
        <v>0</v>
      </c>
      <c r="G399" s="94">
        <v>0</v>
      </c>
      <c r="H399" s="94">
        <v>2.75</v>
      </c>
      <c r="I399" s="94">
        <v>0</v>
      </c>
      <c r="J399" s="94">
        <v>0</v>
      </c>
      <c r="K399" s="94">
        <v>3.4299999999999997</v>
      </c>
      <c r="L399" s="94">
        <v>0</v>
      </c>
      <c r="M399" s="74" t="str">
        <f t="array" ref="M399">_xlfn.TEXTJOIN("-", TRUE, IF(C399:L399&gt;0, $C$2:$L$2, ""))</f>
        <v xml:space="preserve"> Ti-Ta-Fe</v>
      </c>
      <c r="N399" s="90">
        <f t="shared" si="12"/>
        <v>398</v>
      </c>
      <c r="O399" s="91">
        <f t="shared" si="13"/>
        <v>3</v>
      </c>
      <c r="P399" s="94">
        <v>1</v>
      </c>
      <c r="Q399" s="94">
        <v>1</v>
      </c>
      <c r="R399" s="93" t="s">
        <v>113</v>
      </c>
      <c r="S399" s="93" t="s">
        <v>113</v>
      </c>
      <c r="T399" s="93" t="s">
        <v>113</v>
      </c>
      <c r="U399" s="93" t="s">
        <v>113</v>
      </c>
      <c r="V399" s="93">
        <v>1</v>
      </c>
      <c r="W399" s="93" t="s">
        <v>113</v>
      </c>
      <c r="X399" s="93" t="s">
        <v>113</v>
      </c>
      <c r="Y399" s="93" t="s">
        <v>113</v>
      </c>
      <c r="Z399" s="94">
        <v>121</v>
      </c>
      <c r="AA399" s="93" t="s">
        <v>113</v>
      </c>
      <c r="AB399" s="93" t="s">
        <v>113</v>
      </c>
      <c r="AC399" s="94">
        <v>1360</v>
      </c>
      <c r="AD399" s="93" t="s">
        <v>113</v>
      </c>
      <c r="AE399" s="93" t="s">
        <v>113</v>
      </c>
      <c r="AF399" s="93" t="s">
        <v>113</v>
      </c>
      <c r="AG399" s="93" t="s">
        <v>113</v>
      </c>
      <c r="AH399" s="93" t="s">
        <v>113</v>
      </c>
      <c r="AI399" s="93" t="s">
        <v>113</v>
      </c>
      <c r="AJ399" s="93" t="s">
        <v>113</v>
      </c>
      <c r="AK399" s="93" t="s">
        <v>113</v>
      </c>
      <c r="AL399" s="93" t="s">
        <v>113</v>
      </c>
      <c r="AM399" s="93"/>
      <c r="AN399" s="93" t="s">
        <v>113</v>
      </c>
      <c r="AO399" s="93" t="s">
        <v>174</v>
      </c>
      <c r="AP399" s="94">
        <v>349</v>
      </c>
      <c r="AQ399" s="94" t="s">
        <v>100</v>
      </c>
      <c r="AR399" s="93">
        <v>349</v>
      </c>
    </row>
    <row r="400" spans="1:46" ht="16.5">
      <c r="A400" s="93">
        <v>406</v>
      </c>
      <c r="B400" s="93" t="s">
        <v>113</v>
      </c>
      <c r="C400" s="94">
        <v>91.41</v>
      </c>
      <c r="D400" s="94">
        <v>0</v>
      </c>
      <c r="E400" s="94">
        <v>0</v>
      </c>
      <c r="F400" s="94">
        <v>0</v>
      </c>
      <c r="G400" s="94">
        <v>0</v>
      </c>
      <c r="H400" s="94">
        <v>1.39</v>
      </c>
      <c r="I400" s="94">
        <v>0</v>
      </c>
      <c r="J400" s="94">
        <v>0</v>
      </c>
      <c r="K400" s="94">
        <v>7.1999999999999993</v>
      </c>
      <c r="L400" s="94">
        <v>0</v>
      </c>
      <c r="M400" s="74" t="str">
        <f t="array" ref="M400">_xlfn.TEXTJOIN("-", TRUE, IF(C400:L400&gt;0, $C$2:$L$2, ""))</f>
        <v xml:space="preserve"> Ti-Ta-Fe</v>
      </c>
      <c r="N400" s="90">
        <f t="shared" si="12"/>
        <v>398</v>
      </c>
      <c r="O400" s="91">
        <f t="shared" si="13"/>
        <v>3</v>
      </c>
      <c r="P400" s="94">
        <v>1</v>
      </c>
      <c r="Q400" s="95" t="s">
        <v>173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0</v>
      </c>
      <c r="X400" s="93">
        <v>0</v>
      </c>
      <c r="Y400" s="93">
        <v>0</v>
      </c>
      <c r="Z400" s="94">
        <v>120</v>
      </c>
      <c r="AA400" s="93" t="s">
        <v>113</v>
      </c>
      <c r="AB400" s="93" t="s">
        <v>113</v>
      </c>
      <c r="AC400" s="94">
        <v>1103</v>
      </c>
      <c r="AD400" s="93" t="s">
        <v>113</v>
      </c>
      <c r="AE400" s="93" t="s">
        <v>113</v>
      </c>
      <c r="AF400" s="93" t="s">
        <v>113</v>
      </c>
      <c r="AG400" s="93" t="s">
        <v>113</v>
      </c>
      <c r="AH400" s="93" t="s">
        <v>113</v>
      </c>
      <c r="AI400" s="93" t="s">
        <v>113</v>
      </c>
      <c r="AJ400" s="93" t="s">
        <v>113</v>
      </c>
      <c r="AK400" s="93" t="s">
        <v>113</v>
      </c>
      <c r="AL400" s="93" t="s">
        <v>113</v>
      </c>
      <c r="AM400" s="93"/>
      <c r="AN400" s="93" t="s">
        <v>113</v>
      </c>
      <c r="AO400" s="93" t="s">
        <v>174</v>
      </c>
      <c r="AP400" s="94">
        <v>406</v>
      </c>
      <c r="AQ400" s="94" t="s">
        <v>100</v>
      </c>
      <c r="AR400" s="93">
        <v>406</v>
      </c>
    </row>
    <row r="401" spans="1:44" ht="16.5">
      <c r="A401" s="93">
        <v>407</v>
      </c>
      <c r="B401" s="93" t="s">
        <v>113</v>
      </c>
      <c r="C401" s="94">
        <v>90.35</v>
      </c>
      <c r="D401" s="94">
        <v>0</v>
      </c>
      <c r="E401" s="94">
        <v>0</v>
      </c>
      <c r="F401" s="94">
        <v>0</v>
      </c>
      <c r="G401" s="94">
        <v>0</v>
      </c>
      <c r="H401" s="94">
        <v>2.2800000000000002</v>
      </c>
      <c r="I401" s="94">
        <v>0</v>
      </c>
      <c r="J401" s="94">
        <v>0</v>
      </c>
      <c r="K401" s="94">
        <v>7.3800000000000008</v>
      </c>
      <c r="L401" s="94">
        <v>0</v>
      </c>
      <c r="M401" s="74" t="str">
        <f t="array" ref="M401">_xlfn.TEXTJOIN("-", TRUE, IF(C401:L401&gt;0, $C$2:$L$2, ""))</f>
        <v xml:space="preserve"> Ti-Ta-Fe</v>
      </c>
      <c r="N401" s="90">
        <f t="shared" si="12"/>
        <v>398</v>
      </c>
      <c r="O401" s="91">
        <f t="shared" si="13"/>
        <v>3</v>
      </c>
      <c r="P401" s="94">
        <v>1</v>
      </c>
      <c r="Q401" s="95" t="s">
        <v>173</v>
      </c>
      <c r="R401" s="93">
        <v>0</v>
      </c>
      <c r="S401" s="93">
        <v>0</v>
      </c>
      <c r="T401" s="93">
        <v>0</v>
      </c>
      <c r="U401" s="93">
        <v>0</v>
      </c>
      <c r="V401" s="93">
        <v>0</v>
      </c>
      <c r="W401" s="93">
        <v>0</v>
      </c>
      <c r="X401" s="93">
        <v>0</v>
      </c>
      <c r="Y401" s="93">
        <v>0</v>
      </c>
      <c r="Z401" s="94">
        <v>106</v>
      </c>
      <c r="AA401" s="93" t="s">
        <v>113</v>
      </c>
      <c r="AB401" s="93" t="s">
        <v>113</v>
      </c>
      <c r="AC401" s="94">
        <v>1050</v>
      </c>
      <c r="AD401" s="93" t="s">
        <v>113</v>
      </c>
      <c r="AE401" s="93" t="s">
        <v>113</v>
      </c>
      <c r="AF401" s="93" t="s">
        <v>113</v>
      </c>
      <c r="AG401" s="93" t="s">
        <v>113</v>
      </c>
      <c r="AH401" s="93" t="s">
        <v>113</v>
      </c>
      <c r="AI401" s="93" t="s">
        <v>113</v>
      </c>
      <c r="AJ401" s="93" t="s">
        <v>113</v>
      </c>
      <c r="AK401" s="93" t="s">
        <v>113</v>
      </c>
      <c r="AL401" s="93" t="s">
        <v>113</v>
      </c>
      <c r="AM401" s="93"/>
      <c r="AN401" s="93" t="s">
        <v>113</v>
      </c>
      <c r="AO401" s="93" t="s">
        <v>174</v>
      </c>
      <c r="AP401" s="94">
        <v>407</v>
      </c>
      <c r="AQ401" s="94" t="s">
        <v>100</v>
      </c>
      <c r="AR401" s="93">
        <v>407</v>
      </c>
    </row>
    <row r="402" spans="1:44" ht="16.5">
      <c r="A402" s="93">
        <v>408</v>
      </c>
      <c r="B402" s="93" t="s">
        <v>113</v>
      </c>
      <c r="C402" s="94">
        <v>91.52</v>
      </c>
      <c r="D402" s="94">
        <v>0</v>
      </c>
      <c r="E402" s="94">
        <v>0</v>
      </c>
      <c r="F402" s="94">
        <v>0</v>
      </c>
      <c r="G402" s="94">
        <v>0</v>
      </c>
      <c r="H402" s="94">
        <v>0.54</v>
      </c>
      <c r="I402" s="94">
        <v>0</v>
      </c>
      <c r="J402" s="94">
        <v>0</v>
      </c>
      <c r="K402" s="94">
        <v>7.93</v>
      </c>
      <c r="L402" s="94">
        <v>0</v>
      </c>
      <c r="M402" s="74" t="str">
        <f t="array" ref="M402">_xlfn.TEXTJOIN("-", TRUE, IF(C402:L402&gt;0, $C$2:$L$2, ""))</f>
        <v xml:space="preserve"> Ti-Ta-Fe</v>
      </c>
      <c r="N402" s="90">
        <f t="shared" si="12"/>
        <v>398</v>
      </c>
      <c r="O402" s="91">
        <f t="shared" si="13"/>
        <v>3</v>
      </c>
      <c r="P402" s="94">
        <v>1</v>
      </c>
      <c r="Q402" s="95" t="s">
        <v>173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  <c r="Z402" s="94">
        <v>110</v>
      </c>
      <c r="AA402" s="93" t="s">
        <v>113</v>
      </c>
      <c r="AB402" s="93" t="s">
        <v>113</v>
      </c>
      <c r="AC402" s="94">
        <v>1143</v>
      </c>
      <c r="AD402" s="93" t="s">
        <v>113</v>
      </c>
      <c r="AE402" s="93" t="s">
        <v>113</v>
      </c>
      <c r="AF402" s="93" t="s">
        <v>113</v>
      </c>
      <c r="AG402" s="93" t="s">
        <v>113</v>
      </c>
      <c r="AH402" s="93" t="s">
        <v>113</v>
      </c>
      <c r="AI402" s="93" t="s">
        <v>113</v>
      </c>
      <c r="AJ402" s="93" t="s">
        <v>113</v>
      </c>
      <c r="AK402" s="93" t="s">
        <v>113</v>
      </c>
      <c r="AL402" s="93" t="s">
        <v>113</v>
      </c>
      <c r="AM402" s="93"/>
      <c r="AN402" s="93" t="s">
        <v>113</v>
      </c>
      <c r="AO402" s="93" t="s">
        <v>174</v>
      </c>
      <c r="AP402" s="94">
        <v>408</v>
      </c>
      <c r="AQ402" s="94" t="s">
        <v>100</v>
      </c>
      <c r="AR402" s="93">
        <v>408</v>
      </c>
    </row>
    <row r="403" spans="1:44" ht="16.5">
      <c r="A403" s="93">
        <v>409</v>
      </c>
      <c r="B403" s="93" t="s">
        <v>113</v>
      </c>
      <c r="C403" s="94">
        <v>90.490000000000009</v>
      </c>
      <c r="D403" s="94">
        <v>0</v>
      </c>
      <c r="E403" s="94">
        <v>0</v>
      </c>
      <c r="F403" s="94">
        <v>0</v>
      </c>
      <c r="G403" s="94">
        <v>0</v>
      </c>
      <c r="H403" s="94">
        <v>1.39</v>
      </c>
      <c r="I403" s="94">
        <v>0</v>
      </c>
      <c r="J403" s="94">
        <v>0</v>
      </c>
      <c r="K403" s="94">
        <v>8.1199999999999992</v>
      </c>
      <c r="L403" s="94">
        <v>0</v>
      </c>
      <c r="M403" s="74" t="str">
        <f t="array" ref="M403">_xlfn.TEXTJOIN("-", TRUE, IF(C403:L403&gt;0, $C$2:$L$2, ""))</f>
        <v xml:space="preserve"> Ti-Ta-Fe</v>
      </c>
      <c r="N403" s="90">
        <f t="shared" si="12"/>
        <v>398</v>
      </c>
      <c r="O403" s="91">
        <f t="shared" si="13"/>
        <v>3</v>
      </c>
      <c r="P403" s="94">
        <v>1</v>
      </c>
      <c r="Q403" s="95" t="s">
        <v>173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  <c r="Z403" s="94">
        <v>103</v>
      </c>
      <c r="AA403" s="93" t="s">
        <v>113</v>
      </c>
      <c r="AB403" s="93" t="s">
        <v>113</v>
      </c>
      <c r="AC403" s="94">
        <v>1079</v>
      </c>
      <c r="AD403" s="93" t="s">
        <v>113</v>
      </c>
      <c r="AE403" s="93" t="s">
        <v>113</v>
      </c>
      <c r="AF403" s="93" t="s">
        <v>113</v>
      </c>
      <c r="AG403" s="93" t="s">
        <v>113</v>
      </c>
      <c r="AH403" s="93" t="s">
        <v>113</v>
      </c>
      <c r="AI403" s="93" t="s">
        <v>113</v>
      </c>
      <c r="AJ403" s="93" t="s">
        <v>113</v>
      </c>
      <c r="AK403" s="93" t="s">
        <v>113</v>
      </c>
      <c r="AL403" s="93" t="s">
        <v>113</v>
      </c>
      <c r="AM403" s="93"/>
      <c r="AN403" s="93" t="s">
        <v>113</v>
      </c>
      <c r="AO403" s="93" t="s">
        <v>174</v>
      </c>
      <c r="AP403" s="94">
        <v>409</v>
      </c>
      <c r="AQ403" s="94" t="s">
        <v>100</v>
      </c>
      <c r="AR403" s="93">
        <v>409</v>
      </c>
    </row>
    <row r="404" spans="1:44" ht="16.5">
      <c r="A404" s="93">
        <v>410</v>
      </c>
      <c r="B404" s="93" t="s">
        <v>113</v>
      </c>
      <c r="C404" s="94">
        <v>89.039999999999992</v>
      </c>
      <c r="D404" s="94">
        <v>0</v>
      </c>
      <c r="E404" s="94">
        <v>0</v>
      </c>
      <c r="F404" s="94">
        <v>0</v>
      </c>
      <c r="G404" s="94">
        <v>0</v>
      </c>
      <c r="H404" s="94">
        <v>2.59</v>
      </c>
      <c r="I404" s="94">
        <v>0</v>
      </c>
      <c r="J404" s="94">
        <v>0</v>
      </c>
      <c r="K404" s="94">
        <v>8.3800000000000008</v>
      </c>
      <c r="L404" s="94">
        <v>0</v>
      </c>
      <c r="M404" s="74" t="str">
        <f t="array" ref="M404">_xlfn.TEXTJOIN("-", TRUE, IF(C404:L404&gt;0, $C$2:$L$2, ""))</f>
        <v xml:space="preserve"> Ti-Ta-Fe</v>
      </c>
      <c r="N404" s="90">
        <f t="shared" si="12"/>
        <v>398</v>
      </c>
      <c r="O404" s="91">
        <f t="shared" si="13"/>
        <v>3</v>
      </c>
      <c r="P404" s="94">
        <v>1</v>
      </c>
      <c r="Q404" s="95" t="s">
        <v>173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0</v>
      </c>
      <c r="X404" s="93">
        <v>0</v>
      </c>
      <c r="Y404" s="93">
        <v>0</v>
      </c>
      <c r="Z404" s="94">
        <v>99</v>
      </c>
      <c r="AA404" s="93" t="s">
        <v>113</v>
      </c>
      <c r="AB404" s="93" t="s">
        <v>113</v>
      </c>
      <c r="AC404" s="94">
        <v>1016</v>
      </c>
      <c r="AD404" s="93" t="s">
        <v>113</v>
      </c>
      <c r="AE404" s="93" t="s">
        <v>113</v>
      </c>
      <c r="AF404" s="93" t="s">
        <v>113</v>
      </c>
      <c r="AG404" s="93" t="s">
        <v>113</v>
      </c>
      <c r="AH404" s="93" t="s">
        <v>113</v>
      </c>
      <c r="AI404" s="93" t="s">
        <v>113</v>
      </c>
      <c r="AJ404" s="93" t="s">
        <v>113</v>
      </c>
      <c r="AK404" s="93" t="s">
        <v>113</v>
      </c>
      <c r="AL404" s="93" t="s">
        <v>113</v>
      </c>
      <c r="AM404" s="93"/>
      <c r="AN404" s="93" t="s">
        <v>113</v>
      </c>
      <c r="AO404" s="93" t="s">
        <v>174</v>
      </c>
      <c r="AP404" s="94">
        <v>410</v>
      </c>
      <c r="AQ404" s="94" t="s">
        <v>100</v>
      </c>
      <c r="AR404" s="93">
        <v>410</v>
      </c>
    </row>
    <row r="405" spans="1:44" ht="16.5">
      <c r="A405" s="93">
        <v>411</v>
      </c>
      <c r="B405" s="93" t="s">
        <v>113</v>
      </c>
      <c r="C405" s="94">
        <v>87.7</v>
      </c>
      <c r="D405" s="94">
        <v>0</v>
      </c>
      <c r="E405" s="94">
        <v>0</v>
      </c>
      <c r="F405" s="94">
        <v>0</v>
      </c>
      <c r="G405" s="94">
        <v>0</v>
      </c>
      <c r="H405" s="94">
        <v>2.9000000000000004</v>
      </c>
      <c r="I405" s="94">
        <v>0</v>
      </c>
      <c r="J405" s="94">
        <v>0</v>
      </c>
      <c r="K405" s="94">
        <v>9.4</v>
      </c>
      <c r="L405" s="94">
        <v>0</v>
      </c>
      <c r="M405" s="74" t="str">
        <f t="array" ref="M405">_xlfn.TEXTJOIN("-", TRUE, IF(C405:L405&gt;0, $C$2:$L$2, ""))</f>
        <v xml:space="preserve"> Ti-Ta-Fe</v>
      </c>
      <c r="N405" s="90">
        <f t="shared" si="12"/>
        <v>398</v>
      </c>
      <c r="O405" s="91">
        <f t="shared" si="13"/>
        <v>3</v>
      </c>
      <c r="P405" s="94">
        <v>1</v>
      </c>
      <c r="Q405" s="95" t="s">
        <v>173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0</v>
      </c>
      <c r="X405" s="93">
        <v>0</v>
      </c>
      <c r="Y405" s="93">
        <v>0</v>
      </c>
      <c r="Z405" s="94">
        <v>92</v>
      </c>
      <c r="AA405" s="93" t="s">
        <v>113</v>
      </c>
      <c r="AB405" s="93" t="s">
        <v>113</v>
      </c>
      <c r="AC405" s="94">
        <v>1008</v>
      </c>
      <c r="AD405" s="93" t="s">
        <v>113</v>
      </c>
      <c r="AE405" s="93" t="s">
        <v>113</v>
      </c>
      <c r="AF405" s="93" t="s">
        <v>113</v>
      </c>
      <c r="AG405" s="93" t="s">
        <v>113</v>
      </c>
      <c r="AH405" s="93" t="s">
        <v>113</v>
      </c>
      <c r="AI405" s="93" t="s">
        <v>113</v>
      </c>
      <c r="AJ405" s="93" t="s">
        <v>113</v>
      </c>
      <c r="AK405" s="93" t="s">
        <v>113</v>
      </c>
      <c r="AL405" s="93" t="s">
        <v>113</v>
      </c>
      <c r="AM405" s="93"/>
      <c r="AN405" s="93" t="s">
        <v>113</v>
      </c>
      <c r="AO405" s="93" t="s">
        <v>174</v>
      </c>
      <c r="AP405" s="94">
        <v>411</v>
      </c>
      <c r="AQ405" s="94" t="s">
        <v>100</v>
      </c>
      <c r="AR405" s="93">
        <v>411</v>
      </c>
    </row>
    <row r="406" spans="1:44" ht="16.5">
      <c r="A406" s="93">
        <v>386</v>
      </c>
      <c r="B406" s="93" t="s">
        <v>113</v>
      </c>
      <c r="C406" s="94">
        <v>75.94</v>
      </c>
      <c r="D406" s="94">
        <v>0</v>
      </c>
      <c r="E406" s="94">
        <v>0</v>
      </c>
      <c r="F406" s="94">
        <v>0</v>
      </c>
      <c r="G406" s="94">
        <v>0</v>
      </c>
      <c r="H406" s="94">
        <v>4.5</v>
      </c>
      <c r="I406" s="94">
        <v>19.559999999999999</v>
      </c>
      <c r="J406" s="94">
        <v>0</v>
      </c>
      <c r="K406" s="94">
        <v>0</v>
      </c>
      <c r="L406" s="94">
        <v>0</v>
      </c>
      <c r="M406" s="74" t="str">
        <f t="array" ref="M406">_xlfn.TEXTJOIN("-", TRUE, IF(C406:L406&gt;0, $C$2:$L$2, ""))</f>
        <v xml:space="preserve"> Ti-Ta-Nb</v>
      </c>
      <c r="N406" s="90">
        <f t="shared" si="12"/>
        <v>406</v>
      </c>
      <c r="O406" s="91">
        <f t="shared" si="13"/>
        <v>3</v>
      </c>
      <c r="P406" s="94">
        <v>1</v>
      </c>
      <c r="Q406" s="94">
        <v>1</v>
      </c>
      <c r="R406" s="93" t="s">
        <v>113</v>
      </c>
      <c r="S406" s="93" t="s">
        <v>113</v>
      </c>
      <c r="T406" s="93" t="s">
        <v>113</v>
      </c>
      <c r="U406" s="93" t="s">
        <v>113</v>
      </c>
      <c r="V406" s="93">
        <v>1</v>
      </c>
      <c r="W406" s="93" t="s">
        <v>113</v>
      </c>
      <c r="X406" s="93" t="s">
        <v>113</v>
      </c>
      <c r="Y406" s="93" t="s">
        <v>113</v>
      </c>
      <c r="Z406" s="94">
        <v>66</v>
      </c>
      <c r="AA406" s="93" t="s">
        <v>113</v>
      </c>
      <c r="AB406" s="93" t="s">
        <v>113</v>
      </c>
      <c r="AC406" s="94">
        <v>213</v>
      </c>
      <c r="AD406" s="93" t="s">
        <v>113</v>
      </c>
      <c r="AE406" s="93" t="s">
        <v>113</v>
      </c>
      <c r="AF406" s="93" t="s">
        <v>113</v>
      </c>
      <c r="AG406" s="93" t="s">
        <v>113</v>
      </c>
      <c r="AH406" s="93" t="s">
        <v>113</v>
      </c>
      <c r="AI406" s="93" t="s">
        <v>113</v>
      </c>
      <c r="AJ406" s="93" t="s">
        <v>113</v>
      </c>
      <c r="AK406" s="93" t="s">
        <v>113</v>
      </c>
      <c r="AL406" s="93" t="s">
        <v>113</v>
      </c>
      <c r="AM406" s="93"/>
      <c r="AN406" s="93" t="s">
        <v>113</v>
      </c>
      <c r="AO406" s="93" t="s">
        <v>174</v>
      </c>
      <c r="AP406" s="94">
        <v>386</v>
      </c>
      <c r="AQ406" s="94" t="s">
        <v>100</v>
      </c>
      <c r="AR406" s="93">
        <v>386</v>
      </c>
    </row>
    <row r="407" spans="1:44" ht="16.5">
      <c r="A407" s="93">
        <v>421</v>
      </c>
      <c r="B407" s="93" t="s">
        <v>113</v>
      </c>
      <c r="C407" s="94">
        <v>71.95</v>
      </c>
      <c r="D407" s="94">
        <v>0</v>
      </c>
      <c r="E407" s="94">
        <v>0</v>
      </c>
      <c r="F407" s="94">
        <v>0</v>
      </c>
      <c r="G407" s="94">
        <v>0</v>
      </c>
      <c r="H407" s="94">
        <v>9.5200000000000014</v>
      </c>
      <c r="I407" s="94">
        <v>18.529999999999998</v>
      </c>
      <c r="J407" s="94">
        <v>0</v>
      </c>
      <c r="K407" s="94">
        <v>0</v>
      </c>
      <c r="L407" s="94">
        <v>0</v>
      </c>
      <c r="M407" s="74" t="str">
        <f t="array" ref="M407">_xlfn.TEXTJOIN("-", TRUE, IF(C407:L407&gt;0, $C$2:$L$2, ""))</f>
        <v xml:space="preserve"> Ti-Ta-Nb</v>
      </c>
      <c r="N407" s="90">
        <f t="shared" si="12"/>
        <v>406</v>
      </c>
      <c r="O407" s="91">
        <f t="shared" si="13"/>
        <v>3</v>
      </c>
      <c r="P407" s="94">
        <v>1</v>
      </c>
      <c r="Q407" s="94">
        <v>1</v>
      </c>
      <c r="R407" s="93" t="s">
        <v>113</v>
      </c>
      <c r="S407" s="93" t="s">
        <v>113</v>
      </c>
      <c r="T407" s="93" t="s">
        <v>113</v>
      </c>
      <c r="U407" s="93" t="s">
        <v>113</v>
      </c>
      <c r="V407" s="93">
        <v>1</v>
      </c>
      <c r="W407" s="93" t="s">
        <v>113</v>
      </c>
      <c r="X407" s="93" t="s">
        <v>113</v>
      </c>
      <c r="Y407" s="93" t="s">
        <v>113</v>
      </c>
      <c r="Z407" s="94">
        <v>55</v>
      </c>
      <c r="AA407" s="93" t="s">
        <v>113</v>
      </c>
      <c r="AB407" s="93" t="s">
        <v>113</v>
      </c>
      <c r="AC407" s="94">
        <v>200</v>
      </c>
      <c r="AD407" s="93" t="s">
        <v>113</v>
      </c>
      <c r="AE407" s="93" t="s">
        <v>113</v>
      </c>
      <c r="AF407" s="93" t="s">
        <v>113</v>
      </c>
      <c r="AG407" s="93" t="s">
        <v>113</v>
      </c>
      <c r="AH407" s="93" t="s">
        <v>113</v>
      </c>
      <c r="AI407" s="93" t="s">
        <v>113</v>
      </c>
      <c r="AJ407" s="93" t="s">
        <v>113</v>
      </c>
      <c r="AK407" s="93" t="s">
        <v>113</v>
      </c>
      <c r="AL407" s="93" t="s">
        <v>113</v>
      </c>
      <c r="AM407" s="93"/>
      <c r="AN407" s="93" t="s">
        <v>113</v>
      </c>
      <c r="AO407" s="93" t="s">
        <v>174</v>
      </c>
      <c r="AP407" s="94">
        <v>421</v>
      </c>
      <c r="AQ407" s="94" t="s">
        <v>100</v>
      </c>
      <c r="AR407" s="93">
        <v>421</v>
      </c>
    </row>
    <row r="408" spans="1:44" ht="16.5">
      <c r="A408" s="93">
        <v>466</v>
      </c>
      <c r="B408" s="93" t="s">
        <v>113</v>
      </c>
      <c r="C408" s="94">
        <v>84.26</v>
      </c>
      <c r="D408" s="94">
        <v>0</v>
      </c>
      <c r="E408" s="94">
        <v>0</v>
      </c>
      <c r="F408" s="94">
        <v>0</v>
      </c>
      <c r="G408" s="94">
        <v>0</v>
      </c>
      <c r="H408" s="94">
        <v>0.77</v>
      </c>
      <c r="I408" s="94">
        <v>14.97</v>
      </c>
      <c r="J408" s="94">
        <v>0</v>
      </c>
      <c r="K408" s="94">
        <v>0</v>
      </c>
      <c r="L408" s="94">
        <v>0</v>
      </c>
      <c r="M408" s="74" t="str">
        <f t="array" ref="M408">_xlfn.TEXTJOIN("-", TRUE, IF(C408:L408&gt;0, $C$2:$L$2, ""))</f>
        <v xml:space="preserve"> Ti-Ta-Nb</v>
      </c>
      <c r="N408" s="90">
        <f t="shared" si="12"/>
        <v>406</v>
      </c>
      <c r="O408" s="91">
        <f t="shared" si="13"/>
        <v>3</v>
      </c>
      <c r="P408" s="94">
        <v>1</v>
      </c>
      <c r="Q408" s="94">
        <v>1</v>
      </c>
      <c r="R408" s="93" t="s">
        <v>113</v>
      </c>
      <c r="S408" s="93" t="s">
        <v>113</v>
      </c>
      <c r="T408" s="93" t="s">
        <v>113</v>
      </c>
      <c r="U408" s="93" t="s">
        <v>113</v>
      </c>
      <c r="V408" s="94">
        <v>1</v>
      </c>
      <c r="W408" s="93" t="s">
        <v>113</v>
      </c>
      <c r="X408" s="93" t="s">
        <v>113</v>
      </c>
      <c r="Y408" s="93" t="s">
        <v>113</v>
      </c>
      <c r="Z408" s="94">
        <v>71</v>
      </c>
      <c r="AA408" s="93" t="s">
        <v>113</v>
      </c>
      <c r="AB408" s="93" t="s">
        <v>113</v>
      </c>
      <c r="AC408" s="94">
        <v>374</v>
      </c>
      <c r="AD408" s="93" t="s">
        <v>113</v>
      </c>
      <c r="AE408" s="93" t="s">
        <v>113</v>
      </c>
      <c r="AF408" s="93" t="s">
        <v>113</v>
      </c>
      <c r="AG408" s="93" t="s">
        <v>113</v>
      </c>
      <c r="AH408" s="93" t="s">
        <v>113</v>
      </c>
      <c r="AI408" s="93" t="s">
        <v>113</v>
      </c>
      <c r="AJ408" s="93" t="s">
        <v>113</v>
      </c>
      <c r="AK408" s="93" t="s">
        <v>113</v>
      </c>
      <c r="AL408" s="93" t="s">
        <v>113</v>
      </c>
      <c r="AM408" s="93"/>
      <c r="AN408" s="93" t="s">
        <v>113</v>
      </c>
      <c r="AO408" s="93" t="s">
        <v>174</v>
      </c>
      <c r="AP408" s="94">
        <v>466</v>
      </c>
      <c r="AQ408" s="94" t="s">
        <v>100</v>
      </c>
      <c r="AR408" s="93">
        <v>466</v>
      </c>
    </row>
    <row r="409" spans="1:44" ht="16.5">
      <c r="A409" s="93">
        <v>467</v>
      </c>
      <c r="B409" s="93" t="s">
        <v>113</v>
      </c>
      <c r="C409" s="94">
        <v>83.13000000000001</v>
      </c>
      <c r="D409" s="94">
        <v>0</v>
      </c>
      <c r="E409" s="94">
        <v>0</v>
      </c>
      <c r="F409" s="94">
        <v>0</v>
      </c>
      <c r="G409" s="94">
        <v>0</v>
      </c>
      <c r="H409" s="94">
        <v>1.5699999999999998</v>
      </c>
      <c r="I409" s="94">
        <v>15.299999999999999</v>
      </c>
      <c r="J409" s="94">
        <v>0</v>
      </c>
      <c r="K409" s="94">
        <v>0</v>
      </c>
      <c r="L409" s="94">
        <v>0</v>
      </c>
      <c r="M409" s="74" t="str">
        <f t="array" ref="M409">_xlfn.TEXTJOIN("-", TRUE, IF(C409:L409&gt;0, $C$2:$L$2, ""))</f>
        <v xml:space="preserve"> Ti-Ta-Nb</v>
      </c>
      <c r="N409" s="90">
        <f t="shared" si="12"/>
        <v>406</v>
      </c>
      <c r="O409" s="91">
        <f t="shared" si="13"/>
        <v>3</v>
      </c>
      <c r="P409" s="94">
        <v>1</v>
      </c>
      <c r="Q409" s="94">
        <v>1</v>
      </c>
      <c r="R409" s="93" t="s">
        <v>113</v>
      </c>
      <c r="S409" s="93" t="s">
        <v>113</v>
      </c>
      <c r="T409" s="93" t="s">
        <v>113</v>
      </c>
      <c r="U409" s="93" t="s">
        <v>113</v>
      </c>
      <c r="V409" s="94">
        <v>1</v>
      </c>
      <c r="W409" s="93" t="s">
        <v>113</v>
      </c>
      <c r="X409" s="93" t="s">
        <v>113</v>
      </c>
      <c r="Y409" s="93" t="s">
        <v>113</v>
      </c>
      <c r="Z409" s="94">
        <v>78</v>
      </c>
      <c r="AA409" s="93" t="s">
        <v>113</v>
      </c>
      <c r="AB409" s="93" t="s">
        <v>113</v>
      </c>
      <c r="AC409" s="94">
        <v>433</v>
      </c>
      <c r="AD409" s="93" t="s">
        <v>113</v>
      </c>
      <c r="AE409" s="93" t="s">
        <v>113</v>
      </c>
      <c r="AF409" s="93" t="s">
        <v>113</v>
      </c>
      <c r="AG409" s="93" t="s">
        <v>113</v>
      </c>
      <c r="AH409" s="93" t="s">
        <v>113</v>
      </c>
      <c r="AI409" s="93" t="s">
        <v>113</v>
      </c>
      <c r="AJ409" s="93" t="s">
        <v>113</v>
      </c>
      <c r="AK409" s="93" t="s">
        <v>113</v>
      </c>
      <c r="AL409" s="93" t="s">
        <v>113</v>
      </c>
      <c r="AM409" s="93"/>
      <c r="AN409" s="93" t="s">
        <v>113</v>
      </c>
      <c r="AO409" s="93" t="s">
        <v>174</v>
      </c>
      <c r="AP409" s="94">
        <v>467</v>
      </c>
      <c r="AQ409" s="94" t="s">
        <v>100</v>
      </c>
      <c r="AR409" s="93">
        <v>467</v>
      </c>
    </row>
    <row r="410" spans="1:44" ht="16.5">
      <c r="A410" s="93">
        <v>468</v>
      </c>
      <c r="B410" s="93" t="s">
        <v>113</v>
      </c>
      <c r="C410" s="94">
        <v>81.95</v>
      </c>
      <c r="D410" s="94">
        <v>0</v>
      </c>
      <c r="E410" s="94">
        <v>0</v>
      </c>
      <c r="F410" s="94">
        <v>0</v>
      </c>
      <c r="G410" s="94">
        <v>0</v>
      </c>
      <c r="H410" s="94">
        <v>2.41</v>
      </c>
      <c r="I410" s="94">
        <v>15.64</v>
      </c>
      <c r="J410" s="94">
        <v>0</v>
      </c>
      <c r="K410" s="94">
        <v>0</v>
      </c>
      <c r="L410" s="94">
        <v>0</v>
      </c>
      <c r="M410" s="74" t="str">
        <f t="array" ref="M410">_xlfn.TEXTJOIN("-", TRUE, IF(C410:L410&gt;0, $C$2:$L$2, ""))</f>
        <v xml:space="preserve"> Ti-Ta-Nb</v>
      </c>
      <c r="N410" s="90">
        <f t="shared" si="12"/>
        <v>406</v>
      </c>
      <c r="O410" s="91">
        <f t="shared" si="13"/>
        <v>3</v>
      </c>
      <c r="P410" s="94">
        <v>1</v>
      </c>
      <c r="Q410" s="94">
        <v>1</v>
      </c>
      <c r="R410" s="93" t="s">
        <v>113</v>
      </c>
      <c r="S410" s="93" t="s">
        <v>113</v>
      </c>
      <c r="T410" s="93" t="s">
        <v>113</v>
      </c>
      <c r="U410" s="93" t="s">
        <v>113</v>
      </c>
      <c r="V410" s="94">
        <v>1</v>
      </c>
      <c r="W410" s="93" t="s">
        <v>113</v>
      </c>
      <c r="X410" s="93" t="s">
        <v>113</v>
      </c>
      <c r="Y410" s="93" t="s">
        <v>113</v>
      </c>
      <c r="Z410" s="94">
        <v>78</v>
      </c>
      <c r="AA410" s="93" t="s">
        <v>113</v>
      </c>
      <c r="AB410" s="93" t="s">
        <v>113</v>
      </c>
      <c r="AC410" s="94">
        <v>376</v>
      </c>
      <c r="AD410" s="93" t="s">
        <v>113</v>
      </c>
      <c r="AE410" s="93" t="s">
        <v>113</v>
      </c>
      <c r="AF410" s="93" t="s">
        <v>113</v>
      </c>
      <c r="AG410" s="93" t="s">
        <v>113</v>
      </c>
      <c r="AH410" s="93" t="s">
        <v>113</v>
      </c>
      <c r="AI410" s="93" t="s">
        <v>113</v>
      </c>
      <c r="AJ410" s="93" t="s">
        <v>113</v>
      </c>
      <c r="AK410" s="93" t="s">
        <v>113</v>
      </c>
      <c r="AL410" s="93" t="s">
        <v>113</v>
      </c>
      <c r="AM410" s="93"/>
      <c r="AN410" s="93" t="s">
        <v>113</v>
      </c>
      <c r="AO410" s="93" t="s">
        <v>174</v>
      </c>
      <c r="AP410" s="94">
        <v>468</v>
      </c>
      <c r="AQ410" s="94" t="s">
        <v>100</v>
      </c>
      <c r="AR410" s="93">
        <v>468</v>
      </c>
    </row>
    <row r="411" spans="1:44" ht="16.5">
      <c r="A411" s="93">
        <v>470</v>
      </c>
      <c r="B411" s="93" t="s">
        <v>113</v>
      </c>
      <c r="C411" s="94">
        <v>80.72</v>
      </c>
      <c r="D411" s="94">
        <v>0</v>
      </c>
      <c r="E411" s="94">
        <v>0</v>
      </c>
      <c r="F411" s="94">
        <v>0</v>
      </c>
      <c r="G411" s="94">
        <v>0</v>
      </c>
      <c r="H411" s="94">
        <v>0.79</v>
      </c>
      <c r="I411" s="94">
        <v>18.48</v>
      </c>
      <c r="J411" s="94">
        <v>0</v>
      </c>
      <c r="K411" s="94">
        <v>0</v>
      </c>
      <c r="L411" s="94">
        <v>0</v>
      </c>
      <c r="M411" s="74" t="str">
        <f t="array" ref="M411">_xlfn.TEXTJOIN("-", TRUE, IF(C411:L411&gt;0, $C$2:$L$2, ""))</f>
        <v xml:space="preserve"> Ti-Ta-Nb</v>
      </c>
      <c r="N411" s="90">
        <f t="shared" si="12"/>
        <v>406</v>
      </c>
      <c r="O411" s="91">
        <f t="shared" si="13"/>
        <v>3</v>
      </c>
      <c r="P411" s="94">
        <v>1</v>
      </c>
      <c r="Q411" s="94">
        <v>1</v>
      </c>
      <c r="R411" s="93" t="s">
        <v>113</v>
      </c>
      <c r="S411" s="93" t="s">
        <v>113</v>
      </c>
      <c r="T411" s="93" t="s">
        <v>113</v>
      </c>
      <c r="U411" s="93" t="s">
        <v>113</v>
      </c>
      <c r="V411" s="94">
        <v>1</v>
      </c>
      <c r="W411" s="93" t="s">
        <v>113</v>
      </c>
      <c r="X411" s="93" t="s">
        <v>113</v>
      </c>
      <c r="Y411" s="93" t="s">
        <v>113</v>
      </c>
      <c r="Z411" s="94">
        <v>81</v>
      </c>
      <c r="AA411" s="93" t="s">
        <v>113</v>
      </c>
      <c r="AB411" s="93" t="s">
        <v>113</v>
      </c>
      <c r="AC411" s="94">
        <v>411</v>
      </c>
      <c r="AD411" s="93" t="s">
        <v>113</v>
      </c>
      <c r="AE411" s="93" t="s">
        <v>113</v>
      </c>
      <c r="AF411" s="93" t="s">
        <v>113</v>
      </c>
      <c r="AG411" s="93" t="s">
        <v>113</v>
      </c>
      <c r="AH411" s="93" t="s">
        <v>113</v>
      </c>
      <c r="AI411" s="93" t="s">
        <v>113</v>
      </c>
      <c r="AJ411" s="93" t="s">
        <v>113</v>
      </c>
      <c r="AK411" s="93" t="s">
        <v>113</v>
      </c>
      <c r="AL411" s="93" t="s">
        <v>113</v>
      </c>
      <c r="AM411" s="93"/>
      <c r="AN411" s="93" t="s">
        <v>113</v>
      </c>
      <c r="AO411" s="93" t="s">
        <v>174</v>
      </c>
      <c r="AP411" s="94">
        <v>470</v>
      </c>
      <c r="AQ411" s="94" t="s">
        <v>100</v>
      </c>
      <c r="AR411" s="93">
        <v>470</v>
      </c>
    </row>
    <row r="412" spans="1:44" ht="16.5">
      <c r="A412" s="93">
        <v>471</v>
      </c>
      <c r="B412" s="93" t="s">
        <v>113</v>
      </c>
      <c r="C412" s="94">
        <v>79.47999999999999</v>
      </c>
      <c r="D412" s="94">
        <v>0</v>
      </c>
      <c r="E412" s="94">
        <v>0</v>
      </c>
      <c r="F412" s="94">
        <v>0</v>
      </c>
      <c r="G412" s="94">
        <v>0</v>
      </c>
      <c r="H412" s="94">
        <v>1.6199999999999999</v>
      </c>
      <c r="I412" s="94">
        <v>18.899999999999999</v>
      </c>
      <c r="J412" s="94">
        <v>0</v>
      </c>
      <c r="K412" s="94">
        <v>0</v>
      </c>
      <c r="L412" s="94">
        <v>0</v>
      </c>
      <c r="M412" s="74" t="str">
        <f t="array" ref="M412">_xlfn.TEXTJOIN("-", TRUE, IF(C412:L412&gt;0, $C$2:$L$2, ""))</f>
        <v xml:space="preserve"> Ti-Ta-Nb</v>
      </c>
      <c r="N412" s="90">
        <f t="shared" si="12"/>
        <v>406</v>
      </c>
      <c r="O412" s="91">
        <f t="shared" si="13"/>
        <v>3</v>
      </c>
      <c r="P412" s="94">
        <v>1</v>
      </c>
      <c r="Q412" s="94">
        <v>1</v>
      </c>
      <c r="R412" s="93" t="s">
        <v>113</v>
      </c>
      <c r="S412" s="93" t="s">
        <v>113</v>
      </c>
      <c r="T412" s="93" t="s">
        <v>113</v>
      </c>
      <c r="U412" s="93" t="s">
        <v>113</v>
      </c>
      <c r="V412" s="94">
        <v>1</v>
      </c>
      <c r="W412" s="93" t="s">
        <v>113</v>
      </c>
      <c r="X412" s="93" t="s">
        <v>113</v>
      </c>
      <c r="Y412" s="93" t="s">
        <v>113</v>
      </c>
      <c r="Z412" s="94">
        <v>80</v>
      </c>
      <c r="AA412" s="93" t="s">
        <v>113</v>
      </c>
      <c r="AB412" s="93" t="s">
        <v>113</v>
      </c>
      <c r="AC412" s="94">
        <v>377</v>
      </c>
      <c r="AD412" s="93" t="s">
        <v>113</v>
      </c>
      <c r="AE412" s="93" t="s">
        <v>113</v>
      </c>
      <c r="AF412" s="93" t="s">
        <v>113</v>
      </c>
      <c r="AG412" s="93" t="s">
        <v>113</v>
      </c>
      <c r="AH412" s="93" t="s">
        <v>113</v>
      </c>
      <c r="AI412" s="93" t="s">
        <v>113</v>
      </c>
      <c r="AJ412" s="93" t="s">
        <v>113</v>
      </c>
      <c r="AK412" s="93" t="s">
        <v>113</v>
      </c>
      <c r="AL412" s="93" t="s">
        <v>113</v>
      </c>
      <c r="AM412" s="93"/>
      <c r="AN412" s="93" t="s">
        <v>113</v>
      </c>
      <c r="AO412" s="93" t="s">
        <v>174</v>
      </c>
      <c r="AP412" s="94">
        <v>471</v>
      </c>
      <c r="AQ412" s="94" t="s">
        <v>100</v>
      </c>
      <c r="AR412" s="93">
        <v>471</v>
      </c>
    </row>
    <row r="413" spans="1:44" ht="16.5">
      <c r="A413" s="93">
        <v>472</v>
      </c>
      <c r="B413" s="93" t="s">
        <v>113</v>
      </c>
      <c r="C413" s="94">
        <v>78.180000000000007</v>
      </c>
      <c r="D413" s="94">
        <v>0</v>
      </c>
      <c r="E413" s="94">
        <v>0</v>
      </c>
      <c r="F413" s="94">
        <v>0</v>
      </c>
      <c r="G413" s="94">
        <v>0</v>
      </c>
      <c r="H413" s="94">
        <v>2.48</v>
      </c>
      <c r="I413" s="94">
        <v>19.34</v>
      </c>
      <c r="J413" s="94">
        <v>0</v>
      </c>
      <c r="K413" s="94">
        <v>0</v>
      </c>
      <c r="L413" s="94">
        <v>0</v>
      </c>
      <c r="M413" s="74" t="str">
        <f t="array" ref="M413">_xlfn.TEXTJOIN("-", TRUE, IF(C413:L413&gt;0, $C$2:$L$2, ""))</f>
        <v xml:space="preserve"> Ti-Ta-Nb</v>
      </c>
      <c r="N413" s="90">
        <f t="shared" si="12"/>
        <v>406</v>
      </c>
      <c r="O413" s="91">
        <f t="shared" si="13"/>
        <v>3</v>
      </c>
      <c r="P413" s="94">
        <v>1</v>
      </c>
      <c r="Q413" s="94">
        <v>1</v>
      </c>
      <c r="R413" s="93" t="s">
        <v>113</v>
      </c>
      <c r="S413" s="93" t="s">
        <v>113</v>
      </c>
      <c r="T413" s="93" t="s">
        <v>113</v>
      </c>
      <c r="U413" s="93" t="s">
        <v>113</v>
      </c>
      <c r="V413" s="94">
        <v>1</v>
      </c>
      <c r="W413" s="93" t="s">
        <v>113</v>
      </c>
      <c r="X413" s="93" t="s">
        <v>113</v>
      </c>
      <c r="Y413" s="93" t="s">
        <v>113</v>
      </c>
      <c r="Z413" s="94">
        <v>81</v>
      </c>
      <c r="AA413" s="93" t="s">
        <v>113</v>
      </c>
      <c r="AB413" s="93" t="s">
        <v>113</v>
      </c>
      <c r="AC413" s="94">
        <v>395</v>
      </c>
      <c r="AD413" s="93" t="s">
        <v>113</v>
      </c>
      <c r="AE413" s="93" t="s">
        <v>113</v>
      </c>
      <c r="AF413" s="93" t="s">
        <v>113</v>
      </c>
      <c r="AG413" s="93" t="s">
        <v>113</v>
      </c>
      <c r="AH413" s="93" t="s">
        <v>113</v>
      </c>
      <c r="AI413" s="93" t="s">
        <v>113</v>
      </c>
      <c r="AJ413" s="93" t="s">
        <v>113</v>
      </c>
      <c r="AK413" s="93" t="s">
        <v>113</v>
      </c>
      <c r="AL413" s="93" t="s">
        <v>113</v>
      </c>
      <c r="AM413" s="93"/>
      <c r="AN413" s="93" t="s">
        <v>113</v>
      </c>
      <c r="AO413" s="93" t="s">
        <v>174</v>
      </c>
      <c r="AP413" s="94">
        <v>472</v>
      </c>
      <c r="AQ413" s="94" t="s">
        <v>100</v>
      </c>
      <c r="AR413" s="93">
        <v>472</v>
      </c>
    </row>
    <row r="414" spans="1:44" ht="16.5">
      <c r="A414" s="93">
        <v>474</v>
      </c>
      <c r="B414" s="93" t="s">
        <v>113</v>
      </c>
      <c r="C414" s="94">
        <v>76.98</v>
      </c>
      <c r="D414" s="94">
        <v>0</v>
      </c>
      <c r="E414" s="94">
        <v>0</v>
      </c>
      <c r="F414" s="94">
        <v>0</v>
      </c>
      <c r="G414" s="94">
        <v>0</v>
      </c>
      <c r="H414" s="94">
        <v>0.80999999999999994</v>
      </c>
      <c r="I414" s="94">
        <v>22.21</v>
      </c>
      <c r="J414" s="94">
        <v>0</v>
      </c>
      <c r="K414" s="94">
        <v>0</v>
      </c>
      <c r="L414" s="94">
        <v>0</v>
      </c>
      <c r="M414" s="74" t="str">
        <f t="array" ref="M414">_xlfn.TEXTJOIN("-", TRUE, IF(C414:L414&gt;0, $C$2:$L$2, ""))</f>
        <v xml:space="preserve"> Ti-Ta-Nb</v>
      </c>
      <c r="N414" s="90">
        <f t="shared" si="12"/>
        <v>406</v>
      </c>
      <c r="O414" s="91">
        <f t="shared" si="13"/>
        <v>3</v>
      </c>
      <c r="P414" s="94">
        <v>1</v>
      </c>
      <c r="Q414" s="94">
        <v>1</v>
      </c>
      <c r="R414" s="93" t="s">
        <v>113</v>
      </c>
      <c r="S414" s="93" t="s">
        <v>113</v>
      </c>
      <c r="T414" s="93" t="s">
        <v>113</v>
      </c>
      <c r="U414" s="93" t="s">
        <v>113</v>
      </c>
      <c r="V414" s="94">
        <v>1</v>
      </c>
      <c r="W414" s="93" t="s">
        <v>113</v>
      </c>
      <c r="X414" s="93" t="s">
        <v>113</v>
      </c>
      <c r="Y414" s="93" t="s">
        <v>113</v>
      </c>
      <c r="Z414" s="94">
        <v>85</v>
      </c>
      <c r="AA414" s="93" t="s">
        <v>113</v>
      </c>
      <c r="AB414" s="93" t="s">
        <v>113</v>
      </c>
      <c r="AC414" s="94">
        <v>303</v>
      </c>
      <c r="AD414" s="93" t="s">
        <v>113</v>
      </c>
      <c r="AE414" s="93" t="s">
        <v>113</v>
      </c>
      <c r="AF414" s="93" t="s">
        <v>113</v>
      </c>
      <c r="AG414" s="93" t="s">
        <v>113</v>
      </c>
      <c r="AH414" s="93" t="s">
        <v>113</v>
      </c>
      <c r="AI414" s="93" t="s">
        <v>113</v>
      </c>
      <c r="AJ414" s="93" t="s">
        <v>113</v>
      </c>
      <c r="AK414" s="93" t="s">
        <v>113</v>
      </c>
      <c r="AL414" s="93" t="s">
        <v>113</v>
      </c>
      <c r="AM414" s="93"/>
      <c r="AN414" s="93" t="s">
        <v>113</v>
      </c>
      <c r="AO414" s="93" t="s">
        <v>174</v>
      </c>
      <c r="AP414" s="94">
        <v>474</v>
      </c>
      <c r="AQ414" s="94" t="s">
        <v>100</v>
      </c>
      <c r="AR414" s="93">
        <v>474</v>
      </c>
    </row>
    <row r="415" spans="1:44" ht="16.5">
      <c r="A415" s="93">
        <v>475</v>
      </c>
      <c r="B415" s="93" t="s">
        <v>113</v>
      </c>
      <c r="C415" s="94">
        <v>75.61</v>
      </c>
      <c r="D415" s="94">
        <v>0</v>
      </c>
      <c r="E415" s="94">
        <v>0</v>
      </c>
      <c r="F415" s="94">
        <v>0</v>
      </c>
      <c r="G415" s="94">
        <v>0</v>
      </c>
      <c r="H415" s="94">
        <v>1.67</v>
      </c>
      <c r="I415" s="94">
        <v>22.720000000000002</v>
      </c>
      <c r="J415" s="94">
        <v>0</v>
      </c>
      <c r="K415" s="94">
        <v>0</v>
      </c>
      <c r="L415" s="94">
        <v>0</v>
      </c>
      <c r="M415" s="74" t="str">
        <f t="array" ref="M415">_xlfn.TEXTJOIN("-", TRUE, IF(C415:L415&gt;0, $C$2:$L$2, ""))</f>
        <v xml:space="preserve"> Ti-Ta-Nb</v>
      </c>
      <c r="N415" s="90">
        <f t="shared" si="12"/>
        <v>406</v>
      </c>
      <c r="O415" s="91">
        <f t="shared" si="13"/>
        <v>3</v>
      </c>
      <c r="P415" s="94">
        <v>1</v>
      </c>
      <c r="Q415" s="94">
        <v>1</v>
      </c>
      <c r="R415" s="93" t="s">
        <v>113</v>
      </c>
      <c r="S415" s="93" t="s">
        <v>113</v>
      </c>
      <c r="T415" s="93" t="s">
        <v>113</v>
      </c>
      <c r="U415" s="93" t="s">
        <v>113</v>
      </c>
      <c r="V415" s="94">
        <v>1</v>
      </c>
      <c r="W415" s="93" t="s">
        <v>113</v>
      </c>
      <c r="X415" s="93" t="s">
        <v>113</v>
      </c>
      <c r="Y415" s="93" t="s">
        <v>113</v>
      </c>
      <c r="Z415" s="94">
        <v>84</v>
      </c>
      <c r="AA415" s="93" t="s">
        <v>113</v>
      </c>
      <c r="AB415" s="93" t="s">
        <v>113</v>
      </c>
      <c r="AC415" s="94">
        <v>340</v>
      </c>
      <c r="AD415" s="93" t="s">
        <v>113</v>
      </c>
      <c r="AE415" s="93" t="s">
        <v>113</v>
      </c>
      <c r="AF415" s="93" t="s">
        <v>113</v>
      </c>
      <c r="AG415" s="93" t="s">
        <v>113</v>
      </c>
      <c r="AH415" s="93" t="s">
        <v>113</v>
      </c>
      <c r="AI415" s="93" t="s">
        <v>113</v>
      </c>
      <c r="AJ415" s="93" t="s">
        <v>113</v>
      </c>
      <c r="AK415" s="93" t="s">
        <v>113</v>
      </c>
      <c r="AL415" s="93" t="s">
        <v>113</v>
      </c>
      <c r="AM415" s="93"/>
      <c r="AN415" s="93" t="s">
        <v>113</v>
      </c>
      <c r="AO415" s="93" t="s">
        <v>174</v>
      </c>
      <c r="AP415" s="94">
        <v>475</v>
      </c>
      <c r="AQ415" s="94" t="s">
        <v>100</v>
      </c>
      <c r="AR415" s="93">
        <v>475</v>
      </c>
    </row>
    <row r="416" spans="1:44" ht="16.5">
      <c r="A416" s="93">
        <v>476</v>
      </c>
      <c r="B416" s="93" t="s">
        <v>113</v>
      </c>
      <c r="C416" s="94">
        <v>74.180000000000007</v>
      </c>
      <c r="D416" s="94">
        <v>0</v>
      </c>
      <c r="E416" s="94">
        <v>0</v>
      </c>
      <c r="F416" s="94">
        <v>0</v>
      </c>
      <c r="G416" s="94">
        <v>0</v>
      </c>
      <c r="H416" s="94">
        <v>2.56</v>
      </c>
      <c r="I416" s="94">
        <v>23.26</v>
      </c>
      <c r="J416" s="94">
        <v>0</v>
      </c>
      <c r="K416" s="94">
        <v>0</v>
      </c>
      <c r="L416" s="94">
        <v>0</v>
      </c>
      <c r="M416" s="74" t="str">
        <f t="array" ref="M416">_xlfn.TEXTJOIN("-", TRUE, IF(C416:L416&gt;0, $C$2:$L$2, ""))</f>
        <v xml:space="preserve"> Ti-Ta-Nb</v>
      </c>
      <c r="N416" s="90">
        <f t="shared" si="12"/>
        <v>406</v>
      </c>
      <c r="O416" s="91">
        <f t="shared" si="13"/>
        <v>3</v>
      </c>
      <c r="P416" s="94">
        <v>1</v>
      </c>
      <c r="Q416" s="94">
        <v>1</v>
      </c>
      <c r="R416" s="93" t="s">
        <v>113</v>
      </c>
      <c r="S416" s="93" t="s">
        <v>113</v>
      </c>
      <c r="T416" s="93" t="s">
        <v>113</v>
      </c>
      <c r="U416" s="93" t="s">
        <v>113</v>
      </c>
      <c r="V416" s="94">
        <v>1</v>
      </c>
      <c r="W416" s="93" t="s">
        <v>113</v>
      </c>
      <c r="X416" s="93" t="s">
        <v>113</v>
      </c>
      <c r="Y416" s="93" t="s">
        <v>113</v>
      </c>
      <c r="Z416" s="94">
        <v>90</v>
      </c>
      <c r="AA416" s="93" t="s">
        <v>113</v>
      </c>
      <c r="AB416" s="93" t="s">
        <v>113</v>
      </c>
      <c r="AC416" s="94">
        <v>314</v>
      </c>
      <c r="AD416" s="93" t="s">
        <v>113</v>
      </c>
      <c r="AE416" s="93" t="s">
        <v>113</v>
      </c>
      <c r="AF416" s="93" t="s">
        <v>113</v>
      </c>
      <c r="AG416" s="93" t="s">
        <v>113</v>
      </c>
      <c r="AH416" s="93" t="s">
        <v>113</v>
      </c>
      <c r="AI416" s="93" t="s">
        <v>113</v>
      </c>
      <c r="AJ416" s="93" t="s">
        <v>113</v>
      </c>
      <c r="AK416" s="93" t="s">
        <v>113</v>
      </c>
      <c r="AL416" s="93" t="s">
        <v>113</v>
      </c>
      <c r="AM416" s="93"/>
      <c r="AN416" s="93" t="s">
        <v>113</v>
      </c>
      <c r="AO416" s="93" t="s">
        <v>174</v>
      </c>
      <c r="AP416" s="94">
        <v>476</v>
      </c>
      <c r="AQ416" s="94" t="s">
        <v>100</v>
      </c>
      <c r="AR416" s="93">
        <v>476</v>
      </c>
    </row>
    <row r="417" spans="1:61" ht="16.5">
      <c r="A417" s="93">
        <v>491</v>
      </c>
      <c r="B417" s="93" t="s">
        <v>113</v>
      </c>
      <c r="C417" s="94">
        <v>77</v>
      </c>
      <c r="D417" s="94">
        <v>0</v>
      </c>
      <c r="E417" s="94">
        <v>0</v>
      </c>
      <c r="F417" s="94">
        <v>0</v>
      </c>
      <c r="G417" s="94">
        <v>0</v>
      </c>
      <c r="H417" s="94">
        <v>1</v>
      </c>
      <c r="I417" s="94">
        <v>22</v>
      </c>
      <c r="J417" s="94">
        <v>0</v>
      </c>
      <c r="K417" s="94">
        <v>0</v>
      </c>
      <c r="L417" s="94">
        <v>0</v>
      </c>
      <c r="M417" s="74" t="str">
        <f t="array" ref="M417">_xlfn.TEXTJOIN("-", TRUE, IF(C417:L417&gt;0, $C$2:$L$2, ""))</f>
        <v xml:space="preserve"> Ti-Ta-Nb</v>
      </c>
      <c r="N417" s="90">
        <f t="shared" si="12"/>
        <v>406</v>
      </c>
      <c r="O417" s="91">
        <f t="shared" si="13"/>
        <v>3</v>
      </c>
      <c r="P417" s="94">
        <v>1</v>
      </c>
      <c r="Q417" s="94">
        <v>1</v>
      </c>
      <c r="R417" s="93" t="s">
        <v>113</v>
      </c>
      <c r="S417" s="93" t="s">
        <v>113</v>
      </c>
      <c r="T417" s="93" t="s">
        <v>113</v>
      </c>
      <c r="U417" s="93" t="s">
        <v>113</v>
      </c>
      <c r="V417" s="94">
        <v>1</v>
      </c>
      <c r="W417" s="93" t="s">
        <v>113</v>
      </c>
      <c r="X417" s="93" t="s">
        <v>113</v>
      </c>
      <c r="Y417" s="93" t="s">
        <v>113</v>
      </c>
      <c r="Z417" s="94">
        <v>72</v>
      </c>
      <c r="AA417" s="93" t="s">
        <v>113</v>
      </c>
      <c r="AB417" s="93" t="s">
        <v>113</v>
      </c>
      <c r="AC417" s="94">
        <v>401</v>
      </c>
      <c r="AD417" s="93" t="s">
        <v>113</v>
      </c>
      <c r="AE417" s="93" t="s">
        <v>113</v>
      </c>
      <c r="AF417" s="93" t="s">
        <v>113</v>
      </c>
      <c r="AG417" s="93" t="s">
        <v>113</v>
      </c>
      <c r="AH417" s="93" t="s">
        <v>113</v>
      </c>
      <c r="AI417" s="93" t="s">
        <v>113</v>
      </c>
      <c r="AJ417" s="93" t="s">
        <v>113</v>
      </c>
      <c r="AK417" s="93" t="s">
        <v>113</v>
      </c>
      <c r="AL417" s="93" t="s">
        <v>113</v>
      </c>
      <c r="AM417" s="93"/>
      <c r="AN417" s="93" t="s">
        <v>113</v>
      </c>
      <c r="AO417" s="93" t="s">
        <v>174</v>
      </c>
      <c r="AP417" s="94">
        <v>491</v>
      </c>
      <c r="AQ417" s="94" t="s">
        <v>100</v>
      </c>
      <c r="AR417" s="93">
        <v>491</v>
      </c>
    </row>
    <row r="418" spans="1:61" ht="16.5">
      <c r="A418" s="9">
        <v>165</v>
      </c>
      <c r="C418" s="9">
        <v>71.95</v>
      </c>
      <c r="D418">
        <v>0</v>
      </c>
      <c r="E418" s="9">
        <v>0</v>
      </c>
      <c r="F418" s="9">
        <v>0</v>
      </c>
      <c r="G418" s="9">
        <v>0</v>
      </c>
      <c r="H418" s="9">
        <v>9.52</v>
      </c>
      <c r="I418" s="9">
        <v>18.53</v>
      </c>
      <c r="J418" s="9">
        <v>0</v>
      </c>
      <c r="K418" s="9">
        <v>0</v>
      </c>
      <c r="L418" s="9">
        <v>0</v>
      </c>
      <c r="M418" s="74" t="str">
        <f t="array" ref="M418">_xlfn.TEXTJOIN("-", TRUE, IF(C418:L418&gt;0, $C$2:$L$2, ""))</f>
        <v xml:space="preserve"> Ti-Ta-Nb</v>
      </c>
      <c r="N418" s="90">
        <f t="shared" si="12"/>
        <v>406</v>
      </c>
      <c r="O418" s="91">
        <f t="shared" si="13"/>
        <v>3</v>
      </c>
      <c r="Z418" s="9">
        <v>55</v>
      </c>
      <c r="AQ418" s="94" t="s">
        <v>382</v>
      </c>
    </row>
    <row r="419" spans="1:61" ht="16.5">
      <c r="A419" s="9">
        <v>186</v>
      </c>
      <c r="C419" s="9">
        <v>75.94</v>
      </c>
      <c r="D419">
        <v>0</v>
      </c>
      <c r="E419" s="9">
        <v>0</v>
      </c>
      <c r="F419" s="9">
        <v>0</v>
      </c>
      <c r="G419" s="9">
        <v>0</v>
      </c>
      <c r="H419" s="9">
        <v>4.5</v>
      </c>
      <c r="I419" s="9">
        <v>19.559999999999999</v>
      </c>
      <c r="J419" s="9">
        <v>0</v>
      </c>
      <c r="K419" s="9">
        <v>0</v>
      </c>
      <c r="L419" s="9">
        <v>0</v>
      </c>
      <c r="M419" s="74" t="str">
        <f t="array" ref="M419">_xlfn.TEXTJOIN("-", TRUE, IF(C419:L419&gt;0, $C$2:$L$2, ""))</f>
        <v xml:space="preserve"> Ti-Ta-Nb</v>
      </c>
      <c r="N419" s="90">
        <f t="shared" si="12"/>
        <v>406</v>
      </c>
      <c r="O419" s="91">
        <f t="shared" si="13"/>
        <v>3</v>
      </c>
      <c r="Z419" s="9">
        <v>63</v>
      </c>
      <c r="AQ419" s="94" t="s">
        <v>382</v>
      </c>
    </row>
    <row r="420" spans="1:61" ht="16.5">
      <c r="A420" s="93">
        <v>412</v>
      </c>
      <c r="B420" s="93" t="s">
        <v>113</v>
      </c>
      <c r="C420" s="94">
        <v>58.430000000000007</v>
      </c>
      <c r="D420" s="94">
        <v>10.91</v>
      </c>
      <c r="E420" s="94">
        <v>30.659999999999997</v>
      </c>
      <c r="F420" s="94">
        <v>0</v>
      </c>
      <c r="G420" s="94">
        <v>0</v>
      </c>
      <c r="H420" s="94">
        <v>0</v>
      </c>
      <c r="I420" s="94">
        <v>0</v>
      </c>
      <c r="J420" s="94">
        <v>0</v>
      </c>
      <c r="K420" s="94">
        <v>0</v>
      </c>
      <c r="L420" s="94">
        <v>0</v>
      </c>
      <c r="M420" s="74" t="str">
        <f t="array" ref="M420">_xlfn.TEXTJOIN("-", TRUE, IF(C420:L420&gt;0, $C$2:$L$2, ""))</f>
        <v xml:space="preserve"> Ti-Al-Zr</v>
      </c>
      <c r="N420" s="90" t="str">
        <f t="shared" si="12"/>
        <v/>
      </c>
      <c r="O420" s="91">
        <f t="shared" si="13"/>
        <v>3</v>
      </c>
      <c r="P420" s="94">
        <v>1</v>
      </c>
      <c r="Q420" s="94">
        <v>1</v>
      </c>
      <c r="R420" s="93" t="s">
        <v>113</v>
      </c>
      <c r="S420" s="93" t="s">
        <v>113</v>
      </c>
      <c r="T420" s="93" t="s">
        <v>113</v>
      </c>
      <c r="U420" s="93" t="s">
        <v>113</v>
      </c>
      <c r="V420" s="93">
        <v>1</v>
      </c>
      <c r="W420" s="93" t="s">
        <v>113</v>
      </c>
      <c r="X420" s="93" t="s">
        <v>113</v>
      </c>
      <c r="Y420" s="93" t="s">
        <v>113</v>
      </c>
      <c r="Z420" s="94">
        <v>100</v>
      </c>
      <c r="AA420" s="93" t="s">
        <v>113</v>
      </c>
      <c r="AB420" s="93" t="s">
        <v>113</v>
      </c>
      <c r="AC420" s="94">
        <v>1710</v>
      </c>
      <c r="AD420" s="93" t="s">
        <v>113</v>
      </c>
      <c r="AE420" s="93" t="s">
        <v>113</v>
      </c>
      <c r="AF420" s="93" t="s">
        <v>113</v>
      </c>
      <c r="AG420" s="93" t="s">
        <v>113</v>
      </c>
      <c r="AH420" s="93" t="s">
        <v>113</v>
      </c>
      <c r="AI420" s="93" t="s">
        <v>113</v>
      </c>
      <c r="AJ420" s="93" t="s">
        <v>113</v>
      </c>
      <c r="AK420" s="93" t="s">
        <v>113</v>
      </c>
      <c r="AL420" s="93" t="s">
        <v>113</v>
      </c>
      <c r="AM420" s="93"/>
      <c r="AN420" s="93" t="s">
        <v>113</v>
      </c>
      <c r="AO420" s="93" t="s">
        <v>174</v>
      </c>
      <c r="AP420" s="94">
        <v>412</v>
      </c>
      <c r="AQ420" s="94" t="s">
        <v>100</v>
      </c>
      <c r="AR420" s="93">
        <v>412</v>
      </c>
    </row>
    <row r="421" spans="1:61" ht="16.5">
      <c r="A421" s="9">
        <v>87</v>
      </c>
      <c r="C421" s="9">
        <v>91.91</v>
      </c>
      <c r="D421">
        <v>0</v>
      </c>
      <c r="E421" s="9">
        <v>0</v>
      </c>
      <c r="F421" s="9">
        <v>6.63</v>
      </c>
      <c r="G421" s="9">
        <v>0</v>
      </c>
      <c r="H421" s="9">
        <v>1.46</v>
      </c>
      <c r="I421" s="9">
        <v>0</v>
      </c>
      <c r="J421" s="9">
        <v>0</v>
      </c>
      <c r="K421" s="9">
        <v>0</v>
      </c>
      <c r="L421" s="9">
        <v>0</v>
      </c>
      <c r="M421" s="74" t="str">
        <f t="array" ref="M421">_xlfn.TEXTJOIN("-", TRUE, IF(C421:L421&gt;0, $C$2:$L$2, ""))</f>
        <v xml:space="preserve"> Ti-Mo-Ta</v>
      </c>
      <c r="N421" s="90" t="str">
        <f t="shared" si="12"/>
        <v/>
      </c>
      <c r="O421" s="91">
        <f t="shared" si="13"/>
        <v>3</v>
      </c>
      <c r="Z421" s="9">
        <v>74</v>
      </c>
      <c r="AQ421" s="94" t="s">
        <v>382</v>
      </c>
    </row>
    <row r="422" spans="1:61" ht="16.5">
      <c r="A422" s="7">
        <v>37</v>
      </c>
      <c r="B422" s="6"/>
      <c r="C422" s="8">
        <v>53.4</v>
      </c>
      <c r="D422" s="8">
        <v>0</v>
      </c>
      <c r="E422" s="8">
        <v>4.5999999999999996</v>
      </c>
      <c r="F422" s="8">
        <v>0</v>
      </c>
      <c r="G422" s="8">
        <v>0</v>
      </c>
      <c r="H422" s="8">
        <v>13</v>
      </c>
      <c r="I422" s="8">
        <v>29</v>
      </c>
      <c r="J422" s="8">
        <v>0</v>
      </c>
      <c r="K422" s="8">
        <v>0</v>
      </c>
      <c r="L422" s="8">
        <v>0</v>
      </c>
      <c r="M422" s="74" t="str">
        <f t="array" ref="M422">_xlfn.TEXTJOIN("-", TRUE, IF(C422:L422&gt;0, $C$2:$L$2, ""))</f>
        <v xml:space="preserve"> Ti-Zr-Ta-Nb</v>
      </c>
      <c r="N422" s="90">
        <f t="shared" si="12"/>
        <v>422</v>
      </c>
      <c r="O422" s="91">
        <f t="shared" si="13"/>
        <v>4</v>
      </c>
      <c r="P422" s="8">
        <v>2</v>
      </c>
      <c r="Q422" s="8">
        <v>0</v>
      </c>
      <c r="R422" s="8">
        <v>0</v>
      </c>
      <c r="S422" s="8">
        <v>0</v>
      </c>
      <c r="T422" s="8">
        <v>800</v>
      </c>
      <c r="U422" s="8">
        <v>1</v>
      </c>
      <c r="V422" s="8">
        <v>1</v>
      </c>
      <c r="W422" s="8">
        <v>0</v>
      </c>
      <c r="X422" s="8">
        <v>0</v>
      </c>
      <c r="Y422" s="8">
        <v>0</v>
      </c>
      <c r="Z422" s="8">
        <v>42</v>
      </c>
      <c r="AA422" s="6"/>
      <c r="AB422" s="8">
        <v>421</v>
      </c>
      <c r="AC422" s="8">
        <v>88</v>
      </c>
      <c r="AD422" s="8">
        <v>80.34</v>
      </c>
      <c r="AE422" s="6"/>
      <c r="AF422" s="6"/>
      <c r="AG422" s="6"/>
      <c r="AH422" s="6"/>
      <c r="AI422" s="6"/>
      <c r="AJ422" s="6"/>
      <c r="AK422" s="6"/>
      <c r="AL422" s="6"/>
      <c r="AM422" s="6"/>
      <c r="AN422" s="6" t="s">
        <v>61</v>
      </c>
      <c r="AO422" s="6" t="s">
        <v>62</v>
      </c>
      <c r="AP422" s="6">
        <v>3</v>
      </c>
      <c r="AQ422" s="7" t="s">
        <v>54</v>
      </c>
      <c r="AR422" s="7">
        <v>37</v>
      </c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</row>
    <row r="423" spans="1:61" ht="16.5">
      <c r="A423" s="7">
        <v>38</v>
      </c>
      <c r="B423" s="6"/>
      <c r="C423" s="8">
        <v>53.4</v>
      </c>
      <c r="D423" s="8">
        <v>0</v>
      </c>
      <c r="E423" s="8">
        <v>4.5999999999999996</v>
      </c>
      <c r="F423" s="8">
        <v>0</v>
      </c>
      <c r="G423" s="8">
        <v>0</v>
      </c>
      <c r="H423" s="8">
        <v>13</v>
      </c>
      <c r="I423" s="8">
        <v>29</v>
      </c>
      <c r="J423" s="8">
        <v>0</v>
      </c>
      <c r="K423" s="8">
        <v>0</v>
      </c>
      <c r="L423" s="8">
        <v>0</v>
      </c>
      <c r="M423" s="74" t="str">
        <f t="array" ref="M423">_xlfn.TEXTJOIN("-", TRUE, IF(C423:L423&gt;0, $C$2:$L$2, ""))</f>
        <v xml:space="preserve"> Ti-Zr-Ta-Nb</v>
      </c>
      <c r="N423" s="90">
        <f t="shared" si="12"/>
        <v>422</v>
      </c>
      <c r="O423" s="91">
        <f t="shared" si="13"/>
        <v>4</v>
      </c>
      <c r="P423" s="8">
        <v>2</v>
      </c>
      <c r="Q423" s="8">
        <v>1</v>
      </c>
      <c r="R423" s="8">
        <v>20</v>
      </c>
      <c r="S423" s="8">
        <v>88.75</v>
      </c>
      <c r="T423" s="8">
        <v>800</v>
      </c>
      <c r="U423" s="8">
        <v>1</v>
      </c>
      <c r="V423" s="8">
        <v>1</v>
      </c>
      <c r="W423" s="8">
        <v>0</v>
      </c>
      <c r="X423" s="8">
        <v>0</v>
      </c>
      <c r="Y423" s="8">
        <v>0</v>
      </c>
      <c r="Z423" s="8">
        <v>46</v>
      </c>
      <c r="AA423" s="6"/>
      <c r="AB423" s="8">
        <v>686</v>
      </c>
      <c r="AC423" s="8">
        <v>356</v>
      </c>
      <c r="AD423" s="8">
        <v>4.7300000000000004</v>
      </c>
      <c r="AE423" s="6"/>
      <c r="AF423" s="6"/>
      <c r="AG423" s="6"/>
      <c r="AH423" s="6"/>
      <c r="AI423" s="6"/>
      <c r="AJ423" s="6"/>
      <c r="AK423" s="6"/>
      <c r="AL423" s="6"/>
      <c r="AM423" s="6"/>
      <c r="AN423" s="6" t="s">
        <v>61</v>
      </c>
      <c r="AO423" s="6" t="s">
        <v>62</v>
      </c>
      <c r="AP423" s="6">
        <v>3</v>
      </c>
      <c r="AQ423" s="7" t="s">
        <v>54</v>
      </c>
      <c r="AR423" s="7">
        <v>38</v>
      </c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</row>
    <row r="424" spans="1:61" ht="16.5">
      <c r="A424" s="7">
        <v>39</v>
      </c>
      <c r="B424" s="6"/>
      <c r="C424" s="8">
        <v>53.4</v>
      </c>
      <c r="D424" s="8">
        <v>0</v>
      </c>
      <c r="E424" s="8">
        <v>4.5999999999999996</v>
      </c>
      <c r="F424" s="8">
        <v>0</v>
      </c>
      <c r="G424" s="8">
        <v>0</v>
      </c>
      <c r="H424" s="8">
        <v>13</v>
      </c>
      <c r="I424" s="8">
        <v>29</v>
      </c>
      <c r="J424" s="8">
        <v>0</v>
      </c>
      <c r="K424" s="8">
        <v>0</v>
      </c>
      <c r="L424" s="8">
        <v>0</v>
      </c>
      <c r="M424" s="74" t="str">
        <f t="array" ref="M424">_xlfn.TEXTJOIN("-", TRUE, IF(C424:L424&gt;0, $C$2:$L$2, ""))</f>
        <v xml:space="preserve"> Ti-Zr-Ta-Nb</v>
      </c>
      <c r="N424" s="90">
        <f t="shared" si="12"/>
        <v>422</v>
      </c>
      <c r="O424" s="91">
        <f t="shared" si="13"/>
        <v>4</v>
      </c>
      <c r="P424" s="8">
        <v>2</v>
      </c>
      <c r="Q424" s="8">
        <v>1</v>
      </c>
      <c r="R424" s="8">
        <v>20</v>
      </c>
      <c r="S424" s="8">
        <v>88.75</v>
      </c>
      <c r="T424" s="8">
        <v>800</v>
      </c>
      <c r="U424" s="8">
        <v>1</v>
      </c>
      <c r="V424" s="8">
        <v>1</v>
      </c>
      <c r="W424" s="8">
        <v>400</v>
      </c>
      <c r="X424" s="8">
        <v>0.33</v>
      </c>
      <c r="Y424" s="8">
        <v>1</v>
      </c>
      <c r="Z424" s="8">
        <v>48</v>
      </c>
      <c r="AA424" s="6"/>
      <c r="AB424" s="8">
        <v>967</v>
      </c>
      <c r="AC424" s="8">
        <v>920</v>
      </c>
      <c r="AD424" s="8">
        <v>2.91</v>
      </c>
      <c r="AE424" s="6"/>
      <c r="AF424" s="6"/>
      <c r="AG424" s="6"/>
      <c r="AH424" s="6"/>
      <c r="AI424" s="6"/>
      <c r="AJ424" s="6"/>
      <c r="AK424" s="6"/>
      <c r="AL424" s="6"/>
      <c r="AM424" s="6"/>
      <c r="AN424" s="6" t="s">
        <v>61</v>
      </c>
      <c r="AO424" s="6" t="s">
        <v>62</v>
      </c>
      <c r="AP424" s="6">
        <v>3</v>
      </c>
      <c r="AQ424" s="7" t="s">
        <v>54</v>
      </c>
      <c r="AR424" s="7">
        <v>39</v>
      </c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</row>
    <row r="425" spans="1:61" ht="16.5">
      <c r="A425" s="7">
        <v>40</v>
      </c>
      <c r="B425" s="6"/>
      <c r="C425" s="8">
        <v>53.4</v>
      </c>
      <c r="D425" s="8">
        <v>0</v>
      </c>
      <c r="E425" s="8">
        <v>4.5999999999999996</v>
      </c>
      <c r="F425" s="8">
        <v>0</v>
      </c>
      <c r="G425" s="8">
        <v>0</v>
      </c>
      <c r="H425" s="8">
        <v>13</v>
      </c>
      <c r="I425" s="8">
        <v>29</v>
      </c>
      <c r="J425" s="8">
        <v>0</v>
      </c>
      <c r="K425" s="8">
        <v>0</v>
      </c>
      <c r="L425" s="8">
        <v>0</v>
      </c>
      <c r="M425" s="74" t="str">
        <f t="array" ref="M425">_xlfn.TEXTJOIN("-", TRUE, IF(C425:L425&gt;0, $C$2:$L$2, ""))</f>
        <v xml:space="preserve"> Ti-Zr-Ta-Nb</v>
      </c>
      <c r="N425" s="90">
        <f t="shared" si="12"/>
        <v>422</v>
      </c>
      <c r="O425" s="91">
        <f t="shared" si="13"/>
        <v>4</v>
      </c>
      <c r="P425" s="8">
        <v>2</v>
      </c>
      <c r="Q425" s="8">
        <v>1</v>
      </c>
      <c r="R425" s="8">
        <v>20</v>
      </c>
      <c r="S425" s="8">
        <v>88.75</v>
      </c>
      <c r="T425" s="8">
        <v>800</v>
      </c>
      <c r="U425" s="8">
        <v>1</v>
      </c>
      <c r="V425" s="8">
        <v>1</v>
      </c>
      <c r="W425" s="8">
        <v>400</v>
      </c>
      <c r="X425" s="8">
        <v>1.67</v>
      </c>
      <c r="Y425" s="8">
        <v>1</v>
      </c>
      <c r="Z425" s="8">
        <v>83</v>
      </c>
      <c r="AA425" s="6"/>
      <c r="AB425" s="8">
        <v>1192</v>
      </c>
      <c r="AC425" s="8">
        <v>1180</v>
      </c>
      <c r="AD425" s="8">
        <v>1.66</v>
      </c>
      <c r="AE425" s="6"/>
      <c r="AF425" s="6"/>
      <c r="AG425" s="6"/>
      <c r="AH425" s="6"/>
      <c r="AI425" s="6"/>
      <c r="AJ425" s="6"/>
      <c r="AK425" s="6"/>
      <c r="AL425" s="6"/>
      <c r="AM425" s="6"/>
      <c r="AN425" s="6" t="s">
        <v>61</v>
      </c>
      <c r="AO425" s="6" t="s">
        <v>62</v>
      </c>
      <c r="AP425" s="6">
        <v>3</v>
      </c>
      <c r="AQ425" s="7" t="s">
        <v>54</v>
      </c>
      <c r="AR425" s="7">
        <v>40</v>
      </c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</row>
    <row r="426" spans="1:61" ht="16.5">
      <c r="A426" s="7">
        <v>47</v>
      </c>
      <c r="B426" s="6"/>
      <c r="C426" s="8">
        <v>53</v>
      </c>
      <c r="D426" s="8">
        <v>0</v>
      </c>
      <c r="E426" s="8">
        <v>7</v>
      </c>
      <c r="F426" s="8">
        <v>0</v>
      </c>
      <c r="G426" s="8">
        <v>0</v>
      </c>
      <c r="H426" s="8">
        <v>5</v>
      </c>
      <c r="I426" s="8">
        <v>35</v>
      </c>
      <c r="J426" s="8">
        <v>0</v>
      </c>
      <c r="K426" s="8">
        <v>0</v>
      </c>
      <c r="L426" s="8">
        <v>0</v>
      </c>
      <c r="M426" s="74" t="str">
        <f t="array" ref="M426">_xlfn.TEXTJOIN("-", TRUE, IF(C426:L426&gt;0, $C$2:$L$2, ""))</f>
        <v xml:space="preserve"> Ti-Zr-Ta-Nb</v>
      </c>
      <c r="N426" s="90">
        <f t="shared" si="12"/>
        <v>422</v>
      </c>
      <c r="O426" s="91">
        <f t="shared" si="13"/>
        <v>4</v>
      </c>
      <c r="P426" s="8">
        <v>1</v>
      </c>
      <c r="Q426" s="8">
        <v>0</v>
      </c>
      <c r="R426" s="8">
        <v>0</v>
      </c>
      <c r="S426" s="8">
        <v>0</v>
      </c>
      <c r="T426" s="8">
        <v>850</v>
      </c>
      <c r="U426" s="8">
        <v>0.5</v>
      </c>
      <c r="V426" s="8">
        <v>1</v>
      </c>
      <c r="W426" s="8">
        <v>0</v>
      </c>
      <c r="X426" s="8">
        <v>0</v>
      </c>
      <c r="Y426" s="8">
        <v>0</v>
      </c>
      <c r="Z426" s="6"/>
      <c r="AA426" s="6"/>
      <c r="AB426" s="8">
        <v>480</v>
      </c>
      <c r="AC426" s="6"/>
      <c r="AD426" s="8">
        <v>22.13</v>
      </c>
      <c r="AE426" s="6"/>
      <c r="AF426" s="6"/>
      <c r="AG426" s="6"/>
      <c r="AH426" s="6"/>
      <c r="AI426" s="6"/>
      <c r="AJ426" s="6"/>
      <c r="AK426" s="6"/>
      <c r="AL426" s="6"/>
      <c r="AM426" s="6"/>
      <c r="AN426" s="6" t="s">
        <v>63</v>
      </c>
      <c r="AO426" s="104" t="s">
        <v>64</v>
      </c>
      <c r="AP426" s="6">
        <v>5</v>
      </c>
      <c r="AQ426" s="7" t="s">
        <v>54</v>
      </c>
      <c r="AR426" s="7">
        <v>47</v>
      </c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</row>
    <row r="427" spans="1:61" ht="16.5">
      <c r="A427" s="7">
        <v>48</v>
      </c>
      <c r="B427" s="6"/>
      <c r="C427" s="8">
        <v>53</v>
      </c>
      <c r="D427" s="8">
        <v>0</v>
      </c>
      <c r="E427" s="8">
        <v>7</v>
      </c>
      <c r="F427" s="8">
        <v>0</v>
      </c>
      <c r="G427" s="8">
        <v>0</v>
      </c>
      <c r="H427" s="8">
        <v>5</v>
      </c>
      <c r="I427" s="8">
        <v>35</v>
      </c>
      <c r="J427" s="8">
        <v>0</v>
      </c>
      <c r="K427" s="8">
        <v>0</v>
      </c>
      <c r="L427" s="8">
        <v>0</v>
      </c>
      <c r="M427" s="74" t="str">
        <f t="array" ref="M427">_xlfn.TEXTJOIN("-", TRUE, IF(C427:L427&gt;0, $C$2:$L$2, ""))</f>
        <v xml:space="preserve"> Ti-Zr-Ta-Nb</v>
      </c>
      <c r="N427" s="90">
        <f t="shared" si="12"/>
        <v>422</v>
      </c>
      <c r="O427" s="91">
        <f t="shared" si="13"/>
        <v>4</v>
      </c>
      <c r="P427" s="8">
        <v>1</v>
      </c>
      <c r="Q427" s="8">
        <v>0</v>
      </c>
      <c r="R427" s="8">
        <v>0</v>
      </c>
      <c r="S427" s="8">
        <v>0</v>
      </c>
      <c r="T427" s="8">
        <v>850</v>
      </c>
      <c r="U427" s="8">
        <v>0.5</v>
      </c>
      <c r="V427" s="8">
        <v>1</v>
      </c>
      <c r="W427" s="8">
        <v>400</v>
      </c>
      <c r="X427" s="8">
        <v>12</v>
      </c>
      <c r="Y427" s="8">
        <v>1</v>
      </c>
      <c r="Z427" s="6"/>
      <c r="AA427" s="6"/>
      <c r="AB427" s="8">
        <v>492</v>
      </c>
      <c r="AC427" s="6"/>
      <c r="AD427" s="8">
        <v>6.17</v>
      </c>
      <c r="AE427" s="6"/>
      <c r="AF427" s="6"/>
      <c r="AG427" s="6"/>
      <c r="AH427" s="6"/>
      <c r="AI427" s="6"/>
      <c r="AJ427" s="6"/>
      <c r="AK427" s="6"/>
      <c r="AL427" s="6"/>
      <c r="AM427" s="6"/>
      <c r="AN427" s="6" t="s">
        <v>63</v>
      </c>
      <c r="AO427" s="6" t="s">
        <v>65</v>
      </c>
      <c r="AP427" s="6">
        <v>5</v>
      </c>
      <c r="AQ427" s="7" t="s">
        <v>54</v>
      </c>
      <c r="AR427" s="7">
        <v>48</v>
      </c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</row>
    <row r="428" spans="1:61" ht="16.5">
      <c r="A428" s="7">
        <v>49</v>
      </c>
      <c r="B428" s="6"/>
      <c r="C428" s="8">
        <v>53</v>
      </c>
      <c r="D428" s="8">
        <v>0</v>
      </c>
      <c r="E428" s="8">
        <v>7</v>
      </c>
      <c r="F428" s="8">
        <v>0</v>
      </c>
      <c r="G428" s="8">
        <v>0</v>
      </c>
      <c r="H428" s="8">
        <v>5</v>
      </c>
      <c r="I428" s="8">
        <v>35</v>
      </c>
      <c r="J428" s="8">
        <v>0</v>
      </c>
      <c r="K428" s="8">
        <v>0</v>
      </c>
      <c r="L428" s="8">
        <v>0</v>
      </c>
      <c r="M428" s="74" t="str">
        <f t="array" ref="M428">_xlfn.TEXTJOIN("-", TRUE, IF(C428:L428&gt;0, $C$2:$L$2, ""))</f>
        <v xml:space="preserve"> Ti-Zr-Ta-Nb</v>
      </c>
      <c r="N428" s="90">
        <f t="shared" si="12"/>
        <v>422</v>
      </c>
      <c r="O428" s="91">
        <f t="shared" si="13"/>
        <v>4</v>
      </c>
      <c r="P428" s="8">
        <v>1</v>
      </c>
      <c r="Q428" s="8">
        <v>0</v>
      </c>
      <c r="R428" s="8">
        <v>0</v>
      </c>
      <c r="S428" s="8">
        <v>0</v>
      </c>
      <c r="T428" s="8">
        <v>850</v>
      </c>
      <c r="U428" s="8">
        <v>0.5</v>
      </c>
      <c r="V428" s="8">
        <v>1</v>
      </c>
      <c r="W428" s="8">
        <v>450</v>
      </c>
      <c r="X428" s="8">
        <v>12</v>
      </c>
      <c r="Y428" s="8">
        <v>1</v>
      </c>
      <c r="Z428" s="6"/>
      <c r="AA428" s="6"/>
      <c r="AB428" s="8">
        <v>854</v>
      </c>
      <c r="AC428" s="6"/>
      <c r="AD428" s="8">
        <v>6.66</v>
      </c>
      <c r="AE428" s="6"/>
      <c r="AF428" s="6"/>
      <c r="AG428" s="6"/>
      <c r="AH428" s="6"/>
      <c r="AI428" s="6"/>
      <c r="AJ428" s="6"/>
      <c r="AK428" s="6"/>
      <c r="AL428" s="6"/>
      <c r="AM428" s="6"/>
      <c r="AN428" s="6" t="s">
        <v>63</v>
      </c>
      <c r="AO428" s="6" t="s">
        <v>65</v>
      </c>
      <c r="AP428" s="6">
        <v>5</v>
      </c>
      <c r="AQ428" s="7" t="s">
        <v>54</v>
      </c>
      <c r="AR428" s="7">
        <v>49</v>
      </c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</row>
    <row r="429" spans="1:61" ht="16.5">
      <c r="A429" s="7">
        <v>50</v>
      </c>
      <c r="B429" s="6"/>
      <c r="C429" s="8">
        <v>53</v>
      </c>
      <c r="D429" s="8">
        <v>0</v>
      </c>
      <c r="E429" s="8">
        <v>7</v>
      </c>
      <c r="F429" s="8">
        <v>0</v>
      </c>
      <c r="G429" s="8">
        <v>0</v>
      </c>
      <c r="H429" s="8">
        <v>5</v>
      </c>
      <c r="I429" s="8">
        <v>35</v>
      </c>
      <c r="J429" s="8">
        <v>0</v>
      </c>
      <c r="K429" s="8">
        <v>0</v>
      </c>
      <c r="L429" s="8">
        <v>0</v>
      </c>
      <c r="M429" s="74" t="str">
        <f t="array" ref="M429">_xlfn.TEXTJOIN("-", TRUE, IF(C429:L429&gt;0, $C$2:$L$2, ""))</f>
        <v xml:space="preserve"> Ti-Zr-Ta-Nb</v>
      </c>
      <c r="N429" s="90">
        <f t="shared" si="12"/>
        <v>422</v>
      </c>
      <c r="O429" s="91">
        <f t="shared" si="13"/>
        <v>4</v>
      </c>
      <c r="P429" s="8">
        <v>1</v>
      </c>
      <c r="Q429" s="8">
        <v>0</v>
      </c>
      <c r="R429" s="8">
        <v>0</v>
      </c>
      <c r="S429" s="8">
        <v>0</v>
      </c>
      <c r="T429" s="8">
        <v>850</v>
      </c>
      <c r="U429" s="8">
        <v>0.5</v>
      </c>
      <c r="V429" s="8">
        <v>1</v>
      </c>
      <c r="W429" s="8">
        <v>500</v>
      </c>
      <c r="X429" s="8">
        <v>12</v>
      </c>
      <c r="Y429" s="8">
        <v>1</v>
      </c>
      <c r="Z429" s="6"/>
      <c r="AA429" s="6"/>
      <c r="AB429" s="8">
        <v>613</v>
      </c>
      <c r="AC429" s="6"/>
      <c r="AD429" s="8">
        <v>11.31</v>
      </c>
      <c r="AE429" s="6"/>
      <c r="AF429" s="6"/>
      <c r="AG429" s="6"/>
      <c r="AH429" s="6"/>
      <c r="AI429" s="6"/>
      <c r="AJ429" s="6"/>
      <c r="AK429" s="6"/>
      <c r="AL429" s="6"/>
      <c r="AM429" s="6"/>
      <c r="AN429" s="6" t="s">
        <v>63</v>
      </c>
      <c r="AO429" s="6" t="s">
        <v>65</v>
      </c>
      <c r="AP429" s="6">
        <v>5</v>
      </c>
      <c r="AQ429" s="7" t="s">
        <v>54</v>
      </c>
      <c r="AR429" s="7">
        <v>50</v>
      </c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</row>
    <row r="430" spans="1:61" ht="16.5">
      <c r="A430" s="7">
        <v>51</v>
      </c>
      <c r="B430" s="6"/>
      <c r="C430" s="8">
        <v>53</v>
      </c>
      <c r="D430" s="8">
        <v>0</v>
      </c>
      <c r="E430" s="8">
        <v>7</v>
      </c>
      <c r="F430" s="8">
        <v>0</v>
      </c>
      <c r="G430" s="8">
        <v>0</v>
      </c>
      <c r="H430" s="8">
        <v>5</v>
      </c>
      <c r="I430" s="8">
        <v>35</v>
      </c>
      <c r="J430" s="8">
        <v>0</v>
      </c>
      <c r="K430" s="8">
        <v>0</v>
      </c>
      <c r="L430" s="8">
        <v>0</v>
      </c>
      <c r="M430" s="74" t="str">
        <f t="array" ref="M430">_xlfn.TEXTJOIN("-", TRUE, IF(C430:L430&gt;0, $C$2:$L$2, ""))</f>
        <v xml:space="preserve"> Ti-Zr-Ta-Nb</v>
      </c>
      <c r="N430" s="90">
        <f t="shared" si="12"/>
        <v>422</v>
      </c>
      <c r="O430" s="91">
        <f t="shared" si="13"/>
        <v>4</v>
      </c>
      <c r="P430" s="8">
        <v>1</v>
      </c>
      <c r="Q430" s="8">
        <v>0</v>
      </c>
      <c r="R430" s="8">
        <v>0</v>
      </c>
      <c r="S430" s="8">
        <v>0</v>
      </c>
      <c r="T430" s="8">
        <v>850</v>
      </c>
      <c r="U430" s="8">
        <v>0.5</v>
      </c>
      <c r="V430" s="8">
        <v>1</v>
      </c>
      <c r="W430" s="8">
        <v>550</v>
      </c>
      <c r="X430" s="8">
        <v>12</v>
      </c>
      <c r="Y430" s="8">
        <v>1</v>
      </c>
      <c r="Z430" s="6"/>
      <c r="AA430" s="6"/>
      <c r="AB430" s="8">
        <v>529</v>
      </c>
      <c r="AC430" s="6"/>
      <c r="AD430" s="8">
        <v>17.440000000000001</v>
      </c>
      <c r="AE430" s="6"/>
      <c r="AF430" s="6"/>
      <c r="AG430" s="6"/>
      <c r="AH430" s="6"/>
      <c r="AI430" s="6"/>
      <c r="AJ430" s="6"/>
      <c r="AK430" s="6"/>
      <c r="AL430" s="6"/>
      <c r="AM430" s="6"/>
      <c r="AN430" s="6" t="s">
        <v>63</v>
      </c>
      <c r="AO430" s="6" t="s">
        <v>65</v>
      </c>
      <c r="AP430" s="6">
        <v>5</v>
      </c>
      <c r="AQ430" s="7" t="s">
        <v>54</v>
      </c>
      <c r="AR430" s="7">
        <v>51</v>
      </c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</row>
    <row r="431" spans="1:61" ht="16.5">
      <c r="A431" s="7">
        <v>187</v>
      </c>
      <c r="B431" s="6"/>
      <c r="C431" s="8">
        <v>52.5</v>
      </c>
      <c r="D431" s="8">
        <v>0</v>
      </c>
      <c r="E431" s="8">
        <v>7.1</v>
      </c>
      <c r="F431" s="8">
        <v>0</v>
      </c>
      <c r="G431" s="8">
        <v>0</v>
      </c>
      <c r="H431" s="8">
        <v>5.0999999999999996</v>
      </c>
      <c r="I431" s="8">
        <v>35.299999999999997</v>
      </c>
      <c r="J431" s="8">
        <v>0</v>
      </c>
      <c r="K431" s="8">
        <v>0</v>
      </c>
      <c r="L431" s="8">
        <v>0</v>
      </c>
      <c r="M431" s="74" t="str">
        <f t="array" ref="M431">_xlfn.TEXTJOIN("-", TRUE, IF(C431:L431&gt;0, $C$2:$L$2, ""))</f>
        <v xml:space="preserve"> Ti-Zr-Ta-Nb</v>
      </c>
      <c r="N431" s="90">
        <f t="shared" si="12"/>
        <v>422</v>
      </c>
      <c r="O431" s="91">
        <f t="shared" si="13"/>
        <v>4</v>
      </c>
      <c r="P431" s="8">
        <v>1</v>
      </c>
      <c r="Q431" s="8">
        <v>2</v>
      </c>
      <c r="R431" s="8">
        <v>20</v>
      </c>
      <c r="S431" s="8">
        <v>89</v>
      </c>
      <c r="T431" s="8">
        <v>1000</v>
      </c>
      <c r="U431" s="8">
        <v>2</v>
      </c>
      <c r="V431" s="8">
        <v>1</v>
      </c>
      <c r="W431" s="8">
        <v>1000</v>
      </c>
      <c r="X431" s="8">
        <v>2</v>
      </c>
      <c r="Y431" s="8">
        <v>1</v>
      </c>
      <c r="Z431" s="6"/>
      <c r="AA431" s="6"/>
      <c r="AB431" s="8">
        <v>550</v>
      </c>
      <c r="AC431" s="8"/>
      <c r="AD431" s="8">
        <v>21</v>
      </c>
      <c r="AE431" s="6"/>
      <c r="AF431" s="6"/>
      <c r="AG431" s="6"/>
      <c r="AH431" s="6"/>
      <c r="AI431" s="6"/>
      <c r="AJ431" s="6"/>
      <c r="AK431" s="6"/>
      <c r="AL431" s="6"/>
      <c r="AM431" s="6"/>
      <c r="AN431" s="6" t="s">
        <v>66</v>
      </c>
      <c r="AO431" s="6" t="s">
        <v>67</v>
      </c>
      <c r="AP431" s="6">
        <v>35</v>
      </c>
      <c r="AQ431" s="7" t="s">
        <v>54</v>
      </c>
      <c r="AR431" s="7">
        <v>187</v>
      </c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</row>
    <row r="432" spans="1:61" ht="16.5">
      <c r="A432" s="7">
        <v>189</v>
      </c>
      <c r="B432" s="6"/>
      <c r="C432" s="8">
        <v>60</v>
      </c>
      <c r="D432" s="8">
        <v>0</v>
      </c>
      <c r="E432" s="8">
        <v>3</v>
      </c>
      <c r="F432" s="8">
        <v>0</v>
      </c>
      <c r="G432" s="8">
        <v>0</v>
      </c>
      <c r="H432" s="8">
        <v>2</v>
      </c>
      <c r="I432" s="8">
        <v>35</v>
      </c>
      <c r="J432" s="8">
        <v>0</v>
      </c>
      <c r="K432" s="8">
        <v>0</v>
      </c>
      <c r="L432" s="8">
        <v>0</v>
      </c>
      <c r="M432" s="74" t="str">
        <f t="array" ref="M432">_xlfn.TEXTJOIN("-", TRUE, IF(C432:L432&gt;0, $C$2:$L$2, ""))</f>
        <v xml:space="preserve"> Ti-Zr-Ta-Nb</v>
      </c>
      <c r="N432" s="90">
        <f t="shared" si="12"/>
        <v>422</v>
      </c>
      <c r="O432" s="91">
        <f t="shared" si="13"/>
        <v>4</v>
      </c>
      <c r="P432" s="8">
        <v>1</v>
      </c>
      <c r="Q432" s="8">
        <v>1</v>
      </c>
      <c r="R432" s="8">
        <v>20</v>
      </c>
      <c r="S432" s="8">
        <v>90</v>
      </c>
      <c r="T432" s="8">
        <v>450</v>
      </c>
      <c r="U432" s="8">
        <v>0.16700000000000001</v>
      </c>
      <c r="V432" s="8">
        <v>2</v>
      </c>
      <c r="W432" s="8">
        <v>0</v>
      </c>
      <c r="X432" s="8">
        <v>0</v>
      </c>
      <c r="Y432" s="8">
        <v>0</v>
      </c>
      <c r="Z432" s="6"/>
      <c r="AA432" s="6"/>
      <c r="AB432" s="8">
        <v>864</v>
      </c>
      <c r="AC432" s="8"/>
      <c r="AD432" s="8">
        <v>1.55</v>
      </c>
      <c r="AE432" s="6"/>
      <c r="AF432" s="6"/>
      <c r="AG432" s="6"/>
      <c r="AH432" s="6"/>
      <c r="AI432" s="6"/>
      <c r="AJ432" s="6"/>
      <c r="AK432" s="6"/>
      <c r="AL432" s="6"/>
      <c r="AM432" s="6"/>
      <c r="AN432" s="6" t="s">
        <v>68</v>
      </c>
      <c r="AO432" s="6" t="s">
        <v>69</v>
      </c>
      <c r="AP432" s="6">
        <v>36</v>
      </c>
      <c r="AQ432" s="7" t="s">
        <v>54</v>
      </c>
      <c r="AR432" s="7">
        <v>189</v>
      </c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</row>
    <row r="433" spans="1:61" ht="16.5">
      <c r="A433" s="7">
        <v>190</v>
      </c>
      <c r="B433" s="6"/>
      <c r="C433" s="8">
        <v>60</v>
      </c>
      <c r="D433" s="8">
        <v>0</v>
      </c>
      <c r="E433" s="8">
        <v>3</v>
      </c>
      <c r="F433" s="8">
        <v>0</v>
      </c>
      <c r="G433" s="8">
        <v>0</v>
      </c>
      <c r="H433" s="8">
        <v>2</v>
      </c>
      <c r="I433" s="8">
        <v>35</v>
      </c>
      <c r="J433" s="8">
        <v>0</v>
      </c>
      <c r="K433" s="8">
        <v>0</v>
      </c>
      <c r="L433" s="8">
        <v>0</v>
      </c>
      <c r="M433" s="74" t="str">
        <f t="array" ref="M433">_xlfn.TEXTJOIN("-", TRUE, IF(C433:L433&gt;0, $C$2:$L$2, ""))</f>
        <v xml:space="preserve"> Ti-Zr-Ta-Nb</v>
      </c>
      <c r="N433" s="90">
        <f t="shared" si="12"/>
        <v>422</v>
      </c>
      <c r="O433" s="91">
        <f t="shared" si="13"/>
        <v>4</v>
      </c>
      <c r="P433" s="8">
        <v>1</v>
      </c>
      <c r="Q433" s="8">
        <v>1</v>
      </c>
      <c r="R433" s="8">
        <v>20</v>
      </c>
      <c r="S433" s="8">
        <v>90</v>
      </c>
      <c r="T433" s="8">
        <v>550</v>
      </c>
      <c r="U433" s="8">
        <v>0.16700000000000001</v>
      </c>
      <c r="V433" s="8">
        <v>2</v>
      </c>
      <c r="W433" s="8">
        <v>0</v>
      </c>
      <c r="X433" s="8">
        <v>0</v>
      </c>
      <c r="Y433" s="8">
        <v>0</v>
      </c>
      <c r="Z433" s="6"/>
      <c r="AA433" s="6"/>
      <c r="AB433" s="8">
        <v>780</v>
      </c>
      <c r="AC433" s="8"/>
      <c r="AD433" s="8">
        <v>17.399999999999999</v>
      </c>
      <c r="AE433" s="6"/>
      <c r="AF433" s="6"/>
      <c r="AG433" s="6"/>
      <c r="AH433" s="6"/>
      <c r="AI433" s="6"/>
      <c r="AJ433" s="6"/>
      <c r="AK433" s="6"/>
      <c r="AL433" s="6"/>
      <c r="AM433" s="6"/>
      <c r="AN433" s="6" t="s">
        <v>70</v>
      </c>
      <c r="AO433" s="6" t="s">
        <v>69</v>
      </c>
      <c r="AP433" s="6">
        <v>36</v>
      </c>
      <c r="AQ433" s="7" t="s">
        <v>54</v>
      </c>
      <c r="AR433" s="7">
        <v>190</v>
      </c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</row>
    <row r="434" spans="1:61" ht="16.5">
      <c r="A434" s="7">
        <v>191</v>
      </c>
      <c r="B434" s="6"/>
      <c r="C434" s="8">
        <v>60</v>
      </c>
      <c r="D434" s="8">
        <v>0</v>
      </c>
      <c r="E434" s="8">
        <v>3</v>
      </c>
      <c r="F434" s="8">
        <v>0</v>
      </c>
      <c r="G434" s="8">
        <v>0</v>
      </c>
      <c r="H434" s="8">
        <v>2</v>
      </c>
      <c r="I434" s="8">
        <v>35</v>
      </c>
      <c r="J434" s="8">
        <v>0</v>
      </c>
      <c r="K434" s="8">
        <v>0</v>
      </c>
      <c r="L434" s="8">
        <v>0</v>
      </c>
      <c r="M434" s="74" t="str">
        <f t="array" ref="M434">_xlfn.TEXTJOIN("-", TRUE, IF(C434:L434&gt;0, $C$2:$L$2, ""))</f>
        <v xml:space="preserve"> Ti-Zr-Ta-Nb</v>
      </c>
      <c r="N434" s="90">
        <f t="shared" si="12"/>
        <v>422</v>
      </c>
      <c r="O434" s="91">
        <f t="shared" si="13"/>
        <v>4</v>
      </c>
      <c r="P434" s="8">
        <v>1</v>
      </c>
      <c r="Q434" s="8">
        <v>1</v>
      </c>
      <c r="R434" s="8">
        <v>20</v>
      </c>
      <c r="S434" s="8">
        <v>90</v>
      </c>
      <c r="T434" s="8">
        <v>650</v>
      </c>
      <c r="U434" s="8">
        <v>0.16700000000000001</v>
      </c>
      <c r="V434" s="8">
        <v>2</v>
      </c>
      <c r="W434" s="8">
        <v>0</v>
      </c>
      <c r="X434" s="8">
        <v>0</v>
      </c>
      <c r="Y434" s="8">
        <v>0</v>
      </c>
      <c r="Z434" s="6"/>
      <c r="AA434" s="6"/>
      <c r="AB434" s="8">
        <v>456</v>
      </c>
      <c r="AC434" s="8"/>
      <c r="AD434" s="8">
        <v>25.44</v>
      </c>
      <c r="AE434" s="6"/>
      <c r="AF434" s="6"/>
      <c r="AG434" s="6"/>
      <c r="AH434" s="6"/>
      <c r="AI434" s="6"/>
      <c r="AJ434" s="6"/>
      <c r="AK434" s="6"/>
      <c r="AL434" s="6"/>
      <c r="AM434" s="6"/>
      <c r="AN434" s="6" t="s">
        <v>70</v>
      </c>
      <c r="AO434" s="6" t="s">
        <v>69</v>
      </c>
      <c r="AP434" s="6">
        <v>36</v>
      </c>
      <c r="AQ434" s="7" t="s">
        <v>54</v>
      </c>
      <c r="AR434" s="7">
        <v>191</v>
      </c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</row>
    <row r="435" spans="1:61" ht="16.5">
      <c r="A435" s="7">
        <v>192</v>
      </c>
      <c r="B435" s="6"/>
      <c r="C435" s="8">
        <v>60</v>
      </c>
      <c r="D435" s="8">
        <v>0</v>
      </c>
      <c r="E435" s="8">
        <v>3</v>
      </c>
      <c r="F435" s="8">
        <v>0</v>
      </c>
      <c r="G435" s="8">
        <v>0</v>
      </c>
      <c r="H435" s="8">
        <v>2</v>
      </c>
      <c r="I435" s="8">
        <v>35</v>
      </c>
      <c r="J435" s="8">
        <v>0</v>
      </c>
      <c r="K435" s="8">
        <v>0</v>
      </c>
      <c r="L435" s="8">
        <v>0</v>
      </c>
      <c r="M435" s="74" t="str">
        <f t="array" ref="M435">_xlfn.TEXTJOIN("-", TRUE, IF(C435:L435&gt;0, $C$2:$L$2, ""))</f>
        <v xml:space="preserve"> Ti-Zr-Ta-Nb</v>
      </c>
      <c r="N435" s="90">
        <f t="shared" si="12"/>
        <v>422</v>
      </c>
      <c r="O435" s="91">
        <f t="shared" si="13"/>
        <v>4</v>
      </c>
      <c r="P435" s="8">
        <v>1</v>
      </c>
      <c r="Q435" s="8">
        <v>1</v>
      </c>
      <c r="R435" s="8">
        <v>20</v>
      </c>
      <c r="S435" s="8">
        <v>90</v>
      </c>
      <c r="T435" s="8">
        <v>750</v>
      </c>
      <c r="U435" s="8">
        <v>0.16700000000000001</v>
      </c>
      <c r="V435" s="8">
        <v>2</v>
      </c>
      <c r="W435" s="8">
        <v>0</v>
      </c>
      <c r="X435" s="8">
        <v>0</v>
      </c>
      <c r="Y435" s="8">
        <v>0</v>
      </c>
      <c r="Z435" s="6"/>
      <c r="AA435" s="6"/>
      <c r="AB435" s="8">
        <v>589</v>
      </c>
      <c r="AC435" s="8"/>
      <c r="AD435" s="8">
        <v>18.579999999999998</v>
      </c>
      <c r="AE435" s="6"/>
      <c r="AF435" s="6"/>
      <c r="AG435" s="6"/>
      <c r="AH435" s="6"/>
      <c r="AI435" s="6"/>
      <c r="AJ435" s="6"/>
      <c r="AK435" s="6"/>
      <c r="AL435" s="6"/>
      <c r="AM435" s="6"/>
      <c r="AN435" s="6" t="s">
        <v>70</v>
      </c>
      <c r="AO435" s="6" t="s">
        <v>69</v>
      </c>
      <c r="AP435" s="6">
        <v>36</v>
      </c>
      <c r="AQ435" s="7" t="s">
        <v>54</v>
      </c>
      <c r="AR435" s="7">
        <v>192</v>
      </c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</row>
    <row r="436" spans="1:61" ht="16.5">
      <c r="A436" s="93">
        <v>363</v>
      </c>
      <c r="B436" s="93" t="s">
        <v>113</v>
      </c>
      <c r="C436" s="94">
        <v>55.010000000000005</v>
      </c>
      <c r="D436" s="94">
        <v>0</v>
      </c>
      <c r="E436" s="94">
        <v>20.09</v>
      </c>
      <c r="F436" s="94">
        <v>0</v>
      </c>
      <c r="G436" s="94">
        <v>0</v>
      </c>
      <c r="H436" s="94">
        <v>17.64</v>
      </c>
      <c r="I436" s="94">
        <v>7.26</v>
      </c>
      <c r="J436" s="94">
        <v>0</v>
      </c>
      <c r="K436" s="94">
        <v>0</v>
      </c>
      <c r="L436" s="94">
        <v>0</v>
      </c>
      <c r="M436" s="74" t="str">
        <f t="array" ref="M436">_xlfn.TEXTJOIN("-", TRUE, IF(C436:L436&gt;0, $C$2:$L$2, ""))</f>
        <v xml:space="preserve"> Ti-Zr-Ta-Nb</v>
      </c>
      <c r="N436" s="90">
        <f t="shared" si="12"/>
        <v>422</v>
      </c>
      <c r="O436" s="91">
        <f t="shared" si="13"/>
        <v>4</v>
      </c>
      <c r="P436" s="94">
        <v>1</v>
      </c>
      <c r="Q436" s="94">
        <v>1</v>
      </c>
      <c r="R436" s="93" t="s">
        <v>113</v>
      </c>
      <c r="S436" s="93" t="s">
        <v>113</v>
      </c>
      <c r="T436" s="93" t="s">
        <v>113</v>
      </c>
      <c r="U436" s="93" t="s">
        <v>113</v>
      </c>
      <c r="V436" s="93">
        <v>1</v>
      </c>
      <c r="W436" s="93" t="s">
        <v>113</v>
      </c>
      <c r="X436" s="93" t="s">
        <v>113</v>
      </c>
      <c r="Y436" s="93" t="s">
        <v>113</v>
      </c>
      <c r="Z436" s="94">
        <v>73</v>
      </c>
      <c r="AA436" s="93" t="s">
        <v>113</v>
      </c>
      <c r="AB436" s="93" t="s">
        <v>113</v>
      </c>
      <c r="AC436" s="94">
        <v>1107</v>
      </c>
      <c r="AD436" s="93" t="s">
        <v>113</v>
      </c>
      <c r="AE436" s="93" t="s">
        <v>113</v>
      </c>
      <c r="AF436" s="93" t="s">
        <v>113</v>
      </c>
      <c r="AG436" s="93" t="s">
        <v>113</v>
      </c>
      <c r="AH436" s="93" t="s">
        <v>113</v>
      </c>
      <c r="AI436" s="93" t="s">
        <v>113</v>
      </c>
      <c r="AJ436" s="93" t="s">
        <v>113</v>
      </c>
      <c r="AK436" s="93" t="s">
        <v>113</v>
      </c>
      <c r="AL436" s="93" t="s">
        <v>113</v>
      </c>
      <c r="AM436" s="93"/>
      <c r="AN436" s="93" t="s">
        <v>113</v>
      </c>
      <c r="AO436" s="93" t="s">
        <v>114</v>
      </c>
      <c r="AP436" s="94">
        <v>363</v>
      </c>
      <c r="AQ436" s="94" t="s">
        <v>100</v>
      </c>
      <c r="AR436" s="93">
        <v>363</v>
      </c>
    </row>
    <row r="437" spans="1:61" ht="16.5">
      <c r="A437" s="93">
        <v>364</v>
      </c>
      <c r="B437" s="93" t="s">
        <v>113</v>
      </c>
      <c r="C437" s="94">
        <v>54.48</v>
      </c>
      <c r="D437" s="94">
        <v>0</v>
      </c>
      <c r="E437" s="94">
        <v>22.98</v>
      </c>
      <c r="F437" s="94">
        <v>0</v>
      </c>
      <c r="G437" s="94">
        <v>0</v>
      </c>
      <c r="H437" s="94">
        <v>18.029999999999998</v>
      </c>
      <c r="I437" s="94">
        <v>4.51</v>
      </c>
      <c r="J437" s="94">
        <v>0</v>
      </c>
      <c r="K437" s="94">
        <v>0</v>
      </c>
      <c r="L437" s="94">
        <v>0</v>
      </c>
      <c r="M437" s="74" t="str">
        <f t="array" ref="M437">_xlfn.TEXTJOIN("-", TRUE, IF(C437:L437&gt;0, $C$2:$L$2, ""))</f>
        <v xml:space="preserve"> Ti-Zr-Ta-Nb</v>
      </c>
      <c r="N437" s="90">
        <f t="shared" si="12"/>
        <v>422</v>
      </c>
      <c r="O437" s="91">
        <f t="shared" si="13"/>
        <v>4</v>
      </c>
      <c r="P437" s="94">
        <v>1</v>
      </c>
      <c r="Q437" s="94">
        <v>1</v>
      </c>
      <c r="R437" s="93" t="s">
        <v>113</v>
      </c>
      <c r="S437" s="93" t="s">
        <v>113</v>
      </c>
      <c r="T437" s="93" t="s">
        <v>113</v>
      </c>
      <c r="U437" s="93" t="s">
        <v>113</v>
      </c>
      <c r="V437" s="93">
        <v>1</v>
      </c>
      <c r="W437" s="93" t="s">
        <v>113</v>
      </c>
      <c r="X437" s="93" t="s">
        <v>113</v>
      </c>
      <c r="Y437" s="93" t="s">
        <v>113</v>
      </c>
      <c r="Z437" s="94">
        <v>75</v>
      </c>
      <c r="AA437" s="93" t="s">
        <v>113</v>
      </c>
      <c r="AB437" s="93" t="s">
        <v>113</v>
      </c>
      <c r="AC437" s="94">
        <v>932</v>
      </c>
      <c r="AD437" s="93" t="s">
        <v>113</v>
      </c>
      <c r="AE437" s="93" t="s">
        <v>113</v>
      </c>
      <c r="AF437" s="93" t="s">
        <v>113</v>
      </c>
      <c r="AG437" s="93" t="s">
        <v>113</v>
      </c>
      <c r="AH437" s="93" t="s">
        <v>113</v>
      </c>
      <c r="AI437" s="93" t="s">
        <v>113</v>
      </c>
      <c r="AJ437" s="93" t="s">
        <v>113</v>
      </c>
      <c r="AK437" s="93" t="s">
        <v>113</v>
      </c>
      <c r="AL437" s="93" t="s">
        <v>113</v>
      </c>
      <c r="AM437" s="93"/>
      <c r="AN437" s="93" t="s">
        <v>113</v>
      </c>
      <c r="AO437" s="93" t="s">
        <v>114</v>
      </c>
      <c r="AP437" s="94">
        <v>364</v>
      </c>
      <c r="AQ437" s="94" t="s">
        <v>100</v>
      </c>
      <c r="AR437" s="93">
        <v>364</v>
      </c>
    </row>
    <row r="438" spans="1:61" ht="16.5">
      <c r="A438" s="93">
        <v>365</v>
      </c>
      <c r="B438" s="93" t="s">
        <v>113</v>
      </c>
      <c r="C438" s="94">
        <v>53.16</v>
      </c>
      <c r="D438" s="94">
        <v>0</v>
      </c>
      <c r="E438" s="94">
        <v>26.040000000000003</v>
      </c>
      <c r="F438" s="94">
        <v>0</v>
      </c>
      <c r="G438" s="94">
        <v>0</v>
      </c>
      <c r="H438" s="94">
        <v>18.52</v>
      </c>
      <c r="I438" s="94">
        <v>2.2800000000000002</v>
      </c>
      <c r="J438" s="94">
        <v>0</v>
      </c>
      <c r="K438" s="94">
        <v>0</v>
      </c>
      <c r="L438" s="94">
        <v>0</v>
      </c>
      <c r="M438" s="74" t="str">
        <f t="array" ref="M438">_xlfn.TEXTJOIN("-", TRUE, IF(C438:L438&gt;0, $C$2:$L$2, ""))</f>
        <v xml:space="preserve"> Ti-Zr-Ta-Nb</v>
      </c>
      <c r="N438" s="90">
        <f t="shared" si="12"/>
        <v>422</v>
      </c>
      <c r="O438" s="91">
        <f t="shared" si="13"/>
        <v>4</v>
      </c>
      <c r="P438" s="94">
        <v>1</v>
      </c>
      <c r="Q438" s="94">
        <v>1</v>
      </c>
      <c r="R438" s="93" t="s">
        <v>113</v>
      </c>
      <c r="S438" s="93" t="s">
        <v>113</v>
      </c>
      <c r="T438" s="93" t="s">
        <v>113</v>
      </c>
      <c r="U438" s="93" t="s">
        <v>113</v>
      </c>
      <c r="V438" s="93">
        <v>1</v>
      </c>
      <c r="W438" s="93" t="s">
        <v>113</v>
      </c>
      <c r="X438" s="93" t="s">
        <v>113</v>
      </c>
      <c r="Y438" s="93" t="s">
        <v>113</v>
      </c>
      <c r="Z438" s="94">
        <v>77</v>
      </c>
      <c r="AA438" s="93" t="s">
        <v>113</v>
      </c>
      <c r="AB438" s="93" t="s">
        <v>113</v>
      </c>
      <c r="AC438" s="94">
        <v>953</v>
      </c>
      <c r="AD438" s="93" t="s">
        <v>113</v>
      </c>
      <c r="AE438" s="93" t="s">
        <v>113</v>
      </c>
      <c r="AF438" s="93" t="s">
        <v>113</v>
      </c>
      <c r="AG438" s="93" t="s">
        <v>113</v>
      </c>
      <c r="AH438" s="93" t="s">
        <v>113</v>
      </c>
      <c r="AI438" s="93" t="s">
        <v>113</v>
      </c>
      <c r="AJ438" s="93" t="s">
        <v>113</v>
      </c>
      <c r="AK438" s="93" t="s">
        <v>113</v>
      </c>
      <c r="AL438" s="93" t="s">
        <v>113</v>
      </c>
      <c r="AM438" s="93"/>
      <c r="AN438" s="93" t="s">
        <v>113</v>
      </c>
      <c r="AO438" s="93" t="s">
        <v>114</v>
      </c>
      <c r="AP438" s="94">
        <v>365</v>
      </c>
      <c r="AQ438" s="94" t="s">
        <v>100</v>
      </c>
      <c r="AR438" s="93">
        <v>365</v>
      </c>
    </row>
    <row r="439" spans="1:61" ht="16.5">
      <c r="A439" s="93">
        <v>369</v>
      </c>
      <c r="B439" s="93" t="s">
        <v>113</v>
      </c>
      <c r="C439" s="94">
        <v>71.97</v>
      </c>
      <c r="D439" s="94">
        <v>0</v>
      </c>
      <c r="E439" s="94">
        <v>3.25</v>
      </c>
      <c r="F439" s="94">
        <v>0</v>
      </c>
      <c r="G439" s="94">
        <v>0</v>
      </c>
      <c r="H439" s="94">
        <v>4.6399999999999997</v>
      </c>
      <c r="I439" s="94">
        <v>20.14</v>
      </c>
      <c r="J439" s="94">
        <v>0</v>
      </c>
      <c r="K439" s="94">
        <v>0</v>
      </c>
      <c r="L439" s="94">
        <v>0</v>
      </c>
      <c r="M439" s="74" t="str">
        <f t="array" ref="M439">_xlfn.TEXTJOIN("-", TRUE, IF(C439:L439&gt;0, $C$2:$L$2, ""))</f>
        <v xml:space="preserve"> Ti-Zr-Ta-Nb</v>
      </c>
      <c r="N439" s="90">
        <f t="shared" si="12"/>
        <v>422</v>
      </c>
      <c r="O439" s="91">
        <f t="shared" si="13"/>
        <v>4</v>
      </c>
      <c r="P439" s="94">
        <v>1</v>
      </c>
      <c r="Q439" s="94">
        <v>1</v>
      </c>
      <c r="R439" s="93" t="s">
        <v>113</v>
      </c>
      <c r="S439" s="93" t="s">
        <v>113</v>
      </c>
      <c r="T439" s="93" t="s">
        <v>113</v>
      </c>
      <c r="U439" s="93" t="s">
        <v>113</v>
      </c>
      <c r="V439" s="93">
        <v>1</v>
      </c>
      <c r="W439" s="93" t="s">
        <v>113</v>
      </c>
      <c r="X439" s="93" t="s">
        <v>113</v>
      </c>
      <c r="Y439" s="93" t="s">
        <v>113</v>
      </c>
      <c r="Z439" s="94">
        <v>65</v>
      </c>
      <c r="AA439" s="93" t="s">
        <v>113</v>
      </c>
      <c r="AB439" s="93" t="s">
        <v>113</v>
      </c>
      <c r="AC439" s="94">
        <v>600</v>
      </c>
      <c r="AD439" s="93" t="s">
        <v>113</v>
      </c>
      <c r="AE439" s="93" t="s">
        <v>113</v>
      </c>
      <c r="AF439" s="93" t="s">
        <v>113</v>
      </c>
      <c r="AG439" s="93" t="s">
        <v>113</v>
      </c>
      <c r="AH439" s="93" t="s">
        <v>113</v>
      </c>
      <c r="AI439" s="93" t="s">
        <v>113</v>
      </c>
      <c r="AJ439" s="93" t="s">
        <v>113</v>
      </c>
      <c r="AK439" s="93" t="s">
        <v>113</v>
      </c>
      <c r="AL439" s="93" t="s">
        <v>113</v>
      </c>
      <c r="AM439" s="93"/>
      <c r="AN439" s="93" t="s">
        <v>113</v>
      </c>
      <c r="AO439" s="93" t="s">
        <v>114</v>
      </c>
      <c r="AP439" s="94">
        <v>369</v>
      </c>
      <c r="AQ439" s="94" t="s">
        <v>100</v>
      </c>
      <c r="AR439" s="93">
        <v>369</v>
      </c>
    </row>
    <row r="440" spans="1:61" ht="16.5">
      <c r="A440" s="93">
        <v>384</v>
      </c>
      <c r="B440" s="93" t="s">
        <v>113</v>
      </c>
      <c r="C440" s="94">
        <v>71.97</v>
      </c>
      <c r="D440" s="94">
        <v>0</v>
      </c>
      <c r="E440" s="94">
        <v>3.25</v>
      </c>
      <c r="F440" s="94">
        <v>0</v>
      </c>
      <c r="G440" s="94">
        <v>0</v>
      </c>
      <c r="H440" s="94">
        <v>4.6399999999999997</v>
      </c>
      <c r="I440" s="94">
        <v>20.14</v>
      </c>
      <c r="J440" s="94">
        <v>0</v>
      </c>
      <c r="K440" s="94">
        <v>0</v>
      </c>
      <c r="L440" s="94">
        <v>0</v>
      </c>
      <c r="M440" s="74" t="str">
        <f t="array" ref="M440">_xlfn.TEXTJOIN("-", TRUE, IF(C440:L440&gt;0, $C$2:$L$2, ""))</f>
        <v xml:space="preserve"> Ti-Zr-Ta-Nb</v>
      </c>
      <c r="N440" s="90">
        <f t="shared" si="12"/>
        <v>422</v>
      </c>
      <c r="O440" s="91">
        <f t="shared" si="13"/>
        <v>4</v>
      </c>
      <c r="P440" s="94">
        <v>1</v>
      </c>
      <c r="Q440" s="94">
        <v>1</v>
      </c>
      <c r="R440" s="93" t="s">
        <v>113</v>
      </c>
      <c r="S440" s="93" t="s">
        <v>113</v>
      </c>
      <c r="T440" s="93" t="s">
        <v>113</v>
      </c>
      <c r="U440" s="93" t="s">
        <v>113</v>
      </c>
      <c r="V440" s="93">
        <v>1</v>
      </c>
      <c r="W440" s="93" t="s">
        <v>113</v>
      </c>
      <c r="X440" s="93" t="s">
        <v>113</v>
      </c>
      <c r="Y440" s="93" t="s">
        <v>113</v>
      </c>
      <c r="Z440" s="94">
        <v>55</v>
      </c>
      <c r="AA440" s="93" t="s">
        <v>113</v>
      </c>
      <c r="AB440" s="93" t="s">
        <v>113</v>
      </c>
      <c r="AC440" s="94">
        <v>257</v>
      </c>
      <c r="AD440" s="93" t="s">
        <v>113</v>
      </c>
      <c r="AE440" s="93" t="s">
        <v>113</v>
      </c>
      <c r="AF440" s="93" t="s">
        <v>113</v>
      </c>
      <c r="AG440" s="93" t="s">
        <v>113</v>
      </c>
      <c r="AH440" s="93" t="s">
        <v>113</v>
      </c>
      <c r="AI440" s="93" t="s">
        <v>113</v>
      </c>
      <c r="AJ440" s="93" t="s">
        <v>113</v>
      </c>
      <c r="AK440" s="93" t="s">
        <v>113</v>
      </c>
      <c r="AL440" s="93" t="s">
        <v>113</v>
      </c>
      <c r="AM440" s="93"/>
      <c r="AN440" s="93" t="s">
        <v>113</v>
      </c>
      <c r="AO440" s="93" t="s">
        <v>114</v>
      </c>
      <c r="AP440" s="94">
        <v>384</v>
      </c>
      <c r="AQ440" s="94" t="s">
        <v>100</v>
      </c>
      <c r="AR440" s="93">
        <v>384</v>
      </c>
    </row>
    <row r="441" spans="1:61" ht="16.5">
      <c r="A441" s="93">
        <v>452</v>
      </c>
      <c r="B441" s="93" t="s">
        <v>113</v>
      </c>
      <c r="C441" s="94">
        <v>74.739999999999995</v>
      </c>
      <c r="D441" s="94">
        <v>0</v>
      </c>
      <c r="E441" s="94">
        <v>2.0299999999999998</v>
      </c>
      <c r="F441" s="94">
        <v>0</v>
      </c>
      <c r="G441" s="94">
        <v>0</v>
      </c>
      <c r="H441" s="94">
        <v>0.69</v>
      </c>
      <c r="I441" s="94">
        <v>22.54</v>
      </c>
      <c r="J441" s="94">
        <v>0</v>
      </c>
      <c r="K441" s="94">
        <v>0</v>
      </c>
      <c r="L441" s="94">
        <v>0</v>
      </c>
      <c r="M441" s="74" t="str">
        <f t="array" ref="M441">_xlfn.TEXTJOIN("-", TRUE, IF(C441:L441&gt;0, $C$2:$L$2, ""))</f>
        <v xml:space="preserve"> Ti-Zr-Ta-Nb</v>
      </c>
      <c r="N441" s="90">
        <f t="shared" si="12"/>
        <v>422</v>
      </c>
      <c r="O441" s="91">
        <f t="shared" si="13"/>
        <v>4</v>
      </c>
      <c r="P441" s="94">
        <v>1</v>
      </c>
      <c r="Q441" s="94">
        <v>1</v>
      </c>
      <c r="R441" s="93" t="s">
        <v>113</v>
      </c>
      <c r="S441" s="93" t="s">
        <v>113</v>
      </c>
      <c r="T441" s="93" t="s">
        <v>113</v>
      </c>
      <c r="U441" s="93" t="s">
        <v>113</v>
      </c>
      <c r="V441" s="93">
        <v>1</v>
      </c>
      <c r="W441" s="93" t="s">
        <v>113</v>
      </c>
      <c r="X441" s="93" t="s">
        <v>113</v>
      </c>
      <c r="Y441" s="93" t="s">
        <v>113</v>
      </c>
      <c r="Z441" s="94">
        <v>64.5</v>
      </c>
      <c r="AA441" s="93" t="s">
        <v>113</v>
      </c>
      <c r="AB441" s="93" t="s">
        <v>113</v>
      </c>
      <c r="AC441" s="94">
        <v>700</v>
      </c>
      <c r="AD441" s="93" t="s">
        <v>113</v>
      </c>
      <c r="AE441" s="93" t="s">
        <v>113</v>
      </c>
      <c r="AF441" s="93" t="s">
        <v>113</v>
      </c>
      <c r="AG441" s="93" t="s">
        <v>113</v>
      </c>
      <c r="AH441" s="93" t="s">
        <v>113</v>
      </c>
      <c r="AI441" s="93" t="s">
        <v>113</v>
      </c>
      <c r="AJ441" s="93" t="s">
        <v>113</v>
      </c>
      <c r="AK441" s="93" t="s">
        <v>113</v>
      </c>
      <c r="AL441" s="93" t="s">
        <v>113</v>
      </c>
      <c r="AM441" s="93"/>
      <c r="AN441" s="93" t="s">
        <v>113</v>
      </c>
      <c r="AO441" s="93" t="s">
        <v>114</v>
      </c>
      <c r="AP441" s="94">
        <v>452</v>
      </c>
      <c r="AQ441" s="94" t="s">
        <v>100</v>
      </c>
      <c r="AR441" s="93">
        <v>452</v>
      </c>
    </row>
    <row r="442" spans="1:61" ht="16.5">
      <c r="A442" s="93">
        <v>482</v>
      </c>
      <c r="B442" s="93" t="s">
        <v>113</v>
      </c>
      <c r="C442" s="94">
        <v>72.740000000000009</v>
      </c>
      <c r="D442" s="94">
        <v>0</v>
      </c>
      <c r="E442" s="94">
        <v>3.46</v>
      </c>
      <c r="F442" s="94">
        <v>0</v>
      </c>
      <c r="G442" s="94">
        <v>0</v>
      </c>
      <c r="H442" s="94">
        <v>3.53</v>
      </c>
      <c r="I442" s="94">
        <v>20.27</v>
      </c>
      <c r="J442" s="94">
        <v>0</v>
      </c>
      <c r="K442" s="94">
        <v>0</v>
      </c>
      <c r="L442" s="94">
        <v>0</v>
      </c>
      <c r="M442" s="74" t="str">
        <f t="array" ref="M442">_xlfn.TEXTJOIN("-", TRUE, IF(C442:L442&gt;0, $C$2:$L$2, ""))</f>
        <v xml:space="preserve"> Ti-Zr-Ta-Nb</v>
      </c>
      <c r="N442" s="90">
        <f t="shared" si="12"/>
        <v>422</v>
      </c>
      <c r="O442" s="91">
        <f t="shared" si="13"/>
        <v>4</v>
      </c>
      <c r="P442" s="94">
        <v>1</v>
      </c>
      <c r="Q442" s="94">
        <v>1</v>
      </c>
      <c r="R442" s="93" t="s">
        <v>113</v>
      </c>
      <c r="S442" s="93" t="s">
        <v>113</v>
      </c>
      <c r="T442" s="93" t="s">
        <v>113</v>
      </c>
      <c r="U442" s="93" t="s">
        <v>113</v>
      </c>
      <c r="V442" s="94">
        <v>2</v>
      </c>
      <c r="W442" s="93" t="s">
        <v>113</v>
      </c>
      <c r="X442" s="93" t="s">
        <v>113</v>
      </c>
      <c r="Y442" s="93" t="s">
        <v>113</v>
      </c>
      <c r="Z442" s="94">
        <v>57.1</v>
      </c>
      <c r="AA442" s="93" t="s">
        <v>113</v>
      </c>
      <c r="AB442" s="93" t="s">
        <v>113</v>
      </c>
      <c r="AC442" s="94">
        <v>400</v>
      </c>
      <c r="AD442" s="93" t="s">
        <v>113</v>
      </c>
      <c r="AE442" s="93" t="s">
        <v>113</v>
      </c>
      <c r="AF442" s="93" t="s">
        <v>113</v>
      </c>
      <c r="AG442" s="93" t="s">
        <v>113</v>
      </c>
      <c r="AH442" s="93" t="s">
        <v>113</v>
      </c>
      <c r="AI442" s="93" t="s">
        <v>113</v>
      </c>
      <c r="AJ442" s="93" t="s">
        <v>113</v>
      </c>
      <c r="AK442" s="93" t="s">
        <v>113</v>
      </c>
      <c r="AL442" s="93" t="s">
        <v>113</v>
      </c>
      <c r="AM442" s="93"/>
      <c r="AN442" s="93" t="s">
        <v>113</v>
      </c>
      <c r="AO442" s="93" t="s">
        <v>114</v>
      </c>
      <c r="AP442" s="94">
        <v>482</v>
      </c>
      <c r="AQ442" s="94" t="s">
        <v>100</v>
      </c>
      <c r="AR442" s="93">
        <v>482</v>
      </c>
    </row>
    <row r="443" spans="1:61" ht="16.5">
      <c r="A443" s="93">
        <v>483</v>
      </c>
      <c r="B443" s="93" t="s">
        <v>113</v>
      </c>
      <c r="C443" s="94">
        <v>74.13</v>
      </c>
      <c r="D443" s="94">
        <v>0</v>
      </c>
      <c r="E443" s="94">
        <v>3.2300000000000004</v>
      </c>
      <c r="F443" s="94">
        <v>0</v>
      </c>
      <c r="G443" s="94">
        <v>0</v>
      </c>
      <c r="H443" s="94">
        <v>2.78</v>
      </c>
      <c r="I443" s="94">
        <v>19.86</v>
      </c>
      <c r="J443" s="94">
        <v>0</v>
      </c>
      <c r="K443" s="94">
        <v>0</v>
      </c>
      <c r="L443" s="94">
        <v>0</v>
      </c>
      <c r="M443" s="74" t="str">
        <f t="array" ref="M443">_xlfn.TEXTJOIN("-", TRUE, IF(C443:L443&gt;0, $C$2:$L$2, ""))</f>
        <v xml:space="preserve"> Ti-Zr-Ta-Nb</v>
      </c>
      <c r="N443" s="90">
        <f t="shared" si="12"/>
        <v>422</v>
      </c>
      <c r="O443" s="91">
        <f t="shared" si="13"/>
        <v>4</v>
      </c>
      <c r="P443" s="94">
        <v>1</v>
      </c>
      <c r="Q443" s="94">
        <v>1</v>
      </c>
      <c r="R443" s="93" t="s">
        <v>113</v>
      </c>
      <c r="S443" s="93" t="s">
        <v>113</v>
      </c>
      <c r="T443" s="93" t="s">
        <v>113</v>
      </c>
      <c r="U443" s="93" t="s">
        <v>113</v>
      </c>
      <c r="V443" s="94">
        <v>2</v>
      </c>
      <c r="W443" s="93" t="s">
        <v>113</v>
      </c>
      <c r="X443" s="93" t="s">
        <v>113</v>
      </c>
      <c r="Y443" s="93" t="s">
        <v>113</v>
      </c>
      <c r="Z443" s="94">
        <v>53.7</v>
      </c>
      <c r="AA443" s="93" t="s">
        <v>113</v>
      </c>
      <c r="AB443" s="93" t="s">
        <v>113</v>
      </c>
      <c r="AC443" s="94">
        <v>435</v>
      </c>
      <c r="AD443" s="93" t="s">
        <v>113</v>
      </c>
      <c r="AE443" s="93" t="s">
        <v>113</v>
      </c>
      <c r="AF443" s="93" t="s">
        <v>113</v>
      </c>
      <c r="AG443" s="93" t="s">
        <v>113</v>
      </c>
      <c r="AH443" s="93" t="s">
        <v>113</v>
      </c>
      <c r="AI443" s="93" t="s">
        <v>113</v>
      </c>
      <c r="AJ443" s="93" t="s">
        <v>113</v>
      </c>
      <c r="AK443" s="93" t="s">
        <v>113</v>
      </c>
      <c r="AL443" s="93" t="s">
        <v>113</v>
      </c>
      <c r="AM443" s="93"/>
      <c r="AN443" s="93" t="s">
        <v>113</v>
      </c>
      <c r="AO443" s="93" t="s">
        <v>114</v>
      </c>
      <c r="AP443" s="94">
        <v>483</v>
      </c>
      <c r="AQ443" s="94" t="s">
        <v>100</v>
      </c>
      <c r="AR443" s="93">
        <v>483</v>
      </c>
    </row>
    <row r="444" spans="1:61" ht="16.5">
      <c r="A444" s="93">
        <v>498</v>
      </c>
      <c r="B444" s="93" t="s">
        <v>113</v>
      </c>
      <c r="C444" s="94">
        <v>74.3</v>
      </c>
      <c r="D444" s="94">
        <v>0</v>
      </c>
      <c r="E444" s="94">
        <v>2</v>
      </c>
      <c r="F444" s="94">
        <v>0</v>
      </c>
      <c r="G444" s="94">
        <v>0</v>
      </c>
      <c r="H444" s="94">
        <v>0.70000000000000007</v>
      </c>
      <c r="I444" s="94">
        <v>23</v>
      </c>
      <c r="J444" s="94">
        <v>0</v>
      </c>
      <c r="K444" s="94">
        <v>0</v>
      </c>
      <c r="L444" s="94">
        <v>0</v>
      </c>
      <c r="M444" s="74" t="str">
        <f t="array" ref="M444">_xlfn.TEXTJOIN("-", TRUE, IF(C444:L444&gt;0, $C$2:$L$2, ""))</f>
        <v xml:space="preserve"> Ti-Zr-Ta-Nb</v>
      </c>
      <c r="N444" s="90">
        <f t="shared" si="12"/>
        <v>422</v>
      </c>
      <c r="O444" s="91">
        <f t="shared" si="13"/>
        <v>4</v>
      </c>
      <c r="P444" s="94">
        <v>1</v>
      </c>
      <c r="Q444" s="94">
        <v>1</v>
      </c>
      <c r="R444" s="93" t="s">
        <v>113</v>
      </c>
      <c r="S444" s="93" t="s">
        <v>113</v>
      </c>
      <c r="T444" s="93" t="s">
        <v>113</v>
      </c>
      <c r="U444" s="93" t="s">
        <v>113</v>
      </c>
      <c r="V444" s="94">
        <v>1</v>
      </c>
      <c r="W444" s="93" t="s">
        <v>113</v>
      </c>
      <c r="X444" s="93" t="s">
        <v>113</v>
      </c>
      <c r="Y444" s="93" t="s">
        <v>113</v>
      </c>
      <c r="Z444" s="94">
        <v>55</v>
      </c>
      <c r="AA444" s="93" t="s">
        <v>113</v>
      </c>
      <c r="AB444" s="93" t="s">
        <v>113</v>
      </c>
      <c r="AC444" s="94">
        <v>280</v>
      </c>
      <c r="AD444" s="93" t="s">
        <v>113</v>
      </c>
      <c r="AE444" s="93" t="s">
        <v>113</v>
      </c>
      <c r="AF444" s="93" t="s">
        <v>113</v>
      </c>
      <c r="AG444" s="93" t="s">
        <v>113</v>
      </c>
      <c r="AH444" s="93" t="s">
        <v>113</v>
      </c>
      <c r="AI444" s="93" t="s">
        <v>113</v>
      </c>
      <c r="AJ444" s="93" t="s">
        <v>113</v>
      </c>
      <c r="AK444" s="93" t="s">
        <v>113</v>
      </c>
      <c r="AL444" s="93" t="s">
        <v>113</v>
      </c>
      <c r="AM444" s="93"/>
      <c r="AN444" s="93" t="s">
        <v>113</v>
      </c>
      <c r="AO444" s="93" t="s">
        <v>114</v>
      </c>
      <c r="AP444" s="94">
        <v>498</v>
      </c>
      <c r="AQ444" s="94" t="s">
        <v>100</v>
      </c>
      <c r="AR444" s="93">
        <v>498</v>
      </c>
    </row>
    <row r="445" spans="1:61" ht="16.5">
      <c r="A445" s="93">
        <v>502</v>
      </c>
      <c r="B445" s="93" t="s">
        <v>113</v>
      </c>
      <c r="C445" s="94">
        <v>70.45</v>
      </c>
      <c r="D445" s="94">
        <v>0</v>
      </c>
      <c r="E445" s="94">
        <v>3.44</v>
      </c>
      <c r="F445" s="94">
        <v>0</v>
      </c>
      <c r="G445" s="94">
        <v>0</v>
      </c>
      <c r="H445" s="94">
        <v>4.6899999999999995</v>
      </c>
      <c r="I445" s="94">
        <v>21.42</v>
      </c>
      <c r="J445" s="94">
        <v>0</v>
      </c>
      <c r="K445" s="94">
        <v>0</v>
      </c>
      <c r="L445" s="94">
        <v>0</v>
      </c>
      <c r="M445" s="74" t="str">
        <f t="array" ref="M445">_xlfn.TEXTJOIN("-", TRUE, IF(C445:L445&gt;0, $C$2:$L$2, ""))</f>
        <v xml:space="preserve"> Ti-Zr-Ta-Nb</v>
      </c>
      <c r="N445" s="90">
        <f t="shared" si="12"/>
        <v>422</v>
      </c>
      <c r="O445" s="91">
        <f t="shared" si="13"/>
        <v>4</v>
      </c>
      <c r="P445" s="94">
        <v>1</v>
      </c>
      <c r="Q445" s="94">
        <v>1</v>
      </c>
      <c r="R445" s="93" t="s">
        <v>113</v>
      </c>
      <c r="S445" s="93" t="s">
        <v>113</v>
      </c>
      <c r="T445" s="93" t="s">
        <v>113</v>
      </c>
      <c r="U445" s="93" t="s">
        <v>113</v>
      </c>
      <c r="V445" s="94">
        <v>1</v>
      </c>
      <c r="W445" s="93" t="s">
        <v>113</v>
      </c>
      <c r="X445" s="93" t="s">
        <v>113</v>
      </c>
      <c r="Y445" s="93" t="s">
        <v>113</v>
      </c>
      <c r="Z445" s="94">
        <v>61</v>
      </c>
      <c r="AA445" s="93" t="s">
        <v>113</v>
      </c>
      <c r="AB445" s="93" t="s">
        <v>113</v>
      </c>
      <c r="AC445" s="94">
        <v>521</v>
      </c>
      <c r="AD445" s="93" t="s">
        <v>113</v>
      </c>
      <c r="AE445" s="93" t="s">
        <v>113</v>
      </c>
      <c r="AF445" s="93" t="s">
        <v>113</v>
      </c>
      <c r="AG445" s="93" t="s">
        <v>113</v>
      </c>
      <c r="AH445" s="93" t="s">
        <v>113</v>
      </c>
      <c r="AI445" s="93" t="s">
        <v>113</v>
      </c>
      <c r="AJ445" s="93" t="s">
        <v>113</v>
      </c>
      <c r="AK445" s="93" t="s">
        <v>113</v>
      </c>
      <c r="AL445" s="93" t="s">
        <v>113</v>
      </c>
      <c r="AM445" s="93"/>
      <c r="AN445" s="93" t="s">
        <v>113</v>
      </c>
      <c r="AO445" s="93" t="s">
        <v>114</v>
      </c>
      <c r="AP445" s="94">
        <v>502</v>
      </c>
      <c r="AQ445" s="94" t="s">
        <v>100</v>
      </c>
      <c r="AR445" s="93">
        <v>502</v>
      </c>
    </row>
    <row r="446" spans="1:61" ht="16.5">
      <c r="A446" s="9">
        <v>17</v>
      </c>
      <c r="C446" s="9">
        <v>72.06</v>
      </c>
      <c r="D446">
        <v>0</v>
      </c>
      <c r="E446" s="9">
        <v>3.18</v>
      </c>
      <c r="F446" s="9">
        <v>0</v>
      </c>
      <c r="G446" s="9">
        <v>0</v>
      </c>
      <c r="H446" s="9">
        <v>4.63</v>
      </c>
      <c r="I446" s="9">
        <v>20.13</v>
      </c>
      <c r="J446" s="9">
        <v>0</v>
      </c>
      <c r="K446" s="9">
        <v>0</v>
      </c>
      <c r="L446" s="9">
        <v>0</v>
      </c>
      <c r="M446" s="74" t="str">
        <f t="array" ref="M446">_xlfn.TEXTJOIN("-", TRUE, IF(C446:L446&gt;0, $C$2:$L$2, ""))</f>
        <v xml:space="preserve"> Ti-Zr-Ta-Nb</v>
      </c>
      <c r="N446" s="90">
        <f t="shared" si="12"/>
        <v>422</v>
      </c>
      <c r="O446" s="91">
        <f t="shared" si="13"/>
        <v>4</v>
      </c>
      <c r="Z446" s="9">
        <v>65</v>
      </c>
      <c r="AQ446" s="94" t="s">
        <v>382</v>
      </c>
    </row>
    <row r="447" spans="1:61" ht="16.5">
      <c r="A447" s="9">
        <v>18</v>
      </c>
      <c r="C447" s="9">
        <v>69.3</v>
      </c>
      <c r="D447">
        <v>0</v>
      </c>
      <c r="E447" s="9">
        <v>4.9000000000000004</v>
      </c>
      <c r="F447" s="9">
        <v>0</v>
      </c>
      <c r="G447" s="9">
        <v>0</v>
      </c>
      <c r="H447" s="9">
        <v>1.8</v>
      </c>
      <c r="I447" s="9">
        <v>24</v>
      </c>
      <c r="J447" s="9">
        <v>0</v>
      </c>
      <c r="K447" s="9">
        <v>0</v>
      </c>
      <c r="L447" s="9">
        <v>0</v>
      </c>
      <c r="M447" s="74" t="str">
        <f t="array" ref="M447">_xlfn.TEXTJOIN("-", TRUE, IF(C447:L447&gt;0, $C$2:$L$2, ""))</f>
        <v xml:space="preserve"> Ti-Zr-Ta-Nb</v>
      </c>
      <c r="N447" s="90">
        <f t="shared" si="12"/>
        <v>422</v>
      </c>
      <c r="O447" s="91">
        <f t="shared" si="13"/>
        <v>4</v>
      </c>
      <c r="Z447" s="9">
        <v>55</v>
      </c>
      <c r="AQ447" s="94" t="s">
        <v>382</v>
      </c>
    </row>
    <row r="448" spans="1:61" ht="16.5">
      <c r="A448" s="9">
        <v>19</v>
      </c>
      <c r="C448" s="9">
        <v>74.3</v>
      </c>
      <c r="D448">
        <v>0</v>
      </c>
      <c r="E448" s="9">
        <v>2</v>
      </c>
      <c r="F448" s="9">
        <v>0</v>
      </c>
      <c r="G448" s="9">
        <v>0</v>
      </c>
      <c r="H448" s="9">
        <v>0.7</v>
      </c>
      <c r="I448" s="9">
        <v>23</v>
      </c>
      <c r="J448" s="9">
        <v>0</v>
      </c>
      <c r="K448" s="9">
        <v>0</v>
      </c>
      <c r="L448" s="9">
        <v>0</v>
      </c>
      <c r="M448" s="74" t="str">
        <f t="array" ref="M448">_xlfn.TEXTJOIN("-", TRUE, IF(C448:L448&gt;0, $C$2:$L$2, ""))</f>
        <v xml:space="preserve"> Ti-Zr-Ta-Nb</v>
      </c>
      <c r="N448" s="90">
        <f t="shared" si="12"/>
        <v>422</v>
      </c>
      <c r="O448" s="91">
        <f t="shared" si="13"/>
        <v>4</v>
      </c>
      <c r="Z448" s="9">
        <v>56</v>
      </c>
      <c r="AQ448" s="94" t="s">
        <v>382</v>
      </c>
    </row>
    <row r="449" spans="1:43" ht="16.5">
      <c r="A449" s="9">
        <v>75</v>
      </c>
      <c r="C449" s="9">
        <v>83.67</v>
      </c>
      <c r="D449">
        <v>0</v>
      </c>
      <c r="E449" s="9">
        <v>7.93</v>
      </c>
      <c r="F449" s="9">
        <v>0</v>
      </c>
      <c r="G449" s="9">
        <v>0</v>
      </c>
      <c r="H449" s="9">
        <v>0.62</v>
      </c>
      <c r="I449" s="9">
        <v>7.78</v>
      </c>
      <c r="J449" s="9">
        <v>0</v>
      </c>
      <c r="K449" s="9">
        <v>0</v>
      </c>
      <c r="L449" s="9">
        <v>0</v>
      </c>
      <c r="M449" s="74" t="str">
        <f t="array" ref="M449">_xlfn.TEXTJOIN("-", TRUE, IF(C449:L449&gt;0, $C$2:$L$2, ""))</f>
        <v xml:space="preserve"> Ti-Zr-Ta-Nb</v>
      </c>
      <c r="N449" s="90">
        <f t="shared" si="12"/>
        <v>422</v>
      </c>
      <c r="O449" s="91">
        <f t="shared" si="13"/>
        <v>4</v>
      </c>
      <c r="Z449" s="9">
        <v>90</v>
      </c>
      <c r="AQ449" s="94" t="s">
        <v>382</v>
      </c>
    </row>
    <row r="450" spans="1:43" ht="16.5">
      <c r="A450" s="9">
        <v>76</v>
      </c>
      <c r="C450" s="9">
        <v>82.76</v>
      </c>
      <c r="D450">
        <v>0</v>
      </c>
      <c r="E450" s="9">
        <v>8.07</v>
      </c>
      <c r="F450" s="9">
        <v>0</v>
      </c>
      <c r="G450" s="9">
        <v>0</v>
      </c>
      <c r="H450" s="9">
        <v>1.25</v>
      </c>
      <c r="I450" s="9">
        <v>7.92</v>
      </c>
      <c r="J450" s="9">
        <v>0</v>
      </c>
      <c r="K450" s="9">
        <v>0</v>
      </c>
      <c r="L450" s="9">
        <v>0</v>
      </c>
      <c r="M450" s="74" t="str">
        <f t="array" ref="M450">_xlfn.TEXTJOIN("-", TRUE, IF(C450:L450&gt;0, $C$2:$L$2, ""))</f>
        <v xml:space="preserve"> Ti-Zr-Ta-Nb</v>
      </c>
      <c r="N450" s="90">
        <f t="shared" si="12"/>
        <v>422</v>
      </c>
      <c r="O450" s="91">
        <f t="shared" si="13"/>
        <v>4</v>
      </c>
      <c r="Z450" s="9">
        <v>92.54</v>
      </c>
      <c r="AQ450" s="94" t="s">
        <v>382</v>
      </c>
    </row>
    <row r="451" spans="1:43" ht="16.5">
      <c r="A451" s="9">
        <v>77</v>
      </c>
      <c r="C451" s="9">
        <v>81.819999999999993</v>
      </c>
      <c r="D451">
        <v>0</v>
      </c>
      <c r="E451" s="9">
        <v>8.2100000000000009</v>
      </c>
      <c r="F451" s="9">
        <v>0</v>
      </c>
      <c r="G451" s="9">
        <v>0</v>
      </c>
      <c r="H451" s="9">
        <v>1.91</v>
      </c>
      <c r="I451" s="9">
        <v>8.06</v>
      </c>
      <c r="J451" s="9">
        <v>0</v>
      </c>
      <c r="K451" s="9">
        <v>0</v>
      </c>
      <c r="L451" s="9">
        <v>0</v>
      </c>
      <c r="M451" s="74" t="str">
        <f t="array" ref="M451">_xlfn.TEXTJOIN("-", TRUE, IF(C451:L451&gt;0, $C$2:$L$2, ""))</f>
        <v xml:space="preserve"> Ti-Zr-Ta-Nb</v>
      </c>
      <c r="N451" s="90">
        <f t="shared" ref="N451:N514" si="14">IF(COUNTIF(M$3:M$1206, M451)&gt;1, MATCH(M451, M:M, 0), "")</f>
        <v>422</v>
      </c>
      <c r="O451" s="91">
        <f t="shared" ref="O451:O514" si="15">COUNTIF(C451:L451, "&lt;&gt;0")</f>
        <v>4</v>
      </c>
      <c r="Z451" s="9">
        <v>93.66</v>
      </c>
      <c r="AQ451" s="94" t="s">
        <v>382</v>
      </c>
    </row>
    <row r="452" spans="1:43" ht="16.5">
      <c r="A452" s="9">
        <v>78</v>
      </c>
      <c r="C452" s="9">
        <v>80.849999999999994</v>
      </c>
      <c r="D452">
        <v>0</v>
      </c>
      <c r="E452" s="9">
        <v>8.36</v>
      </c>
      <c r="F452" s="9">
        <v>0</v>
      </c>
      <c r="G452" s="9">
        <v>0</v>
      </c>
      <c r="H452" s="9">
        <v>2.59</v>
      </c>
      <c r="I452" s="9">
        <v>8.1999999999999993</v>
      </c>
      <c r="J452" s="9">
        <v>0</v>
      </c>
      <c r="K452" s="9">
        <v>0</v>
      </c>
      <c r="L452" s="9">
        <v>0</v>
      </c>
      <c r="M452" s="74" t="str">
        <f t="array" ref="M452">_xlfn.TEXTJOIN("-", TRUE, IF(C452:L452&gt;0, $C$2:$L$2, ""))</f>
        <v xml:space="preserve"> Ti-Zr-Ta-Nb</v>
      </c>
      <c r="N452" s="90">
        <f t="shared" si="14"/>
        <v>422</v>
      </c>
      <c r="O452" s="91">
        <f t="shared" si="15"/>
        <v>4</v>
      </c>
      <c r="Z452" s="9">
        <v>83.52</v>
      </c>
      <c r="AQ452" s="94" t="s">
        <v>382</v>
      </c>
    </row>
    <row r="453" spans="1:43" ht="16.5">
      <c r="A453" s="9">
        <v>89</v>
      </c>
      <c r="C453" s="9">
        <v>69.290000000000006</v>
      </c>
      <c r="D453">
        <v>0</v>
      </c>
      <c r="E453" s="9">
        <v>4.92</v>
      </c>
      <c r="F453" s="9">
        <v>0</v>
      </c>
      <c r="G453" s="9">
        <v>0</v>
      </c>
      <c r="H453" s="9">
        <v>1.78</v>
      </c>
      <c r="I453" s="9">
        <v>24.01</v>
      </c>
      <c r="J453" s="9">
        <v>0</v>
      </c>
      <c r="K453" s="9">
        <v>0</v>
      </c>
      <c r="L453" s="9">
        <v>0</v>
      </c>
      <c r="M453" s="74" t="str">
        <f t="array" ref="M453">_xlfn.TEXTJOIN("-", TRUE, IF(C453:L453&gt;0, $C$2:$L$2, ""))</f>
        <v xml:space="preserve"> Ti-Zr-Ta-Nb</v>
      </c>
      <c r="N453" s="90">
        <f t="shared" si="14"/>
        <v>422</v>
      </c>
      <c r="O453" s="91">
        <f t="shared" si="15"/>
        <v>4</v>
      </c>
      <c r="Z453" s="9">
        <v>55</v>
      </c>
      <c r="AQ453" s="94" t="s">
        <v>382</v>
      </c>
    </row>
    <row r="454" spans="1:43" ht="16.5">
      <c r="A454" s="9">
        <v>130</v>
      </c>
      <c r="C454" s="9">
        <v>34.6</v>
      </c>
      <c r="D454">
        <v>0</v>
      </c>
      <c r="E454" s="9">
        <v>8.7100000000000009</v>
      </c>
      <c r="F454" s="9">
        <v>0</v>
      </c>
      <c r="G454" s="9">
        <v>0</v>
      </c>
      <c r="H454" s="9">
        <v>12.34</v>
      </c>
      <c r="I454" s="9">
        <v>44.35</v>
      </c>
      <c r="J454" s="9">
        <v>0</v>
      </c>
      <c r="K454" s="9">
        <v>0</v>
      </c>
      <c r="L454" s="9">
        <v>0</v>
      </c>
      <c r="M454" s="74" t="str">
        <f t="array" ref="M454">_xlfn.TEXTJOIN("-", TRUE, IF(C454:L454&gt;0, $C$2:$L$2, ""))</f>
        <v xml:space="preserve"> Ti-Zr-Ta-Nb</v>
      </c>
      <c r="N454" s="90">
        <f t="shared" si="14"/>
        <v>422</v>
      </c>
      <c r="O454" s="91">
        <f t="shared" si="15"/>
        <v>4</v>
      </c>
      <c r="Z454" s="9">
        <v>64</v>
      </c>
      <c r="AQ454" s="94" t="s">
        <v>382</v>
      </c>
    </row>
    <row r="455" spans="1:43" ht="16.5">
      <c r="A455" s="9">
        <v>147</v>
      </c>
      <c r="C455" s="9">
        <v>55.01</v>
      </c>
      <c r="D455">
        <v>0</v>
      </c>
      <c r="E455" s="9">
        <v>20.09</v>
      </c>
      <c r="F455" s="9">
        <v>0</v>
      </c>
      <c r="G455" s="9">
        <v>0</v>
      </c>
      <c r="H455" s="9">
        <v>17.64</v>
      </c>
      <c r="I455" s="9">
        <v>7.26</v>
      </c>
      <c r="J455" s="9">
        <v>0</v>
      </c>
      <c r="K455" s="9">
        <v>0</v>
      </c>
      <c r="L455" s="9">
        <v>0</v>
      </c>
      <c r="M455" s="74" t="str">
        <f t="array" ref="M455">_xlfn.TEXTJOIN("-", TRUE, IF(C455:L455&gt;0, $C$2:$L$2, ""))</f>
        <v xml:space="preserve"> Ti-Zr-Ta-Nb</v>
      </c>
      <c r="N455" s="90">
        <f t="shared" si="14"/>
        <v>422</v>
      </c>
      <c r="O455" s="91">
        <f t="shared" si="15"/>
        <v>4</v>
      </c>
      <c r="Z455" s="9">
        <v>73.12</v>
      </c>
      <c r="AQ455" s="94" t="s">
        <v>382</v>
      </c>
    </row>
    <row r="456" spans="1:43" ht="16.5">
      <c r="A456" s="9">
        <v>148</v>
      </c>
      <c r="C456" s="9">
        <v>54.48</v>
      </c>
      <c r="D456">
        <v>0</v>
      </c>
      <c r="E456" s="9">
        <v>22.98</v>
      </c>
      <c r="F456" s="9">
        <v>0</v>
      </c>
      <c r="G456" s="9">
        <v>0</v>
      </c>
      <c r="H456" s="9">
        <v>18.03</v>
      </c>
      <c r="I456" s="9">
        <v>4.51</v>
      </c>
      <c r="J456" s="9">
        <v>0</v>
      </c>
      <c r="K456" s="9">
        <v>0</v>
      </c>
      <c r="L456" s="9">
        <v>0</v>
      </c>
      <c r="M456" s="74" t="str">
        <f t="array" ref="M456">_xlfn.TEXTJOIN("-", TRUE, IF(C456:L456&gt;0, $C$2:$L$2, ""))</f>
        <v xml:space="preserve"> Ti-Zr-Ta-Nb</v>
      </c>
      <c r="N456" s="90">
        <f t="shared" si="14"/>
        <v>422</v>
      </c>
      <c r="O456" s="91">
        <f t="shared" si="15"/>
        <v>4</v>
      </c>
      <c r="Z456" s="9">
        <v>74.98</v>
      </c>
      <c r="AQ456" s="94" t="s">
        <v>382</v>
      </c>
    </row>
    <row r="457" spans="1:43" ht="16.5">
      <c r="A457" s="9">
        <v>149</v>
      </c>
      <c r="C457" s="9">
        <v>53.16</v>
      </c>
      <c r="D457">
        <v>0</v>
      </c>
      <c r="E457" s="9">
        <v>26.04</v>
      </c>
      <c r="F457" s="9">
        <v>0</v>
      </c>
      <c r="G457" s="9">
        <v>0</v>
      </c>
      <c r="H457" s="9">
        <v>18.52</v>
      </c>
      <c r="I457" s="9">
        <v>2.2799999999999998</v>
      </c>
      <c r="J457" s="9">
        <v>0</v>
      </c>
      <c r="K457" s="9">
        <v>0</v>
      </c>
      <c r="L457" s="9">
        <v>0</v>
      </c>
      <c r="M457" s="74" t="str">
        <f t="array" ref="M457">_xlfn.TEXTJOIN("-", TRUE, IF(C457:L457&gt;0, $C$2:$L$2, ""))</f>
        <v xml:space="preserve"> Ti-Zr-Ta-Nb</v>
      </c>
      <c r="N457" s="90">
        <f t="shared" si="14"/>
        <v>422</v>
      </c>
      <c r="O457" s="91">
        <f t="shared" si="15"/>
        <v>4</v>
      </c>
      <c r="Z457" s="9">
        <v>76.62</v>
      </c>
      <c r="AQ457" s="94" t="s">
        <v>382</v>
      </c>
    </row>
    <row r="458" spans="1:43" ht="16.5">
      <c r="A458" s="9">
        <v>154</v>
      </c>
      <c r="C458" s="9">
        <v>67.8</v>
      </c>
      <c r="D458">
        <v>0</v>
      </c>
      <c r="E458" s="9">
        <v>3.6</v>
      </c>
      <c r="F458" s="9">
        <v>0</v>
      </c>
      <c r="G458" s="9">
        <v>0</v>
      </c>
      <c r="H458" s="9">
        <v>3.8</v>
      </c>
      <c r="I458" s="9">
        <v>24.8</v>
      </c>
      <c r="J458" s="9">
        <v>0</v>
      </c>
      <c r="K458" s="9">
        <v>0</v>
      </c>
      <c r="L458" s="9">
        <v>0</v>
      </c>
      <c r="M458" s="74" t="str">
        <f t="array" ref="M458">_xlfn.TEXTJOIN("-", TRUE, IF(C458:L458&gt;0, $C$2:$L$2, ""))</f>
        <v xml:space="preserve"> Ti-Zr-Ta-Nb</v>
      </c>
      <c r="N458" s="90">
        <f t="shared" si="14"/>
        <v>422</v>
      </c>
      <c r="O458" s="91">
        <f t="shared" si="15"/>
        <v>4</v>
      </c>
      <c r="Z458" s="9">
        <v>65.8</v>
      </c>
      <c r="AQ458" s="94" t="s">
        <v>382</v>
      </c>
    </row>
    <row r="459" spans="1:43" ht="16.5">
      <c r="A459" s="9">
        <v>155</v>
      </c>
      <c r="C459" s="9">
        <v>69.7</v>
      </c>
      <c r="D459">
        <v>0</v>
      </c>
      <c r="E459" s="9">
        <v>3.2</v>
      </c>
      <c r="F459" s="9">
        <v>0</v>
      </c>
      <c r="G459" s="9">
        <v>0</v>
      </c>
      <c r="H459" s="9">
        <v>4.2</v>
      </c>
      <c r="I459" s="9">
        <v>22.9</v>
      </c>
      <c r="J459" s="9">
        <v>0</v>
      </c>
      <c r="K459" s="9">
        <v>0</v>
      </c>
      <c r="L459" s="9">
        <v>0</v>
      </c>
      <c r="M459" s="74" t="str">
        <f t="array" ref="M459">_xlfn.TEXTJOIN("-", TRUE, IF(C459:L459&gt;0, $C$2:$L$2, ""))</f>
        <v xml:space="preserve"> Ti-Zr-Ta-Nb</v>
      </c>
      <c r="N459" s="90">
        <f t="shared" si="14"/>
        <v>422</v>
      </c>
      <c r="O459" s="91">
        <f t="shared" si="15"/>
        <v>4</v>
      </c>
      <c r="Z459" s="9">
        <v>64.2</v>
      </c>
      <c r="AQ459" s="94" t="s">
        <v>382</v>
      </c>
    </row>
    <row r="460" spans="1:43" ht="16.5">
      <c r="A460" s="9">
        <v>156</v>
      </c>
      <c r="C460" s="9">
        <v>70.599999999999994</v>
      </c>
      <c r="D460">
        <v>0</v>
      </c>
      <c r="E460" s="9">
        <v>3.4</v>
      </c>
      <c r="F460" s="9">
        <v>0</v>
      </c>
      <c r="G460" s="9">
        <v>0</v>
      </c>
      <c r="H460" s="9">
        <v>5.0999999999999996</v>
      </c>
      <c r="I460" s="9">
        <v>20.9</v>
      </c>
      <c r="J460" s="9">
        <v>0</v>
      </c>
      <c r="K460" s="9">
        <v>0</v>
      </c>
      <c r="L460" s="9">
        <v>0</v>
      </c>
      <c r="M460" s="74" t="str">
        <f t="array" ref="M460">_xlfn.TEXTJOIN("-", TRUE, IF(C460:L460&gt;0, $C$2:$L$2, ""))</f>
        <v xml:space="preserve"> Ti-Zr-Ta-Nb</v>
      </c>
      <c r="N460" s="90">
        <f t="shared" si="14"/>
        <v>422</v>
      </c>
      <c r="O460" s="91">
        <f t="shared" si="15"/>
        <v>4</v>
      </c>
      <c r="Z460" s="9">
        <v>63</v>
      </c>
      <c r="AQ460" s="94" t="s">
        <v>382</v>
      </c>
    </row>
    <row r="461" spans="1:43" ht="16.5">
      <c r="A461" s="9">
        <v>157</v>
      </c>
      <c r="C461" s="9">
        <v>74.8</v>
      </c>
      <c r="D461">
        <v>0</v>
      </c>
      <c r="E461" s="9">
        <v>2</v>
      </c>
      <c r="F461" s="9">
        <v>0</v>
      </c>
      <c r="G461" s="9">
        <v>0</v>
      </c>
      <c r="H461" s="9">
        <v>0.7</v>
      </c>
      <c r="I461" s="9">
        <v>22.5</v>
      </c>
      <c r="J461" s="9">
        <v>0</v>
      </c>
      <c r="K461" s="9">
        <v>0</v>
      </c>
      <c r="L461" s="9">
        <v>0</v>
      </c>
      <c r="M461" s="74" t="str">
        <f t="array" ref="M461">_xlfn.TEXTJOIN("-", TRUE, IF(C461:L461&gt;0, $C$2:$L$2, ""))</f>
        <v xml:space="preserve"> Ti-Zr-Ta-Nb</v>
      </c>
      <c r="N461" s="90">
        <f t="shared" si="14"/>
        <v>422</v>
      </c>
      <c r="O461" s="91">
        <f t="shared" si="15"/>
        <v>4</v>
      </c>
      <c r="Z461" s="9">
        <v>59.5</v>
      </c>
      <c r="AQ461" s="94" t="s">
        <v>382</v>
      </c>
    </row>
    <row r="462" spans="1:43" ht="16.5">
      <c r="A462" s="9">
        <v>159</v>
      </c>
      <c r="C462" s="9">
        <v>69.709999999999994</v>
      </c>
      <c r="D462">
        <v>0</v>
      </c>
      <c r="E462" s="9">
        <v>4.83</v>
      </c>
      <c r="F462" s="9">
        <v>0</v>
      </c>
      <c r="G462" s="9">
        <v>0</v>
      </c>
      <c r="H462" s="9">
        <v>1.74</v>
      </c>
      <c r="I462" s="9">
        <v>23.72</v>
      </c>
      <c r="J462" s="9">
        <v>0</v>
      </c>
      <c r="K462" s="9">
        <v>0</v>
      </c>
      <c r="L462" s="9">
        <v>0</v>
      </c>
      <c r="M462" s="74" t="str">
        <f t="array" ref="M462">_xlfn.TEXTJOIN("-", TRUE, IF(C462:L462&gt;0, $C$2:$L$2, ""))</f>
        <v xml:space="preserve"> Ti-Zr-Ta-Nb</v>
      </c>
      <c r="N462" s="90">
        <f t="shared" si="14"/>
        <v>422</v>
      </c>
      <c r="O462" s="91">
        <f t="shared" si="15"/>
        <v>4</v>
      </c>
      <c r="Z462" s="9">
        <v>62.2</v>
      </c>
      <c r="AQ462" s="94" t="s">
        <v>382</v>
      </c>
    </row>
    <row r="463" spans="1:43" ht="16.5">
      <c r="A463" s="9">
        <v>181</v>
      </c>
      <c r="C463" s="9">
        <v>74.27</v>
      </c>
      <c r="D463">
        <v>0</v>
      </c>
      <c r="E463" s="9">
        <v>1.96</v>
      </c>
      <c r="F463" s="9">
        <v>0</v>
      </c>
      <c r="G463" s="9">
        <v>0</v>
      </c>
      <c r="H463" s="9">
        <v>0.66</v>
      </c>
      <c r="I463" s="9">
        <v>23.11</v>
      </c>
      <c r="J463" s="9">
        <v>0</v>
      </c>
      <c r="K463" s="9">
        <v>0</v>
      </c>
      <c r="L463" s="9">
        <v>0</v>
      </c>
      <c r="M463" s="74" t="str">
        <f t="array" ref="M463">_xlfn.TEXTJOIN("-", TRUE, IF(C463:L463&gt;0, $C$2:$L$2, ""))</f>
        <v xml:space="preserve"> Ti-Zr-Ta-Nb</v>
      </c>
      <c r="N463" s="90">
        <f t="shared" si="14"/>
        <v>422</v>
      </c>
      <c r="O463" s="91">
        <f t="shared" si="15"/>
        <v>4</v>
      </c>
      <c r="Z463" s="9">
        <v>60.2</v>
      </c>
      <c r="AQ463" s="94" t="s">
        <v>382</v>
      </c>
    </row>
    <row r="464" spans="1:43" ht="16.5">
      <c r="A464" s="9">
        <v>199</v>
      </c>
      <c r="C464" s="9">
        <v>72.63</v>
      </c>
      <c r="D464">
        <v>0</v>
      </c>
      <c r="E464" s="9">
        <v>3.47</v>
      </c>
      <c r="F464" s="9">
        <v>0</v>
      </c>
      <c r="G464" s="9">
        <v>0</v>
      </c>
      <c r="H464" s="9">
        <v>3.49</v>
      </c>
      <c r="I464" s="9">
        <v>20.41</v>
      </c>
      <c r="J464" s="9">
        <v>0</v>
      </c>
      <c r="K464" s="9">
        <v>0</v>
      </c>
      <c r="L464" s="9">
        <v>0</v>
      </c>
      <c r="M464" s="74" t="str">
        <f t="array" ref="M464">_xlfn.TEXTJOIN("-", TRUE, IF(C464:L464&gt;0, $C$2:$L$2, ""))</f>
        <v xml:space="preserve"> Ti-Zr-Ta-Nb</v>
      </c>
      <c r="N464" s="90">
        <f t="shared" si="14"/>
        <v>422</v>
      </c>
      <c r="O464" s="91">
        <f t="shared" si="15"/>
        <v>4</v>
      </c>
      <c r="Z464" s="9">
        <v>56</v>
      </c>
      <c r="AQ464" s="94" t="s">
        <v>382</v>
      </c>
    </row>
    <row r="465" spans="1:61" ht="16.5">
      <c r="A465" s="9">
        <v>200</v>
      </c>
      <c r="C465" s="9">
        <v>68.209999999999994</v>
      </c>
      <c r="D465">
        <v>0</v>
      </c>
      <c r="E465" s="9">
        <v>3.58</v>
      </c>
      <c r="F465" s="9">
        <v>0</v>
      </c>
      <c r="G465" s="9">
        <v>0</v>
      </c>
      <c r="H465" s="9">
        <v>3.61</v>
      </c>
      <c r="I465" s="9">
        <v>24.6</v>
      </c>
      <c r="J465" s="9">
        <v>0</v>
      </c>
      <c r="K465" s="9">
        <v>0</v>
      </c>
      <c r="L465" s="9">
        <v>0</v>
      </c>
      <c r="M465" s="74" t="str">
        <f t="array" ref="M465">_xlfn.TEXTJOIN("-", TRUE, IF(C465:L465&gt;0, $C$2:$L$2, ""))</f>
        <v xml:space="preserve"> Ti-Zr-Ta-Nb</v>
      </c>
      <c r="N465" s="90">
        <f t="shared" si="14"/>
        <v>422</v>
      </c>
      <c r="O465" s="91">
        <f t="shared" si="15"/>
        <v>4</v>
      </c>
      <c r="Z465" s="9">
        <v>62</v>
      </c>
      <c r="AQ465" s="94" t="s">
        <v>382</v>
      </c>
    </row>
    <row r="466" spans="1:61" ht="16.5">
      <c r="A466" s="9">
        <v>210</v>
      </c>
      <c r="C466" s="9">
        <v>69.2</v>
      </c>
      <c r="D466">
        <v>0</v>
      </c>
      <c r="E466" s="9">
        <v>5</v>
      </c>
      <c r="F466" s="9">
        <v>0</v>
      </c>
      <c r="G466" s="9">
        <v>0</v>
      </c>
      <c r="H466" s="9">
        <v>1.7</v>
      </c>
      <c r="I466" s="9">
        <v>24.1</v>
      </c>
      <c r="J466" s="9">
        <v>0</v>
      </c>
      <c r="K466" s="9">
        <v>0</v>
      </c>
      <c r="L466" s="9">
        <v>0</v>
      </c>
      <c r="M466" s="74" t="str">
        <f t="array" ref="M466">_xlfn.TEXTJOIN("-", TRUE, IF(C466:L466&gt;0, $C$2:$L$2, ""))</f>
        <v xml:space="preserve"> Ti-Zr-Ta-Nb</v>
      </c>
      <c r="N466" s="90">
        <f t="shared" si="14"/>
        <v>422</v>
      </c>
      <c r="O466" s="91">
        <f t="shared" si="15"/>
        <v>4</v>
      </c>
      <c r="Z466" s="9">
        <v>56</v>
      </c>
      <c r="AQ466" s="94" t="s">
        <v>382</v>
      </c>
    </row>
    <row r="467" spans="1:61" ht="16.5">
      <c r="A467" s="9">
        <v>211</v>
      </c>
      <c r="C467" s="9">
        <v>69.900000000000006</v>
      </c>
      <c r="D467">
        <v>0</v>
      </c>
      <c r="E467" s="9">
        <v>5.0999999999999996</v>
      </c>
      <c r="F467" s="9">
        <v>0</v>
      </c>
      <c r="G467" s="9">
        <v>0</v>
      </c>
      <c r="H467" s="9">
        <v>4.5</v>
      </c>
      <c r="I467" s="9">
        <v>20.5</v>
      </c>
      <c r="J467" s="9">
        <v>0</v>
      </c>
      <c r="K467" s="9">
        <v>0</v>
      </c>
      <c r="L467" s="9">
        <v>0</v>
      </c>
      <c r="M467" s="74" t="str">
        <f t="array" ref="M467">_xlfn.TEXTJOIN("-", TRUE, IF(C467:L467&gt;0, $C$2:$L$2, ""))</f>
        <v xml:space="preserve"> Ti-Zr-Ta-Nb</v>
      </c>
      <c r="N467" s="90">
        <f t="shared" si="14"/>
        <v>422</v>
      </c>
      <c r="O467" s="91">
        <f t="shared" si="15"/>
        <v>4</v>
      </c>
      <c r="Z467" s="9">
        <v>50</v>
      </c>
      <c r="AQ467" s="94" t="s">
        <v>382</v>
      </c>
    </row>
    <row r="468" spans="1:61" ht="16.5">
      <c r="A468" s="9">
        <v>219</v>
      </c>
      <c r="C468" s="9">
        <v>63.3</v>
      </c>
      <c r="D468">
        <v>0</v>
      </c>
      <c r="E468" s="9">
        <v>17.600000000000001</v>
      </c>
      <c r="F468" s="9">
        <v>0</v>
      </c>
      <c r="G468" s="9">
        <v>0</v>
      </c>
      <c r="H468" s="9">
        <v>0.4</v>
      </c>
      <c r="I468" s="9">
        <v>18.7</v>
      </c>
      <c r="J468" s="9">
        <v>0</v>
      </c>
      <c r="K468" s="9">
        <v>0</v>
      </c>
      <c r="L468" s="9">
        <v>0</v>
      </c>
      <c r="M468" s="74" t="str">
        <f t="array" ref="M468">_xlfn.TEXTJOIN("-", TRUE, IF(C468:L468&gt;0, $C$2:$L$2, ""))</f>
        <v xml:space="preserve"> Ti-Zr-Ta-Nb</v>
      </c>
      <c r="N468" s="90">
        <f t="shared" si="14"/>
        <v>422</v>
      </c>
      <c r="O468" s="91">
        <f t="shared" si="15"/>
        <v>4</v>
      </c>
      <c r="Z468" s="9">
        <v>48.3</v>
      </c>
      <c r="AQ468" s="94" t="s">
        <v>382</v>
      </c>
    </row>
    <row r="469" spans="1:61" ht="16.5">
      <c r="A469" s="7">
        <v>72</v>
      </c>
      <c r="B469" s="6"/>
      <c r="C469" s="8">
        <v>86</v>
      </c>
      <c r="D469" s="8">
        <v>6</v>
      </c>
      <c r="E469" s="8">
        <v>0</v>
      </c>
      <c r="F469" s="8">
        <v>4</v>
      </c>
      <c r="G469" s="8">
        <v>4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74" t="str">
        <f t="array" ref="M469">_xlfn.TEXTJOIN("-", TRUE, IF(C469:L469&gt;0, $C$2:$L$2, ""))</f>
        <v xml:space="preserve"> Ti-Al-Mo-V</v>
      </c>
      <c r="N469" s="90">
        <f t="shared" si="14"/>
        <v>469</v>
      </c>
      <c r="O469" s="91">
        <f t="shared" si="15"/>
        <v>4</v>
      </c>
      <c r="P469" s="8">
        <v>2</v>
      </c>
      <c r="Q469" s="8">
        <v>0</v>
      </c>
      <c r="R469" s="8">
        <v>0</v>
      </c>
      <c r="S469" s="8">
        <v>0</v>
      </c>
      <c r="T469" s="8">
        <v>800</v>
      </c>
      <c r="U469" s="8">
        <v>1</v>
      </c>
      <c r="V469" s="8">
        <v>1</v>
      </c>
      <c r="W469" s="8">
        <v>550</v>
      </c>
      <c r="X469" s="8">
        <v>6</v>
      </c>
      <c r="Y469" s="8">
        <v>2</v>
      </c>
      <c r="Z469" s="6"/>
      <c r="AA469" s="6"/>
      <c r="AB469" s="8">
        <v>1032</v>
      </c>
      <c r="AC469" s="6"/>
      <c r="AD469" s="8">
        <v>18.440000000000001</v>
      </c>
      <c r="AE469" s="6"/>
      <c r="AF469" s="6"/>
      <c r="AG469" s="6"/>
      <c r="AH469" s="6"/>
      <c r="AI469" s="6"/>
      <c r="AJ469" s="6"/>
      <c r="AK469" s="6"/>
      <c r="AL469" s="6"/>
      <c r="AM469" s="6"/>
      <c r="AN469" s="6" t="s">
        <v>111</v>
      </c>
      <c r="AO469" s="104" t="s">
        <v>112</v>
      </c>
      <c r="AP469" s="6">
        <v>9</v>
      </c>
      <c r="AQ469" s="7" t="s">
        <v>54</v>
      </c>
      <c r="AR469" s="7">
        <v>72</v>
      </c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</row>
    <row r="470" spans="1:61" ht="16.5">
      <c r="A470" s="7">
        <v>73</v>
      </c>
      <c r="B470" s="6"/>
      <c r="C470" s="8">
        <v>86</v>
      </c>
      <c r="D470" s="8">
        <v>6</v>
      </c>
      <c r="E470" s="8">
        <v>0</v>
      </c>
      <c r="F470" s="8">
        <v>4</v>
      </c>
      <c r="G470" s="8">
        <v>4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74" t="str">
        <f t="array" ref="M470">_xlfn.TEXTJOIN("-", TRUE, IF(C470:L470&gt;0, $C$2:$L$2, ""))</f>
        <v xml:space="preserve"> Ti-Al-Mo-V</v>
      </c>
      <c r="N470" s="90">
        <f t="shared" si="14"/>
        <v>469</v>
      </c>
      <c r="O470" s="91">
        <f t="shared" si="15"/>
        <v>4</v>
      </c>
      <c r="P470" s="8">
        <v>2</v>
      </c>
      <c r="Q470" s="8">
        <v>0</v>
      </c>
      <c r="R470" s="8">
        <v>0</v>
      </c>
      <c r="S470" s="8">
        <v>0</v>
      </c>
      <c r="T470" s="8">
        <v>830</v>
      </c>
      <c r="U470" s="8">
        <v>1</v>
      </c>
      <c r="V470" s="8">
        <v>1</v>
      </c>
      <c r="W470" s="8">
        <v>550</v>
      </c>
      <c r="X470" s="8">
        <v>6</v>
      </c>
      <c r="Y470" s="8">
        <v>2</v>
      </c>
      <c r="Z470" s="6"/>
      <c r="AA470" s="6"/>
      <c r="AB470" s="8">
        <v>1084</v>
      </c>
      <c r="AC470" s="6"/>
      <c r="AD470" s="8">
        <v>15.76</v>
      </c>
      <c r="AE470" s="6"/>
      <c r="AF470" s="6"/>
      <c r="AG470" s="6"/>
      <c r="AH470" s="6"/>
      <c r="AI470" s="6"/>
      <c r="AJ470" s="6"/>
      <c r="AK470" s="6"/>
      <c r="AL470" s="6"/>
      <c r="AM470" s="6"/>
      <c r="AN470" s="6" t="s">
        <v>111</v>
      </c>
      <c r="AO470" s="6" t="s">
        <v>112</v>
      </c>
      <c r="AP470" s="6">
        <v>9</v>
      </c>
      <c r="AQ470" s="7" t="s">
        <v>54</v>
      </c>
      <c r="AR470" s="7">
        <v>73</v>
      </c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</row>
    <row r="471" spans="1:61" ht="16.5">
      <c r="A471" s="7">
        <v>74</v>
      </c>
      <c r="B471" s="6"/>
      <c r="C471" s="8">
        <v>86</v>
      </c>
      <c r="D471" s="8">
        <v>6</v>
      </c>
      <c r="E471" s="8">
        <v>0</v>
      </c>
      <c r="F471" s="8">
        <v>4</v>
      </c>
      <c r="G471" s="8">
        <v>4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74" t="str">
        <f t="array" ref="M471">_xlfn.TEXTJOIN("-", TRUE, IF(C471:L471&gt;0, $C$2:$L$2, ""))</f>
        <v xml:space="preserve"> Ti-Al-Mo-V</v>
      </c>
      <c r="N471" s="90">
        <f t="shared" si="14"/>
        <v>469</v>
      </c>
      <c r="O471" s="91">
        <f t="shared" si="15"/>
        <v>4</v>
      </c>
      <c r="P471" s="8">
        <v>2</v>
      </c>
      <c r="Q471" s="8">
        <v>0</v>
      </c>
      <c r="R471" s="8">
        <v>0</v>
      </c>
      <c r="S471" s="8">
        <v>0</v>
      </c>
      <c r="T471" s="8">
        <v>860</v>
      </c>
      <c r="U471" s="8">
        <v>1</v>
      </c>
      <c r="V471" s="8">
        <v>1</v>
      </c>
      <c r="W471" s="8">
        <v>550</v>
      </c>
      <c r="X471" s="8">
        <v>6</v>
      </c>
      <c r="Y471" s="8">
        <v>2</v>
      </c>
      <c r="Z471" s="6"/>
      <c r="AA471" s="6"/>
      <c r="AB471" s="8">
        <v>1124</v>
      </c>
      <c r="AC471" s="6"/>
      <c r="AD471" s="8">
        <v>14.54</v>
      </c>
      <c r="AE471" s="6"/>
      <c r="AF471" s="6"/>
      <c r="AG471" s="6"/>
      <c r="AH471" s="6"/>
      <c r="AI471" s="6"/>
      <c r="AJ471" s="6"/>
      <c r="AK471" s="6"/>
      <c r="AL471" s="6"/>
      <c r="AM471" s="6"/>
      <c r="AN471" s="6" t="s">
        <v>111</v>
      </c>
      <c r="AO471" s="6" t="s">
        <v>112</v>
      </c>
      <c r="AP471" s="6">
        <v>9</v>
      </c>
      <c r="AQ471" s="7" t="s">
        <v>54</v>
      </c>
      <c r="AR471" s="7">
        <v>74</v>
      </c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</row>
    <row r="472" spans="1:61" ht="16.5">
      <c r="A472" s="7">
        <v>75</v>
      </c>
      <c r="B472" s="6"/>
      <c r="C472" s="8">
        <v>86</v>
      </c>
      <c r="D472" s="8">
        <v>6</v>
      </c>
      <c r="E472" s="8">
        <v>0</v>
      </c>
      <c r="F472" s="8">
        <v>4</v>
      </c>
      <c r="G472" s="8">
        <v>4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74" t="str">
        <f t="array" ref="M472">_xlfn.TEXTJOIN("-", TRUE, IF(C472:L472&gt;0, $C$2:$L$2, ""))</f>
        <v xml:space="preserve"> Ti-Al-Mo-V</v>
      </c>
      <c r="N472" s="90">
        <f t="shared" si="14"/>
        <v>469</v>
      </c>
      <c r="O472" s="91">
        <f t="shared" si="15"/>
        <v>4</v>
      </c>
      <c r="P472" s="8">
        <v>2</v>
      </c>
      <c r="Q472" s="8">
        <v>0</v>
      </c>
      <c r="R472" s="8">
        <v>0</v>
      </c>
      <c r="S472" s="8">
        <v>0</v>
      </c>
      <c r="T472" s="8">
        <v>890</v>
      </c>
      <c r="U472" s="8">
        <v>1</v>
      </c>
      <c r="V472" s="8">
        <v>1</v>
      </c>
      <c r="W472" s="8">
        <v>550</v>
      </c>
      <c r="X472" s="8">
        <v>6</v>
      </c>
      <c r="Y472" s="8">
        <v>2</v>
      </c>
      <c r="Z472" s="6"/>
      <c r="AA472" s="6"/>
      <c r="AB472" s="8">
        <v>1225</v>
      </c>
      <c r="AC472" s="6"/>
      <c r="AD472" s="8">
        <v>5.12</v>
      </c>
      <c r="AE472" s="6"/>
      <c r="AF472" s="6"/>
      <c r="AG472" s="6"/>
      <c r="AH472" s="6"/>
      <c r="AI472" s="6"/>
      <c r="AJ472" s="6"/>
      <c r="AK472" s="6"/>
      <c r="AL472" s="6"/>
      <c r="AM472" s="6"/>
      <c r="AN472" s="6" t="s">
        <v>111</v>
      </c>
      <c r="AO472" s="6" t="s">
        <v>112</v>
      </c>
      <c r="AP472" s="6">
        <v>9</v>
      </c>
      <c r="AQ472" s="7" t="s">
        <v>54</v>
      </c>
      <c r="AR472" s="7">
        <v>75</v>
      </c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</row>
    <row r="473" spans="1:61" ht="16.5">
      <c r="A473" s="7">
        <v>76</v>
      </c>
      <c r="B473" s="6"/>
      <c r="C473" s="8">
        <v>86</v>
      </c>
      <c r="D473" s="8">
        <v>6</v>
      </c>
      <c r="E473" s="8">
        <v>0</v>
      </c>
      <c r="F473" s="8">
        <v>4</v>
      </c>
      <c r="G473" s="8">
        <v>4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74" t="str">
        <f t="array" ref="M473">_xlfn.TEXTJOIN("-", TRUE, IF(C473:L473&gt;0, $C$2:$L$2, ""))</f>
        <v xml:space="preserve"> Ti-Al-Mo-V</v>
      </c>
      <c r="N473" s="90">
        <f t="shared" si="14"/>
        <v>469</v>
      </c>
      <c r="O473" s="91">
        <f t="shared" si="15"/>
        <v>4</v>
      </c>
      <c r="P473" s="8">
        <v>2</v>
      </c>
      <c r="Q473" s="8">
        <v>0</v>
      </c>
      <c r="R473" s="8">
        <v>0</v>
      </c>
      <c r="S473" s="8">
        <v>0</v>
      </c>
      <c r="T473" s="8">
        <v>920</v>
      </c>
      <c r="U473" s="8">
        <v>1</v>
      </c>
      <c r="V473" s="8">
        <v>1</v>
      </c>
      <c r="W473" s="8">
        <v>550</v>
      </c>
      <c r="X473" s="8">
        <v>6</v>
      </c>
      <c r="Y473" s="8">
        <v>2</v>
      </c>
      <c r="Z473" s="6"/>
      <c r="AA473" s="6"/>
      <c r="AB473" s="8">
        <v>1285</v>
      </c>
      <c r="AC473" s="6"/>
      <c r="AD473" s="8">
        <v>3.12</v>
      </c>
      <c r="AE473" s="6"/>
      <c r="AF473" s="6"/>
      <c r="AG473" s="6"/>
      <c r="AH473" s="6"/>
      <c r="AI473" s="6"/>
      <c r="AJ473" s="6"/>
      <c r="AK473" s="6"/>
      <c r="AL473" s="6"/>
      <c r="AM473" s="6"/>
      <c r="AN473" s="6" t="s">
        <v>111</v>
      </c>
      <c r="AO473" s="6" t="s">
        <v>112</v>
      </c>
      <c r="AP473" s="6">
        <v>9</v>
      </c>
      <c r="AQ473" s="7" t="s">
        <v>54</v>
      </c>
      <c r="AR473" s="7">
        <v>76</v>
      </c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</row>
    <row r="474" spans="1:61" ht="16.5">
      <c r="A474" s="93">
        <v>80</v>
      </c>
      <c r="B474" s="93" t="s">
        <v>101</v>
      </c>
      <c r="C474" s="93">
        <v>89.86</v>
      </c>
      <c r="D474" s="93">
        <v>8.1</v>
      </c>
      <c r="E474" s="93">
        <v>0</v>
      </c>
      <c r="F474" s="93">
        <v>1.05</v>
      </c>
      <c r="G474" s="93">
        <v>0.99</v>
      </c>
      <c r="H474" s="93">
        <v>0</v>
      </c>
      <c r="I474" s="93">
        <v>0</v>
      </c>
      <c r="J474" s="93">
        <v>0</v>
      </c>
      <c r="K474" s="93">
        <v>0</v>
      </c>
      <c r="L474" s="93">
        <v>0</v>
      </c>
      <c r="M474" s="74" t="str">
        <f t="array" ref="M474">_xlfn.TEXTJOIN("-", TRUE, IF(C474:L474&gt;0, $C$2:$L$2, ""))</f>
        <v xml:space="preserve"> Ti-Al-Mo-V</v>
      </c>
      <c r="N474" s="90">
        <f t="shared" si="14"/>
        <v>469</v>
      </c>
      <c r="O474" s="91">
        <f t="shared" si="15"/>
        <v>4</v>
      </c>
      <c r="P474" s="93">
        <v>1</v>
      </c>
      <c r="Q474" s="93">
        <v>0</v>
      </c>
      <c r="R474" s="93">
        <v>0</v>
      </c>
      <c r="S474" s="93">
        <v>0</v>
      </c>
      <c r="T474" s="94">
        <v>915</v>
      </c>
      <c r="U474" s="94">
        <v>1</v>
      </c>
      <c r="V474" s="8" t="s">
        <v>273</v>
      </c>
      <c r="W474" s="94">
        <v>580</v>
      </c>
      <c r="X474" s="94">
        <v>8</v>
      </c>
      <c r="Y474" s="103">
        <v>2</v>
      </c>
      <c r="Z474" s="9" t="s">
        <v>102</v>
      </c>
      <c r="AA474" s="9" t="s">
        <v>102</v>
      </c>
      <c r="AB474" s="93">
        <v>969</v>
      </c>
      <c r="AC474" s="93">
        <v>953.5</v>
      </c>
      <c r="AD474" s="93">
        <v>18</v>
      </c>
      <c r="AE474" s="9" t="s">
        <v>101</v>
      </c>
      <c r="AF474" s="9" t="s">
        <v>102</v>
      </c>
      <c r="AG474" s="9" t="s">
        <v>102</v>
      </c>
      <c r="AH474" s="9" t="s">
        <v>102</v>
      </c>
      <c r="AI474" s="9" t="s">
        <v>102</v>
      </c>
      <c r="AJ474" s="9" t="s">
        <v>102</v>
      </c>
      <c r="AK474" s="9" t="s">
        <v>102</v>
      </c>
      <c r="AL474" s="9" t="s">
        <v>102</v>
      </c>
      <c r="AN474" s="12" t="s">
        <v>101</v>
      </c>
      <c r="AO474" s="12" t="s">
        <v>103</v>
      </c>
      <c r="AP474" s="94">
        <v>80</v>
      </c>
      <c r="AQ474" s="94" t="s">
        <v>100</v>
      </c>
      <c r="AR474" s="93">
        <v>80</v>
      </c>
    </row>
    <row r="475" spans="1:61" ht="16.5">
      <c r="A475" s="93">
        <v>81</v>
      </c>
      <c r="B475" s="93" t="s">
        <v>101</v>
      </c>
      <c r="C475" s="93">
        <v>89.86</v>
      </c>
      <c r="D475" s="93">
        <v>8.1</v>
      </c>
      <c r="E475" s="93">
        <v>0</v>
      </c>
      <c r="F475" s="93">
        <v>1.05</v>
      </c>
      <c r="G475" s="93">
        <v>0.99</v>
      </c>
      <c r="H475" s="93">
        <v>0</v>
      </c>
      <c r="I475" s="93">
        <v>0</v>
      </c>
      <c r="J475" s="93">
        <v>0</v>
      </c>
      <c r="K475" s="93">
        <v>0</v>
      </c>
      <c r="L475" s="93">
        <v>0</v>
      </c>
      <c r="M475" s="74" t="str">
        <f t="array" ref="M475">_xlfn.TEXTJOIN("-", TRUE, IF(C475:L475&gt;0, $C$2:$L$2, ""))</f>
        <v xml:space="preserve"> Ti-Al-Mo-V</v>
      </c>
      <c r="N475" s="90">
        <f t="shared" si="14"/>
        <v>469</v>
      </c>
      <c r="O475" s="91">
        <f t="shared" si="15"/>
        <v>4</v>
      </c>
      <c r="P475" s="93">
        <v>1</v>
      </c>
      <c r="Q475" s="93">
        <v>0</v>
      </c>
      <c r="R475" s="93">
        <v>0</v>
      </c>
      <c r="S475" s="93">
        <v>0</v>
      </c>
      <c r="T475" s="94">
        <v>915</v>
      </c>
      <c r="U475" s="94">
        <v>1</v>
      </c>
      <c r="V475" s="8">
        <v>1</v>
      </c>
      <c r="W475" s="94">
        <v>580</v>
      </c>
      <c r="X475" s="94">
        <v>8</v>
      </c>
      <c r="Y475" s="103">
        <v>2</v>
      </c>
      <c r="Z475" s="9" t="s">
        <v>102</v>
      </c>
      <c r="AA475" s="9" t="s">
        <v>102</v>
      </c>
      <c r="AB475" s="93">
        <v>971</v>
      </c>
      <c r="AC475" s="93">
        <v>926.5</v>
      </c>
      <c r="AD475" s="93">
        <v>16.8</v>
      </c>
      <c r="AE475" s="9" t="s">
        <v>101</v>
      </c>
      <c r="AF475" s="9" t="s">
        <v>102</v>
      </c>
      <c r="AG475" s="9" t="s">
        <v>102</v>
      </c>
      <c r="AH475" s="9" t="s">
        <v>102</v>
      </c>
      <c r="AI475" s="9" t="s">
        <v>102</v>
      </c>
      <c r="AJ475" s="9" t="s">
        <v>102</v>
      </c>
      <c r="AK475" s="9" t="s">
        <v>102</v>
      </c>
      <c r="AL475" s="9" t="s">
        <v>102</v>
      </c>
      <c r="AN475" s="12" t="s">
        <v>101</v>
      </c>
      <c r="AO475" s="12" t="s">
        <v>103</v>
      </c>
      <c r="AP475" s="94">
        <v>81</v>
      </c>
      <c r="AQ475" s="94" t="s">
        <v>100</v>
      </c>
      <c r="AR475" s="93">
        <v>81</v>
      </c>
    </row>
    <row r="476" spans="1:61" ht="16.5">
      <c r="A476" s="93">
        <v>82</v>
      </c>
      <c r="B476" s="93" t="s">
        <v>101</v>
      </c>
      <c r="C476" s="93">
        <v>89.86</v>
      </c>
      <c r="D476" s="93">
        <v>8.1</v>
      </c>
      <c r="E476" s="93">
        <v>0</v>
      </c>
      <c r="F476" s="93">
        <v>1.05</v>
      </c>
      <c r="G476" s="93">
        <v>0.99</v>
      </c>
      <c r="H476" s="93">
        <v>0</v>
      </c>
      <c r="I476" s="93">
        <v>0</v>
      </c>
      <c r="J476" s="93">
        <v>0</v>
      </c>
      <c r="K476" s="93">
        <v>0</v>
      </c>
      <c r="L476" s="93">
        <v>0</v>
      </c>
      <c r="M476" s="74" t="str">
        <f t="array" ref="M476">_xlfn.TEXTJOIN("-", TRUE, IF(C476:L476&gt;0, $C$2:$L$2, ""))</f>
        <v xml:space="preserve"> Ti-Al-Mo-V</v>
      </c>
      <c r="N476" s="90">
        <f t="shared" si="14"/>
        <v>469</v>
      </c>
      <c r="O476" s="91">
        <f t="shared" si="15"/>
        <v>4</v>
      </c>
      <c r="P476" s="93">
        <v>1</v>
      </c>
      <c r="Q476" s="93">
        <v>0</v>
      </c>
      <c r="R476" s="93">
        <v>0</v>
      </c>
      <c r="S476" s="93">
        <v>0</v>
      </c>
      <c r="T476" s="94">
        <v>960</v>
      </c>
      <c r="U476" s="94">
        <v>1</v>
      </c>
      <c r="V476" s="8">
        <v>2</v>
      </c>
      <c r="W476" s="94">
        <v>580</v>
      </c>
      <c r="X476" s="94">
        <v>8</v>
      </c>
      <c r="Y476" s="103">
        <v>2</v>
      </c>
      <c r="Z476" s="9" t="s">
        <v>102</v>
      </c>
      <c r="AA476" s="9" t="s">
        <v>102</v>
      </c>
      <c r="AB476" s="93">
        <v>928.5</v>
      </c>
      <c r="AC476" s="93">
        <v>908.5</v>
      </c>
      <c r="AD476" s="93">
        <v>16.8</v>
      </c>
      <c r="AE476" s="9" t="s">
        <v>101</v>
      </c>
      <c r="AF476" s="9" t="s">
        <v>102</v>
      </c>
      <c r="AG476" s="9" t="s">
        <v>102</v>
      </c>
      <c r="AH476" s="9" t="s">
        <v>102</v>
      </c>
      <c r="AI476" s="9" t="s">
        <v>102</v>
      </c>
      <c r="AJ476" s="9" t="s">
        <v>102</v>
      </c>
      <c r="AK476" s="9" t="s">
        <v>102</v>
      </c>
      <c r="AL476" s="9" t="s">
        <v>102</v>
      </c>
      <c r="AN476" s="12" t="s">
        <v>101</v>
      </c>
      <c r="AO476" s="12" t="s">
        <v>103</v>
      </c>
      <c r="AP476" s="94">
        <v>82</v>
      </c>
      <c r="AQ476" s="94" t="s">
        <v>100</v>
      </c>
      <c r="AR476" s="93">
        <v>82</v>
      </c>
    </row>
    <row r="477" spans="1:61" ht="16.5">
      <c r="A477" s="93">
        <v>83</v>
      </c>
      <c r="B477" s="93" t="s">
        <v>101</v>
      </c>
      <c r="C477" s="93">
        <v>89.86</v>
      </c>
      <c r="D477" s="93">
        <v>8.1</v>
      </c>
      <c r="E477" s="93">
        <v>0</v>
      </c>
      <c r="F477" s="93">
        <v>1.05</v>
      </c>
      <c r="G477" s="93">
        <v>0.99</v>
      </c>
      <c r="H477" s="93">
        <v>0</v>
      </c>
      <c r="I477" s="93">
        <v>0</v>
      </c>
      <c r="J477" s="93">
        <v>0</v>
      </c>
      <c r="K477" s="93">
        <v>0</v>
      </c>
      <c r="L477" s="93">
        <v>0</v>
      </c>
      <c r="M477" s="74" t="str">
        <f t="array" ref="M477">_xlfn.TEXTJOIN("-", TRUE, IF(C477:L477&gt;0, $C$2:$L$2, ""))</f>
        <v xml:space="preserve"> Ti-Al-Mo-V</v>
      </c>
      <c r="N477" s="90">
        <f t="shared" si="14"/>
        <v>469</v>
      </c>
      <c r="O477" s="91">
        <f t="shared" si="15"/>
        <v>4</v>
      </c>
      <c r="P477" s="93">
        <v>1</v>
      </c>
      <c r="Q477" s="93">
        <v>0</v>
      </c>
      <c r="R477" s="93">
        <v>0</v>
      </c>
      <c r="S477" s="93">
        <v>0</v>
      </c>
      <c r="T477" s="94">
        <v>960</v>
      </c>
      <c r="U477" s="94">
        <v>1</v>
      </c>
      <c r="V477" s="8" t="s">
        <v>273</v>
      </c>
      <c r="W477" s="94">
        <v>580</v>
      </c>
      <c r="X477" s="94">
        <v>8</v>
      </c>
      <c r="Y477" s="103">
        <v>2</v>
      </c>
      <c r="Z477" s="9" t="s">
        <v>102</v>
      </c>
      <c r="AA477" s="9" t="s">
        <v>102</v>
      </c>
      <c r="AB477" s="93">
        <v>964</v>
      </c>
      <c r="AC477" s="93">
        <v>931.5</v>
      </c>
      <c r="AD477" s="93">
        <v>15</v>
      </c>
      <c r="AE477" s="9" t="s">
        <v>101</v>
      </c>
      <c r="AF477" s="9" t="s">
        <v>102</v>
      </c>
      <c r="AG477" s="9" t="s">
        <v>102</v>
      </c>
      <c r="AH477" s="9" t="s">
        <v>102</v>
      </c>
      <c r="AI477" s="9" t="s">
        <v>102</v>
      </c>
      <c r="AJ477" s="9" t="s">
        <v>102</v>
      </c>
      <c r="AK477" s="9" t="s">
        <v>102</v>
      </c>
      <c r="AL477" s="9" t="s">
        <v>102</v>
      </c>
      <c r="AN477" s="12" t="s">
        <v>101</v>
      </c>
      <c r="AO477" s="12" t="s">
        <v>103</v>
      </c>
      <c r="AP477" s="94">
        <v>83</v>
      </c>
      <c r="AQ477" s="94" t="s">
        <v>100</v>
      </c>
      <c r="AR477" s="93">
        <v>83</v>
      </c>
    </row>
    <row r="478" spans="1:61" ht="16.5">
      <c r="A478" s="93">
        <v>84</v>
      </c>
      <c r="B478" s="93" t="s">
        <v>101</v>
      </c>
      <c r="C478" s="93">
        <v>89.86</v>
      </c>
      <c r="D478" s="93">
        <v>8.1</v>
      </c>
      <c r="E478" s="93">
        <v>0</v>
      </c>
      <c r="F478" s="93">
        <v>1.05</v>
      </c>
      <c r="G478" s="93">
        <v>0.99</v>
      </c>
      <c r="H478" s="93">
        <v>0</v>
      </c>
      <c r="I478" s="93">
        <v>0</v>
      </c>
      <c r="J478" s="93">
        <v>0</v>
      </c>
      <c r="K478" s="93">
        <v>0</v>
      </c>
      <c r="L478" s="93">
        <v>0</v>
      </c>
      <c r="M478" s="74" t="str">
        <f t="array" ref="M478">_xlfn.TEXTJOIN("-", TRUE, IF(C478:L478&gt;0, $C$2:$L$2, ""))</f>
        <v xml:space="preserve"> Ti-Al-Mo-V</v>
      </c>
      <c r="N478" s="90">
        <f t="shared" si="14"/>
        <v>469</v>
      </c>
      <c r="O478" s="91">
        <f t="shared" si="15"/>
        <v>4</v>
      </c>
      <c r="P478" s="93">
        <v>1</v>
      </c>
      <c r="Q478" s="93">
        <v>0</v>
      </c>
      <c r="R478" s="93">
        <v>0</v>
      </c>
      <c r="S478" s="93">
        <v>0</v>
      </c>
      <c r="T478" s="94">
        <v>1010</v>
      </c>
      <c r="U478" s="94">
        <v>1</v>
      </c>
      <c r="V478" s="8" t="s">
        <v>273</v>
      </c>
      <c r="W478" s="94">
        <v>580</v>
      </c>
      <c r="X478" s="94">
        <v>8</v>
      </c>
      <c r="Y478" s="103">
        <v>2</v>
      </c>
      <c r="Z478" s="9" t="s">
        <v>102</v>
      </c>
      <c r="AA478" s="9" t="s">
        <v>102</v>
      </c>
      <c r="AB478" s="93">
        <v>989.5</v>
      </c>
      <c r="AC478" s="93">
        <v>937.5</v>
      </c>
      <c r="AD478" s="93">
        <v>15.3</v>
      </c>
      <c r="AE478" s="9" t="s">
        <v>101</v>
      </c>
      <c r="AF478" s="9" t="s">
        <v>102</v>
      </c>
      <c r="AG478" s="9" t="s">
        <v>102</v>
      </c>
      <c r="AH478" s="9" t="s">
        <v>102</v>
      </c>
      <c r="AI478" s="9" t="s">
        <v>102</v>
      </c>
      <c r="AJ478" s="9" t="s">
        <v>102</v>
      </c>
      <c r="AK478" s="9" t="s">
        <v>102</v>
      </c>
      <c r="AL478" s="9" t="s">
        <v>102</v>
      </c>
      <c r="AN478" s="12" t="s">
        <v>101</v>
      </c>
      <c r="AO478" s="12" t="s">
        <v>103</v>
      </c>
      <c r="AP478" s="94">
        <v>84</v>
      </c>
      <c r="AQ478" s="94" t="s">
        <v>100</v>
      </c>
      <c r="AR478" s="93">
        <v>84</v>
      </c>
    </row>
    <row r="479" spans="1:61" ht="16.5">
      <c r="A479" s="93">
        <v>85</v>
      </c>
      <c r="B479" s="93" t="s">
        <v>101</v>
      </c>
      <c r="C479" s="93">
        <v>89.86</v>
      </c>
      <c r="D479" s="93">
        <v>8.1</v>
      </c>
      <c r="E479" s="93">
        <v>0</v>
      </c>
      <c r="F479" s="93">
        <v>1.05</v>
      </c>
      <c r="G479" s="93">
        <v>0.99</v>
      </c>
      <c r="H479" s="93">
        <v>0</v>
      </c>
      <c r="I479" s="93">
        <v>0</v>
      </c>
      <c r="J479" s="93">
        <v>0</v>
      </c>
      <c r="K479" s="93">
        <v>0</v>
      </c>
      <c r="L479" s="93">
        <v>0</v>
      </c>
      <c r="M479" s="74" t="str">
        <f t="array" ref="M479">_xlfn.TEXTJOIN("-", TRUE, IF(C479:L479&gt;0, $C$2:$L$2, ""))</f>
        <v xml:space="preserve"> Ti-Al-Mo-V</v>
      </c>
      <c r="N479" s="90">
        <f t="shared" si="14"/>
        <v>469</v>
      </c>
      <c r="O479" s="91">
        <f t="shared" si="15"/>
        <v>4</v>
      </c>
      <c r="P479" s="93">
        <v>1</v>
      </c>
      <c r="Q479" s="93">
        <v>0</v>
      </c>
      <c r="R479" s="93">
        <v>0</v>
      </c>
      <c r="S479" s="93">
        <v>0</v>
      </c>
      <c r="T479" s="94">
        <v>915</v>
      </c>
      <c r="U479" s="94">
        <v>1</v>
      </c>
      <c r="V479" s="8">
        <v>2</v>
      </c>
      <c r="W479" s="94">
        <v>550</v>
      </c>
      <c r="X479" s="94">
        <v>8</v>
      </c>
      <c r="Y479" s="103">
        <v>2</v>
      </c>
      <c r="Z479" s="9" t="s">
        <v>102</v>
      </c>
      <c r="AA479" s="9" t="s">
        <v>102</v>
      </c>
      <c r="AB479" s="93">
        <v>938.5</v>
      </c>
      <c r="AC479" s="93">
        <v>907.5</v>
      </c>
      <c r="AD479" s="93">
        <v>16.5</v>
      </c>
      <c r="AE479" s="9" t="s">
        <v>101</v>
      </c>
      <c r="AF479" s="9" t="s">
        <v>102</v>
      </c>
      <c r="AG479" s="9" t="s">
        <v>102</v>
      </c>
      <c r="AH479" s="9" t="s">
        <v>102</v>
      </c>
      <c r="AI479" s="9" t="s">
        <v>102</v>
      </c>
      <c r="AJ479" s="9" t="s">
        <v>102</v>
      </c>
      <c r="AK479" s="9" t="s">
        <v>102</v>
      </c>
      <c r="AL479" s="9" t="s">
        <v>102</v>
      </c>
      <c r="AN479" s="12" t="s">
        <v>101</v>
      </c>
      <c r="AO479" s="12" t="s">
        <v>103</v>
      </c>
      <c r="AP479" s="94">
        <v>85</v>
      </c>
      <c r="AQ479" s="94" t="s">
        <v>100</v>
      </c>
      <c r="AR479" s="93">
        <v>85</v>
      </c>
    </row>
    <row r="480" spans="1:61" ht="16.5">
      <c r="A480" s="93">
        <v>86</v>
      </c>
      <c r="B480" s="93" t="s">
        <v>101</v>
      </c>
      <c r="C480" s="93">
        <v>89.86</v>
      </c>
      <c r="D480" s="93">
        <v>8.1</v>
      </c>
      <c r="E480" s="93">
        <v>0</v>
      </c>
      <c r="F480" s="93">
        <v>1.05</v>
      </c>
      <c r="G480" s="93">
        <v>0.99</v>
      </c>
      <c r="H480" s="93">
        <v>0</v>
      </c>
      <c r="I480" s="93">
        <v>0</v>
      </c>
      <c r="J480" s="93">
        <v>0</v>
      </c>
      <c r="K480" s="93">
        <v>0</v>
      </c>
      <c r="L480" s="93">
        <v>0</v>
      </c>
      <c r="M480" s="74" t="str">
        <f t="array" ref="M480">_xlfn.TEXTJOIN("-", TRUE, IF(C480:L480&gt;0, $C$2:$L$2, ""))</f>
        <v xml:space="preserve"> Ti-Al-Mo-V</v>
      </c>
      <c r="N480" s="90">
        <f t="shared" si="14"/>
        <v>469</v>
      </c>
      <c r="O480" s="91">
        <f t="shared" si="15"/>
        <v>4</v>
      </c>
      <c r="P480" s="93">
        <v>1</v>
      </c>
      <c r="Q480" s="93">
        <v>0</v>
      </c>
      <c r="R480" s="93">
        <v>0</v>
      </c>
      <c r="S480" s="93">
        <v>0</v>
      </c>
      <c r="T480" s="94">
        <v>960</v>
      </c>
      <c r="U480" s="94">
        <v>1</v>
      </c>
      <c r="V480" s="8">
        <v>1</v>
      </c>
      <c r="W480" s="94">
        <v>580</v>
      </c>
      <c r="X480" s="94">
        <v>8</v>
      </c>
      <c r="Y480" s="103">
        <v>2</v>
      </c>
      <c r="Z480" s="9" t="s">
        <v>102</v>
      </c>
      <c r="AA480" s="9" t="s">
        <v>102</v>
      </c>
      <c r="AB480" s="93">
        <v>1017.5</v>
      </c>
      <c r="AC480" s="93">
        <v>966</v>
      </c>
      <c r="AD480" s="93">
        <v>15.3</v>
      </c>
      <c r="AE480" s="9" t="s">
        <v>101</v>
      </c>
      <c r="AF480" s="9" t="s">
        <v>102</v>
      </c>
      <c r="AG480" s="9" t="s">
        <v>102</v>
      </c>
      <c r="AH480" s="9" t="s">
        <v>102</v>
      </c>
      <c r="AI480" s="9" t="s">
        <v>102</v>
      </c>
      <c r="AJ480" s="9" t="s">
        <v>102</v>
      </c>
      <c r="AK480" s="9" t="s">
        <v>102</v>
      </c>
      <c r="AL480" s="9" t="s">
        <v>102</v>
      </c>
      <c r="AN480" s="12" t="s">
        <v>101</v>
      </c>
      <c r="AO480" s="12" t="s">
        <v>103</v>
      </c>
      <c r="AP480" s="94">
        <v>86</v>
      </c>
      <c r="AQ480" s="94" t="s">
        <v>100</v>
      </c>
      <c r="AR480" s="93">
        <v>86</v>
      </c>
    </row>
    <row r="481" spans="1:44" ht="16.5">
      <c r="A481" s="93">
        <v>87</v>
      </c>
      <c r="B481" s="93" t="s">
        <v>101</v>
      </c>
      <c r="C481" s="93">
        <v>89.86</v>
      </c>
      <c r="D481" s="93">
        <v>8.1</v>
      </c>
      <c r="E481" s="93">
        <v>0</v>
      </c>
      <c r="F481" s="93">
        <v>1.05</v>
      </c>
      <c r="G481" s="93">
        <v>0.99</v>
      </c>
      <c r="H481" s="93">
        <v>0</v>
      </c>
      <c r="I481" s="93">
        <v>0</v>
      </c>
      <c r="J481" s="93">
        <v>0</v>
      </c>
      <c r="K481" s="93">
        <v>0</v>
      </c>
      <c r="L481" s="93">
        <v>0</v>
      </c>
      <c r="M481" s="74" t="str">
        <f t="array" ref="M481">_xlfn.TEXTJOIN("-", TRUE, IF(C481:L481&gt;0, $C$2:$L$2, ""))</f>
        <v xml:space="preserve"> Ti-Al-Mo-V</v>
      </c>
      <c r="N481" s="90">
        <f t="shared" si="14"/>
        <v>469</v>
      </c>
      <c r="O481" s="91">
        <f t="shared" si="15"/>
        <v>4</v>
      </c>
      <c r="P481" s="93">
        <v>1</v>
      </c>
      <c r="Q481" s="93">
        <v>0</v>
      </c>
      <c r="R481" s="93">
        <v>0</v>
      </c>
      <c r="S481" s="93">
        <v>0</v>
      </c>
      <c r="T481" s="94">
        <v>960</v>
      </c>
      <c r="U481" s="94">
        <v>1</v>
      </c>
      <c r="V481" s="8">
        <v>2</v>
      </c>
      <c r="W481" s="94">
        <v>550</v>
      </c>
      <c r="X481" s="94">
        <v>8</v>
      </c>
      <c r="Y481" s="103">
        <v>2</v>
      </c>
      <c r="Z481" s="9" t="s">
        <v>102</v>
      </c>
      <c r="AA481" s="9" t="s">
        <v>102</v>
      </c>
      <c r="AB481" s="93">
        <v>919.5</v>
      </c>
      <c r="AC481" s="93">
        <v>893.5</v>
      </c>
      <c r="AD481" s="93">
        <v>16.5</v>
      </c>
      <c r="AE481" s="9" t="s">
        <v>101</v>
      </c>
      <c r="AF481" s="9" t="s">
        <v>102</v>
      </c>
      <c r="AG481" s="9" t="s">
        <v>102</v>
      </c>
      <c r="AH481" s="9" t="s">
        <v>102</v>
      </c>
      <c r="AI481" s="9" t="s">
        <v>102</v>
      </c>
      <c r="AJ481" s="9" t="s">
        <v>102</v>
      </c>
      <c r="AK481" s="9" t="s">
        <v>102</v>
      </c>
      <c r="AL481" s="9" t="s">
        <v>102</v>
      </c>
      <c r="AN481" s="12" t="s">
        <v>101</v>
      </c>
      <c r="AO481" s="12" t="s">
        <v>103</v>
      </c>
      <c r="AP481" s="94">
        <v>87</v>
      </c>
      <c r="AQ481" s="94" t="s">
        <v>100</v>
      </c>
      <c r="AR481" s="93">
        <v>87</v>
      </c>
    </row>
    <row r="482" spans="1:44" ht="16.5">
      <c r="A482" s="93">
        <v>88</v>
      </c>
      <c r="B482" s="93" t="s">
        <v>101</v>
      </c>
      <c r="C482" s="93">
        <v>89.86</v>
      </c>
      <c r="D482" s="93">
        <v>8.1</v>
      </c>
      <c r="E482" s="93">
        <v>0</v>
      </c>
      <c r="F482" s="93">
        <v>1.05</v>
      </c>
      <c r="G482" s="93">
        <v>0.99</v>
      </c>
      <c r="H482" s="93">
        <v>0</v>
      </c>
      <c r="I482" s="93">
        <v>0</v>
      </c>
      <c r="J482" s="93">
        <v>0</v>
      </c>
      <c r="K482" s="93">
        <v>0</v>
      </c>
      <c r="L482" s="93">
        <v>0</v>
      </c>
      <c r="M482" s="74" t="str">
        <f t="array" ref="M482">_xlfn.TEXTJOIN("-", TRUE, IF(C482:L482&gt;0, $C$2:$L$2, ""))</f>
        <v xml:space="preserve"> Ti-Al-Mo-V</v>
      </c>
      <c r="N482" s="90">
        <f t="shared" si="14"/>
        <v>469</v>
      </c>
      <c r="O482" s="91">
        <f t="shared" si="15"/>
        <v>4</v>
      </c>
      <c r="P482" s="93">
        <v>1</v>
      </c>
      <c r="Q482" s="93">
        <v>0</v>
      </c>
      <c r="R482" s="93">
        <v>0</v>
      </c>
      <c r="S482" s="93">
        <v>0</v>
      </c>
      <c r="T482" s="94">
        <v>960</v>
      </c>
      <c r="U482" s="94">
        <v>1</v>
      </c>
      <c r="V482" s="8">
        <v>2</v>
      </c>
      <c r="W482" s="94">
        <v>620</v>
      </c>
      <c r="X482" s="94">
        <v>8</v>
      </c>
      <c r="Y482" s="103">
        <v>2</v>
      </c>
      <c r="Z482" s="9" t="s">
        <v>102</v>
      </c>
      <c r="AA482" s="9" t="s">
        <v>102</v>
      </c>
      <c r="AB482" s="93">
        <v>929</v>
      </c>
      <c r="AC482" s="93">
        <v>914</v>
      </c>
      <c r="AD482" s="93">
        <v>16.3</v>
      </c>
      <c r="AE482" s="9" t="s">
        <v>101</v>
      </c>
      <c r="AF482" s="9" t="s">
        <v>102</v>
      </c>
      <c r="AG482" s="9" t="s">
        <v>102</v>
      </c>
      <c r="AH482" s="9" t="s">
        <v>102</v>
      </c>
      <c r="AI482" s="9" t="s">
        <v>102</v>
      </c>
      <c r="AJ482" s="9" t="s">
        <v>102</v>
      </c>
      <c r="AK482" s="9" t="s">
        <v>102</v>
      </c>
      <c r="AL482" s="9" t="s">
        <v>102</v>
      </c>
      <c r="AN482" s="12" t="s">
        <v>101</v>
      </c>
      <c r="AO482" s="12" t="s">
        <v>103</v>
      </c>
      <c r="AP482" s="94">
        <v>88</v>
      </c>
      <c r="AQ482" s="94" t="s">
        <v>100</v>
      </c>
      <c r="AR482" s="93">
        <v>88</v>
      </c>
    </row>
    <row r="483" spans="1:44" ht="16.5">
      <c r="A483" s="93">
        <v>89</v>
      </c>
      <c r="B483" s="93" t="s">
        <v>101</v>
      </c>
      <c r="C483" s="93">
        <v>89.86</v>
      </c>
      <c r="D483" s="93">
        <v>8.1</v>
      </c>
      <c r="E483" s="93">
        <v>0</v>
      </c>
      <c r="F483" s="93">
        <v>1.05</v>
      </c>
      <c r="G483" s="93">
        <v>0.99</v>
      </c>
      <c r="H483" s="93">
        <v>0</v>
      </c>
      <c r="I483" s="93">
        <v>0</v>
      </c>
      <c r="J483" s="93">
        <v>0</v>
      </c>
      <c r="K483" s="93">
        <v>0</v>
      </c>
      <c r="L483" s="93">
        <v>0</v>
      </c>
      <c r="M483" s="74" t="str">
        <f t="array" ref="M483">_xlfn.TEXTJOIN("-", TRUE, IF(C483:L483&gt;0, $C$2:$L$2, ""))</f>
        <v xml:space="preserve"> Ti-Al-Mo-V</v>
      </c>
      <c r="N483" s="90">
        <f t="shared" si="14"/>
        <v>469</v>
      </c>
      <c r="O483" s="91">
        <f t="shared" si="15"/>
        <v>4</v>
      </c>
      <c r="P483" s="93">
        <v>1</v>
      </c>
      <c r="Q483" s="93">
        <v>0</v>
      </c>
      <c r="R483" s="93">
        <v>0</v>
      </c>
      <c r="S483" s="93">
        <v>0</v>
      </c>
      <c r="T483" s="94">
        <v>1010</v>
      </c>
      <c r="U483" s="94">
        <v>1</v>
      </c>
      <c r="V483" s="8">
        <v>1</v>
      </c>
      <c r="W483" s="94">
        <v>580</v>
      </c>
      <c r="X483" s="94">
        <v>8</v>
      </c>
      <c r="Y483" s="103">
        <v>2</v>
      </c>
      <c r="Z483" s="9" t="s">
        <v>102</v>
      </c>
      <c r="AA483" s="9" t="s">
        <v>102</v>
      </c>
      <c r="AB483" s="93">
        <v>1028.5</v>
      </c>
      <c r="AC483" s="93">
        <v>968.5</v>
      </c>
      <c r="AD483" s="93">
        <v>16.8</v>
      </c>
      <c r="AE483" s="9" t="s">
        <v>101</v>
      </c>
      <c r="AF483" s="9" t="s">
        <v>102</v>
      </c>
      <c r="AG483" s="9" t="s">
        <v>102</v>
      </c>
      <c r="AH483" s="9" t="s">
        <v>102</v>
      </c>
      <c r="AI483" s="9" t="s">
        <v>102</v>
      </c>
      <c r="AJ483" s="9" t="s">
        <v>102</v>
      </c>
      <c r="AK483" s="9" t="s">
        <v>102</v>
      </c>
      <c r="AL483" s="9" t="s">
        <v>102</v>
      </c>
      <c r="AN483" s="12" t="s">
        <v>101</v>
      </c>
      <c r="AO483" s="12" t="s">
        <v>103</v>
      </c>
      <c r="AP483" s="94">
        <v>89</v>
      </c>
      <c r="AQ483" s="94" t="s">
        <v>100</v>
      </c>
      <c r="AR483" s="93">
        <v>89</v>
      </c>
    </row>
    <row r="484" spans="1:44" ht="16.5">
      <c r="A484" s="105">
        <v>90</v>
      </c>
      <c r="B484" s="21" t="s">
        <v>101</v>
      </c>
      <c r="C484" s="21">
        <v>89.86</v>
      </c>
      <c r="D484" s="21">
        <v>8.1</v>
      </c>
      <c r="E484" s="21">
        <v>0</v>
      </c>
      <c r="F484" s="21">
        <v>1.05</v>
      </c>
      <c r="G484" s="21">
        <v>0.99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74" t="str">
        <f t="array" ref="M484">_xlfn.TEXTJOIN("-", TRUE, IF(C484:L484&gt;0, $C$2:$L$2, ""))</f>
        <v xml:space="preserve"> Ti-Al-Mo-V</v>
      </c>
      <c r="N484" s="90">
        <f t="shared" si="14"/>
        <v>469</v>
      </c>
      <c r="O484" s="91">
        <f t="shared" si="15"/>
        <v>4</v>
      </c>
      <c r="P484" s="21">
        <v>1</v>
      </c>
      <c r="Q484" s="21">
        <v>0</v>
      </c>
      <c r="R484" s="21">
        <v>0</v>
      </c>
      <c r="S484" s="21">
        <v>0</v>
      </c>
      <c r="T484" s="22">
        <v>1010</v>
      </c>
      <c r="U484" s="22">
        <v>1</v>
      </c>
      <c r="V484" s="106">
        <v>2</v>
      </c>
      <c r="W484" s="22">
        <v>550</v>
      </c>
      <c r="X484" s="22">
        <v>8</v>
      </c>
      <c r="Y484" s="107">
        <v>2</v>
      </c>
      <c r="Z484" s="23" t="s">
        <v>102</v>
      </c>
      <c r="AA484" s="23" t="s">
        <v>102</v>
      </c>
      <c r="AB484" s="21">
        <v>919.5</v>
      </c>
      <c r="AC484" s="21">
        <v>879</v>
      </c>
      <c r="AD484" s="21">
        <v>16.3</v>
      </c>
      <c r="AE484" s="23" t="s">
        <v>101</v>
      </c>
      <c r="AF484" s="23" t="s">
        <v>102</v>
      </c>
      <c r="AG484" s="23" t="s">
        <v>102</v>
      </c>
      <c r="AH484" s="23" t="s">
        <v>102</v>
      </c>
      <c r="AI484" s="23" t="s">
        <v>102</v>
      </c>
      <c r="AJ484" s="23" t="s">
        <v>102</v>
      </c>
      <c r="AK484" s="23" t="s">
        <v>102</v>
      </c>
      <c r="AL484" s="23" t="s">
        <v>102</v>
      </c>
      <c r="AM484" s="24"/>
      <c r="AN484" s="108" t="s">
        <v>101</v>
      </c>
      <c r="AO484" s="108" t="s">
        <v>103</v>
      </c>
      <c r="AP484" s="109">
        <v>90</v>
      </c>
      <c r="AQ484" s="110" t="s">
        <v>100</v>
      </c>
      <c r="AR484" s="105">
        <v>90</v>
      </c>
    </row>
    <row r="485" spans="1:44" ht="16.5">
      <c r="A485" s="105">
        <v>91</v>
      </c>
      <c r="B485" s="111" t="s">
        <v>101</v>
      </c>
      <c r="C485" s="111">
        <v>89.86</v>
      </c>
      <c r="D485" s="111">
        <v>8.1</v>
      </c>
      <c r="E485" s="111">
        <v>0</v>
      </c>
      <c r="F485" s="111">
        <v>1.05</v>
      </c>
      <c r="G485" s="111">
        <v>0.99</v>
      </c>
      <c r="H485" s="111">
        <v>0</v>
      </c>
      <c r="I485" s="111">
        <v>0</v>
      </c>
      <c r="J485" s="111">
        <v>0</v>
      </c>
      <c r="K485" s="111">
        <v>0</v>
      </c>
      <c r="L485" s="111">
        <v>0</v>
      </c>
      <c r="M485" s="74" t="str">
        <f t="array" ref="M485">_xlfn.TEXTJOIN("-", TRUE, IF(C485:L485&gt;0, $C$2:$L$2, ""))</f>
        <v xml:space="preserve"> Ti-Al-Mo-V</v>
      </c>
      <c r="N485" s="90">
        <f t="shared" si="14"/>
        <v>469</v>
      </c>
      <c r="O485" s="91">
        <f t="shared" si="15"/>
        <v>4</v>
      </c>
      <c r="P485" s="111">
        <v>1</v>
      </c>
      <c r="Q485" s="111">
        <v>0</v>
      </c>
      <c r="R485" s="111">
        <v>0</v>
      </c>
      <c r="S485" s="111">
        <v>0</v>
      </c>
      <c r="T485" s="109">
        <v>1010</v>
      </c>
      <c r="U485" s="109">
        <v>1</v>
      </c>
      <c r="V485" s="112">
        <v>2</v>
      </c>
      <c r="W485" s="109">
        <v>620</v>
      </c>
      <c r="X485" s="109">
        <v>8</v>
      </c>
      <c r="Y485" s="113">
        <v>2</v>
      </c>
      <c r="Z485" s="18" t="s">
        <v>102</v>
      </c>
      <c r="AA485" s="18" t="s">
        <v>102</v>
      </c>
      <c r="AB485" s="111">
        <v>938.5</v>
      </c>
      <c r="AC485" s="111">
        <v>912</v>
      </c>
      <c r="AD485" s="111">
        <v>17.8</v>
      </c>
      <c r="AE485" s="18" t="s">
        <v>101</v>
      </c>
      <c r="AF485" s="18" t="s">
        <v>102</v>
      </c>
      <c r="AG485" s="18" t="s">
        <v>102</v>
      </c>
      <c r="AH485" s="18" t="s">
        <v>102</v>
      </c>
      <c r="AI485" s="18" t="s">
        <v>102</v>
      </c>
      <c r="AJ485" s="18" t="s">
        <v>102</v>
      </c>
      <c r="AK485" s="18" t="s">
        <v>102</v>
      </c>
      <c r="AL485" s="18" t="s">
        <v>102</v>
      </c>
      <c r="AM485" s="19"/>
      <c r="AN485" s="20" t="s">
        <v>101</v>
      </c>
      <c r="AO485" s="20" t="s">
        <v>103</v>
      </c>
      <c r="AP485" s="109">
        <v>91</v>
      </c>
      <c r="AQ485" s="110" t="s">
        <v>100</v>
      </c>
      <c r="AR485" s="105">
        <v>91</v>
      </c>
    </row>
    <row r="486" spans="1:44" ht="16.5">
      <c r="A486" s="105">
        <v>174</v>
      </c>
      <c r="B486" s="111" t="s">
        <v>101</v>
      </c>
      <c r="C486" s="111">
        <v>89.86</v>
      </c>
      <c r="D486" s="111">
        <v>8.1</v>
      </c>
      <c r="E486" s="111">
        <v>0</v>
      </c>
      <c r="F486" s="111">
        <v>1.05</v>
      </c>
      <c r="G486" s="111">
        <v>0.99</v>
      </c>
      <c r="H486" s="111">
        <v>0</v>
      </c>
      <c r="I486" s="111">
        <v>0</v>
      </c>
      <c r="J486" s="111">
        <v>0</v>
      </c>
      <c r="K486" s="111">
        <v>0</v>
      </c>
      <c r="L486" s="111">
        <v>0</v>
      </c>
      <c r="M486" s="74" t="str">
        <f t="array" ref="M486">_xlfn.TEXTJOIN("-", TRUE, IF(C486:L486&gt;0, $C$2:$L$2, ""))</f>
        <v xml:space="preserve"> Ti-Al-Mo-V</v>
      </c>
      <c r="N486" s="90">
        <f t="shared" si="14"/>
        <v>469</v>
      </c>
      <c r="O486" s="91">
        <f t="shared" si="15"/>
        <v>4</v>
      </c>
      <c r="P486" s="111">
        <v>1</v>
      </c>
      <c r="Q486" s="111">
        <v>0</v>
      </c>
      <c r="R486" s="111">
        <v>0</v>
      </c>
      <c r="S486" s="111">
        <v>0</v>
      </c>
      <c r="T486" s="109">
        <v>910</v>
      </c>
      <c r="U486" s="109">
        <v>1</v>
      </c>
      <c r="V486" s="112">
        <v>2</v>
      </c>
      <c r="W486" s="109">
        <v>0</v>
      </c>
      <c r="X486" s="109">
        <v>0</v>
      </c>
      <c r="Y486" s="113">
        <v>0</v>
      </c>
      <c r="Z486" s="18" t="s">
        <v>102</v>
      </c>
      <c r="AA486" s="18" t="s">
        <v>102</v>
      </c>
      <c r="AB486" s="111">
        <v>936</v>
      </c>
      <c r="AC486" s="111">
        <v>827</v>
      </c>
      <c r="AD486" s="111">
        <v>16.7</v>
      </c>
      <c r="AE486" s="18" t="s">
        <v>101</v>
      </c>
      <c r="AF486" s="18" t="s">
        <v>102</v>
      </c>
      <c r="AG486" s="18" t="s">
        <v>102</v>
      </c>
      <c r="AH486" s="18" t="s">
        <v>102</v>
      </c>
      <c r="AI486" s="18" t="s">
        <v>102</v>
      </c>
      <c r="AJ486" s="18" t="s">
        <v>102</v>
      </c>
      <c r="AK486" s="18" t="s">
        <v>102</v>
      </c>
      <c r="AL486" s="18" t="s">
        <v>102</v>
      </c>
      <c r="AM486" s="19"/>
      <c r="AN486" s="20" t="s">
        <v>101</v>
      </c>
      <c r="AO486" s="20" t="s">
        <v>103</v>
      </c>
      <c r="AP486" s="109">
        <v>174</v>
      </c>
      <c r="AQ486" s="110" t="s">
        <v>100</v>
      </c>
      <c r="AR486" s="105">
        <v>174</v>
      </c>
    </row>
    <row r="487" spans="1:44" ht="16.5">
      <c r="A487" s="105">
        <v>175</v>
      </c>
      <c r="B487" s="111" t="s">
        <v>101</v>
      </c>
      <c r="C487" s="111">
        <v>89.86</v>
      </c>
      <c r="D487" s="111">
        <v>8.1</v>
      </c>
      <c r="E487" s="111">
        <v>0</v>
      </c>
      <c r="F487" s="111">
        <v>1.05</v>
      </c>
      <c r="G487" s="111">
        <v>0.99</v>
      </c>
      <c r="H487" s="111">
        <v>0</v>
      </c>
      <c r="I487" s="111">
        <v>0</v>
      </c>
      <c r="J487" s="111">
        <v>0</v>
      </c>
      <c r="K487" s="111">
        <v>0</v>
      </c>
      <c r="L487" s="111">
        <v>0</v>
      </c>
      <c r="M487" s="74" t="str">
        <f t="array" ref="M487">_xlfn.TEXTJOIN("-", TRUE, IF(C487:L487&gt;0, $C$2:$L$2, ""))</f>
        <v xml:space="preserve"> Ti-Al-Mo-V</v>
      </c>
      <c r="N487" s="90">
        <f t="shared" si="14"/>
        <v>469</v>
      </c>
      <c r="O487" s="91">
        <f t="shared" si="15"/>
        <v>4</v>
      </c>
      <c r="P487" s="111">
        <v>1</v>
      </c>
      <c r="Q487" s="111">
        <v>0</v>
      </c>
      <c r="R487" s="111">
        <v>0</v>
      </c>
      <c r="S487" s="111">
        <v>0</v>
      </c>
      <c r="T487" s="109">
        <v>910</v>
      </c>
      <c r="U487" s="109">
        <v>2</v>
      </c>
      <c r="V487" s="112">
        <v>2</v>
      </c>
      <c r="W487" s="109">
        <v>0</v>
      </c>
      <c r="X487" s="109">
        <v>0</v>
      </c>
      <c r="Y487" s="113">
        <v>0</v>
      </c>
      <c r="Z487" s="18" t="s">
        <v>102</v>
      </c>
      <c r="AA487" s="18" t="s">
        <v>102</v>
      </c>
      <c r="AB487" s="111">
        <v>921</v>
      </c>
      <c r="AC487" s="111">
        <v>810</v>
      </c>
      <c r="AD487" s="111">
        <v>16.899999999999999</v>
      </c>
      <c r="AE487" s="18" t="s">
        <v>101</v>
      </c>
      <c r="AF487" s="18" t="s">
        <v>102</v>
      </c>
      <c r="AG487" s="18" t="s">
        <v>102</v>
      </c>
      <c r="AH487" s="18" t="s">
        <v>102</v>
      </c>
      <c r="AI487" s="18" t="s">
        <v>102</v>
      </c>
      <c r="AJ487" s="18" t="s">
        <v>102</v>
      </c>
      <c r="AK487" s="18" t="s">
        <v>102</v>
      </c>
      <c r="AL487" s="18" t="s">
        <v>102</v>
      </c>
      <c r="AM487" s="19"/>
      <c r="AN487" s="20" t="s">
        <v>101</v>
      </c>
      <c r="AO487" s="20" t="s">
        <v>103</v>
      </c>
      <c r="AP487" s="109">
        <v>175</v>
      </c>
      <c r="AQ487" s="110" t="s">
        <v>100</v>
      </c>
      <c r="AR487" s="105">
        <v>175</v>
      </c>
    </row>
    <row r="488" spans="1:44" ht="16.5">
      <c r="A488" s="105">
        <v>176</v>
      </c>
      <c r="B488" s="111" t="s">
        <v>101</v>
      </c>
      <c r="C488" s="111">
        <v>89.86</v>
      </c>
      <c r="D488" s="111">
        <v>8.1</v>
      </c>
      <c r="E488" s="111">
        <v>0</v>
      </c>
      <c r="F488" s="111">
        <v>1.05</v>
      </c>
      <c r="G488" s="111">
        <v>0.99</v>
      </c>
      <c r="H488" s="111">
        <v>0</v>
      </c>
      <c r="I488" s="111">
        <v>0</v>
      </c>
      <c r="J488" s="111">
        <v>0</v>
      </c>
      <c r="K488" s="111">
        <v>0</v>
      </c>
      <c r="L488" s="111">
        <v>0</v>
      </c>
      <c r="M488" s="74" t="str">
        <f t="array" ref="M488">_xlfn.TEXTJOIN("-", TRUE, IF(C488:L488&gt;0, $C$2:$L$2, ""))</f>
        <v xml:space="preserve"> Ti-Al-Mo-V</v>
      </c>
      <c r="N488" s="90">
        <f t="shared" si="14"/>
        <v>469</v>
      </c>
      <c r="O488" s="91">
        <f t="shared" si="15"/>
        <v>4</v>
      </c>
      <c r="P488" s="111">
        <v>1</v>
      </c>
      <c r="Q488" s="111">
        <v>0</v>
      </c>
      <c r="R488" s="111">
        <v>0</v>
      </c>
      <c r="S488" s="111">
        <v>0</v>
      </c>
      <c r="T488" s="109">
        <v>910</v>
      </c>
      <c r="U488" s="109">
        <v>3</v>
      </c>
      <c r="V488" s="112">
        <v>2</v>
      </c>
      <c r="W488" s="109">
        <v>0</v>
      </c>
      <c r="X488" s="109">
        <v>0</v>
      </c>
      <c r="Y488" s="113">
        <v>0</v>
      </c>
      <c r="Z488" s="18" t="s">
        <v>102</v>
      </c>
      <c r="AA488" s="18" t="s">
        <v>102</v>
      </c>
      <c r="AB488" s="111">
        <v>910</v>
      </c>
      <c r="AC488" s="111">
        <v>823</v>
      </c>
      <c r="AD488" s="111">
        <v>16.399999999999999</v>
      </c>
      <c r="AE488" s="18" t="s">
        <v>101</v>
      </c>
      <c r="AF488" s="18" t="s">
        <v>102</v>
      </c>
      <c r="AG488" s="18" t="s">
        <v>102</v>
      </c>
      <c r="AH488" s="18" t="s">
        <v>102</v>
      </c>
      <c r="AI488" s="18" t="s">
        <v>102</v>
      </c>
      <c r="AJ488" s="18" t="s">
        <v>102</v>
      </c>
      <c r="AK488" s="18" t="s">
        <v>102</v>
      </c>
      <c r="AL488" s="18" t="s">
        <v>102</v>
      </c>
      <c r="AM488" s="19"/>
      <c r="AN488" s="20" t="s">
        <v>101</v>
      </c>
      <c r="AO488" s="20" t="s">
        <v>103</v>
      </c>
      <c r="AP488" s="109">
        <v>176</v>
      </c>
      <c r="AQ488" s="110" t="s">
        <v>100</v>
      </c>
      <c r="AR488" s="105">
        <v>176</v>
      </c>
    </row>
    <row r="489" spans="1:44" ht="16.5">
      <c r="A489" s="105">
        <v>177</v>
      </c>
      <c r="B489" s="111" t="s">
        <v>101</v>
      </c>
      <c r="C489" s="111">
        <v>89.86</v>
      </c>
      <c r="D489" s="111">
        <v>8.1</v>
      </c>
      <c r="E489" s="111">
        <v>0</v>
      </c>
      <c r="F489" s="111">
        <v>1.05</v>
      </c>
      <c r="G489" s="111">
        <v>0.99</v>
      </c>
      <c r="H489" s="111">
        <v>0</v>
      </c>
      <c r="I489" s="111">
        <v>0</v>
      </c>
      <c r="J489" s="111">
        <v>0</v>
      </c>
      <c r="K489" s="111">
        <v>0</v>
      </c>
      <c r="L489" s="111">
        <v>0</v>
      </c>
      <c r="M489" s="74" t="str">
        <f t="array" ref="M489">_xlfn.TEXTJOIN("-", TRUE, IF(C489:L489&gt;0, $C$2:$L$2, ""))</f>
        <v xml:space="preserve"> Ti-Al-Mo-V</v>
      </c>
      <c r="N489" s="90">
        <f t="shared" si="14"/>
        <v>469</v>
      </c>
      <c r="O489" s="91">
        <f t="shared" si="15"/>
        <v>4</v>
      </c>
      <c r="P489" s="111">
        <v>1</v>
      </c>
      <c r="Q489" s="111">
        <v>0</v>
      </c>
      <c r="R489" s="114">
        <v>0</v>
      </c>
      <c r="S489" s="111">
        <v>0</v>
      </c>
      <c r="T489" s="109">
        <v>910</v>
      </c>
      <c r="U489" s="109">
        <v>4</v>
      </c>
      <c r="V489" s="112">
        <v>2</v>
      </c>
      <c r="W489" s="109">
        <v>0</v>
      </c>
      <c r="X489" s="109">
        <v>0</v>
      </c>
      <c r="Y489" s="113">
        <v>0</v>
      </c>
      <c r="Z489" s="18" t="s">
        <v>102</v>
      </c>
      <c r="AA489" s="18" t="s">
        <v>102</v>
      </c>
      <c r="AB489" s="111">
        <v>913</v>
      </c>
      <c r="AC489" s="111">
        <v>826</v>
      </c>
      <c r="AD489" s="111">
        <v>19.100000000000001</v>
      </c>
      <c r="AE489" s="18" t="s">
        <v>101</v>
      </c>
      <c r="AF489" s="18" t="s">
        <v>102</v>
      </c>
      <c r="AG489" s="18" t="s">
        <v>102</v>
      </c>
      <c r="AH489" s="18" t="s">
        <v>102</v>
      </c>
      <c r="AI489" s="18" t="s">
        <v>102</v>
      </c>
      <c r="AJ489" s="18" t="s">
        <v>102</v>
      </c>
      <c r="AK489" s="18" t="s">
        <v>102</v>
      </c>
      <c r="AL489" s="18" t="s">
        <v>102</v>
      </c>
      <c r="AM489" s="19"/>
      <c r="AN489" s="20" t="s">
        <v>101</v>
      </c>
      <c r="AO489" s="20" t="s">
        <v>103</v>
      </c>
      <c r="AP489" s="109">
        <v>177</v>
      </c>
      <c r="AQ489" s="110" t="s">
        <v>100</v>
      </c>
      <c r="AR489" s="105">
        <v>177</v>
      </c>
    </row>
    <row r="490" spans="1:44" ht="16.5">
      <c r="A490" s="105">
        <v>178</v>
      </c>
      <c r="B490" s="111" t="s">
        <v>101</v>
      </c>
      <c r="C490" s="111">
        <v>89.86</v>
      </c>
      <c r="D490" s="111">
        <v>8.1</v>
      </c>
      <c r="E490" s="111">
        <v>0</v>
      </c>
      <c r="F490" s="111">
        <v>1.05</v>
      </c>
      <c r="G490" s="111">
        <v>0.99</v>
      </c>
      <c r="H490" s="111">
        <v>0</v>
      </c>
      <c r="I490" s="111">
        <v>0</v>
      </c>
      <c r="J490" s="111">
        <v>0</v>
      </c>
      <c r="K490" s="111">
        <v>0</v>
      </c>
      <c r="L490" s="111">
        <v>0</v>
      </c>
      <c r="M490" s="74" t="str">
        <f t="array" ref="M490">_xlfn.TEXTJOIN("-", TRUE, IF(C490:L490&gt;0, $C$2:$L$2, ""))</f>
        <v xml:space="preserve"> Ti-Al-Mo-V</v>
      </c>
      <c r="N490" s="90">
        <f t="shared" si="14"/>
        <v>469</v>
      </c>
      <c r="O490" s="91">
        <f t="shared" si="15"/>
        <v>4</v>
      </c>
      <c r="P490" s="111">
        <v>1</v>
      </c>
      <c r="Q490" s="115">
        <v>0</v>
      </c>
      <c r="R490" s="21">
        <v>0</v>
      </c>
      <c r="S490" s="105">
        <v>0</v>
      </c>
      <c r="T490" s="109">
        <v>910</v>
      </c>
      <c r="U490" s="109">
        <v>5</v>
      </c>
      <c r="V490" s="112">
        <v>2</v>
      </c>
      <c r="W490" s="109">
        <v>0</v>
      </c>
      <c r="X490" s="109">
        <v>0</v>
      </c>
      <c r="Y490" s="113">
        <v>0</v>
      </c>
      <c r="Z490" s="18" t="s">
        <v>102</v>
      </c>
      <c r="AA490" s="18" t="s">
        <v>102</v>
      </c>
      <c r="AB490" s="111">
        <v>890</v>
      </c>
      <c r="AC490" s="111">
        <v>806</v>
      </c>
      <c r="AD490" s="111">
        <v>17.399999999999999</v>
      </c>
      <c r="AE490" s="18" t="s">
        <v>101</v>
      </c>
      <c r="AF490" s="18" t="s">
        <v>102</v>
      </c>
      <c r="AG490" s="18" t="s">
        <v>102</v>
      </c>
      <c r="AH490" s="18" t="s">
        <v>102</v>
      </c>
      <c r="AI490" s="18" t="s">
        <v>102</v>
      </c>
      <c r="AJ490" s="18" t="s">
        <v>102</v>
      </c>
      <c r="AK490" s="18" t="s">
        <v>102</v>
      </c>
      <c r="AL490" s="18" t="s">
        <v>102</v>
      </c>
      <c r="AM490" s="19"/>
      <c r="AN490" s="20" t="s">
        <v>101</v>
      </c>
      <c r="AO490" s="20" t="s">
        <v>103</v>
      </c>
      <c r="AP490" s="109">
        <v>178</v>
      </c>
      <c r="AQ490" s="110" t="s">
        <v>100</v>
      </c>
      <c r="AR490" s="105">
        <v>178</v>
      </c>
    </row>
    <row r="491" spans="1:44" ht="16.5">
      <c r="A491" s="105">
        <v>179</v>
      </c>
      <c r="B491" s="111" t="s">
        <v>101</v>
      </c>
      <c r="C491" s="111">
        <v>89.86</v>
      </c>
      <c r="D491" s="111">
        <v>8.1</v>
      </c>
      <c r="E491" s="111">
        <v>0</v>
      </c>
      <c r="F491" s="111">
        <v>1.05</v>
      </c>
      <c r="G491" s="111">
        <v>0.99</v>
      </c>
      <c r="H491" s="111">
        <v>0</v>
      </c>
      <c r="I491" s="111">
        <v>0</v>
      </c>
      <c r="J491" s="111">
        <v>0</v>
      </c>
      <c r="K491" s="111">
        <v>0</v>
      </c>
      <c r="L491" s="111">
        <v>0</v>
      </c>
      <c r="M491" s="74" t="str">
        <f t="array" ref="M491">_xlfn.TEXTJOIN("-", TRUE, IF(C491:L491&gt;0, $C$2:$L$2, ""))</f>
        <v xml:space="preserve"> Ti-Al-Mo-V</v>
      </c>
      <c r="N491" s="90">
        <f t="shared" si="14"/>
        <v>469</v>
      </c>
      <c r="O491" s="91">
        <f t="shared" si="15"/>
        <v>4</v>
      </c>
      <c r="P491" s="111">
        <v>1</v>
      </c>
      <c r="Q491" s="115">
        <v>0</v>
      </c>
      <c r="R491" s="21">
        <v>0</v>
      </c>
      <c r="S491" s="105">
        <v>0</v>
      </c>
      <c r="T491" s="109">
        <v>910</v>
      </c>
      <c r="U491" s="109">
        <v>6</v>
      </c>
      <c r="V491" s="112">
        <v>2</v>
      </c>
      <c r="W491" s="109">
        <v>0</v>
      </c>
      <c r="X491" s="109">
        <v>0</v>
      </c>
      <c r="Y491" s="113">
        <v>0</v>
      </c>
      <c r="Z491" s="18" t="s">
        <v>102</v>
      </c>
      <c r="AA491" s="18" t="s">
        <v>102</v>
      </c>
      <c r="AB491" s="111">
        <v>906</v>
      </c>
      <c r="AC491" s="111">
        <v>833</v>
      </c>
      <c r="AD491" s="111">
        <v>21.1</v>
      </c>
      <c r="AE491" s="18" t="s">
        <v>101</v>
      </c>
      <c r="AF491" s="18" t="s">
        <v>102</v>
      </c>
      <c r="AG491" s="18" t="s">
        <v>102</v>
      </c>
      <c r="AH491" s="18" t="s">
        <v>102</v>
      </c>
      <c r="AI491" s="18" t="s">
        <v>102</v>
      </c>
      <c r="AJ491" s="18" t="s">
        <v>102</v>
      </c>
      <c r="AK491" s="18" t="s">
        <v>102</v>
      </c>
      <c r="AL491" s="18" t="s">
        <v>102</v>
      </c>
      <c r="AM491" s="19"/>
      <c r="AN491" s="20" t="s">
        <v>101</v>
      </c>
      <c r="AO491" s="20" t="s">
        <v>103</v>
      </c>
      <c r="AP491" s="109">
        <v>179</v>
      </c>
      <c r="AQ491" s="110" t="s">
        <v>100</v>
      </c>
      <c r="AR491" s="105">
        <v>179</v>
      </c>
    </row>
    <row r="492" spans="1:44" ht="16.5">
      <c r="A492" s="105">
        <v>181</v>
      </c>
      <c r="B492" s="111" t="s">
        <v>101</v>
      </c>
      <c r="C492" s="111">
        <v>87.37</v>
      </c>
      <c r="D492" s="111">
        <v>3.3</v>
      </c>
      <c r="E492" s="111">
        <v>0</v>
      </c>
      <c r="F492" s="111">
        <v>4.8</v>
      </c>
      <c r="G492" s="111">
        <v>4.4000000000000004</v>
      </c>
      <c r="H492" s="111">
        <v>0</v>
      </c>
      <c r="I492" s="111">
        <v>0</v>
      </c>
      <c r="J492" s="111">
        <v>0</v>
      </c>
      <c r="K492" s="111">
        <v>0</v>
      </c>
      <c r="L492" s="111">
        <v>0</v>
      </c>
      <c r="M492" s="74" t="str">
        <f t="array" ref="M492">_xlfn.TEXTJOIN("-", TRUE, IF(C492:L492&gt;0, $C$2:$L$2, ""))</f>
        <v xml:space="preserve"> Ti-Al-Mo-V</v>
      </c>
      <c r="N492" s="90">
        <f t="shared" si="14"/>
        <v>469</v>
      </c>
      <c r="O492" s="91">
        <f t="shared" si="15"/>
        <v>4</v>
      </c>
      <c r="P492" s="111">
        <v>1</v>
      </c>
      <c r="Q492" s="111">
        <v>0</v>
      </c>
      <c r="R492" s="116">
        <v>0</v>
      </c>
      <c r="S492" s="111">
        <v>0</v>
      </c>
      <c r="T492" s="109">
        <v>820</v>
      </c>
      <c r="U492" s="109">
        <v>2</v>
      </c>
      <c r="V492" s="112">
        <v>2</v>
      </c>
      <c r="W492" s="109">
        <v>560</v>
      </c>
      <c r="X492" s="109">
        <v>6</v>
      </c>
      <c r="Y492" s="113">
        <v>2</v>
      </c>
      <c r="Z492" s="18" t="s">
        <v>102</v>
      </c>
      <c r="AA492" s="18" t="s">
        <v>102</v>
      </c>
      <c r="AB492" s="111">
        <v>961.72</v>
      </c>
      <c r="AC492" s="111">
        <v>924.68</v>
      </c>
      <c r="AD492" s="111">
        <v>21.72</v>
      </c>
      <c r="AE492" s="18" t="s">
        <v>101</v>
      </c>
      <c r="AF492" s="18" t="s">
        <v>102</v>
      </c>
      <c r="AG492" s="18" t="s">
        <v>102</v>
      </c>
      <c r="AH492" s="18" t="s">
        <v>102</v>
      </c>
      <c r="AI492" s="18" t="s">
        <v>102</v>
      </c>
      <c r="AJ492" s="18" t="s">
        <v>102</v>
      </c>
      <c r="AK492" s="18" t="s">
        <v>102</v>
      </c>
      <c r="AL492" s="18" t="s">
        <v>102</v>
      </c>
      <c r="AM492" s="19"/>
      <c r="AN492" s="20" t="s">
        <v>101</v>
      </c>
      <c r="AO492" s="20" t="s">
        <v>103</v>
      </c>
      <c r="AP492" s="109">
        <v>181</v>
      </c>
      <c r="AQ492" s="110" t="s">
        <v>100</v>
      </c>
      <c r="AR492" s="105">
        <v>181</v>
      </c>
    </row>
    <row r="493" spans="1:44" ht="16.5">
      <c r="A493" s="105">
        <v>182</v>
      </c>
      <c r="B493" s="111" t="s">
        <v>101</v>
      </c>
      <c r="C493" s="111">
        <v>87.37</v>
      </c>
      <c r="D493" s="111">
        <v>3.3</v>
      </c>
      <c r="E493" s="111">
        <v>0</v>
      </c>
      <c r="F493" s="111">
        <v>4.8</v>
      </c>
      <c r="G493" s="111">
        <v>4.4000000000000004</v>
      </c>
      <c r="H493" s="111">
        <v>0</v>
      </c>
      <c r="I493" s="111">
        <v>0</v>
      </c>
      <c r="J493" s="111">
        <v>0</v>
      </c>
      <c r="K493" s="111">
        <v>0</v>
      </c>
      <c r="L493" s="111">
        <v>0</v>
      </c>
      <c r="M493" s="74" t="str">
        <f t="array" ref="M493">_xlfn.TEXTJOIN("-", TRUE, IF(C493:L493&gt;0, $C$2:$L$2, ""))</f>
        <v xml:space="preserve"> Ti-Al-Mo-V</v>
      </c>
      <c r="N493" s="90">
        <f t="shared" si="14"/>
        <v>469</v>
      </c>
      <c r="O493" s="91">
        <f t="shared" si="15"/>
        <v>4</v>
      </c>
      <c r="P493" s="111">
        <v>1</v>
      </c>
      <c r="Q493" s="111">
        <v>0</v>
      </c>
      <c r="R493" s="111">
        <v>0</v>
      </c>
      <c r="S493" s="111">
        <v>0</v>
      </c>
      <c r="T493" s="109">
        <v>820</v>
      </c>
      <c r="U493" s="109">
        <v>3</v>
      </c>
      <c r="V493" s="112">
        <v>2</v>
      </c>
      <c r="W493" s="109">
        <v>560</v>
      </c>
      <c r="X493" s="109">
        <v>7</v>
      </c>
      <c r="Y493" s="113">
        <v>2</v>
      </c>
      <c r="Z493" s="18" t="s">
        <v>102</v>
      </c>
      <c r="AA493" s="18" t="s">
        <v>102</v>
      </c>
      <c r="AB493" s="111">
        <v>961.51</v>
      </c>
      <c r="AC493" s="111">
        <v>914.02</v>
      </c>
      <c r="AD493" s="111">
        <v>23.11</v>
      </c>
      <c r="AE493" s="18" t="s">
        <v>101</v>
      </c>
      <c r="AF493" s="18" t="s">
        <v>102</v>
      </c>
      <c r="AG493" s="18" t="s">
        <v>102</v>
      </c>
      <c r="AH493" s="18" t="s">
        <v>102</v>
      </c>
      <c r="AI493" s="18" t="s">
        <v>102</v>
      </c>
      <c r="AJ493" s="18" t="s">
        <v>102</v>
      </c>
      <c r="AK493" s="18" t="s">
        <v>102</v>
      </c>
      <c r="AL493" s="18" t="s">
        <v>102</v>
      </c>
      <c r="AM493" s="19"/>
      <c r="AN493" s="20" t="s">
        <v>101</v>
      </c>
      <c r="AO493" s="20" t="s">
        <v>103</v>
      </c>
      <c r="AP493" s="109">
        <v>182</v>
      </c>
      <c r="AQ493" s="110" t="s">
        <v>100</v>
      </c>
      <c r="AR493" s="105">
        <v>182</v>
      </c>
    </row>
    <row r="494" spans="1:44" ht="16.5">
      <c r="A494" s="105">
        <v>183</v>
      </c>
      <c r="B494" s="111" t="s">
        <v>101</v>
      </c>
      <c r="C494" s="111">
        <v>87.37</v>
      </c>
      <c r="D494" s="111">
        <v>3.3</v>
      </c>
      <c r="E494" s="111">
        <v>0</v>
      </c>
      <c r="F494" s="111">
        <v>4.8</v>
      </c>
      <c r="G494" s="111">
        <v>4.4000000000000004</v>
      </c>
      <c r="H494" s="111">
        <v>0</v>
      </c>
      <c r="I494" s="111">
        <v>0</v>
      </c>
      <c r="J494" s="111">
        <v>0</v>
      </c>
      <c r="K494" s="111">
        <v>0</v>
      </c>
      <c r="L494" s="111">
        <v>0</v>
      </c>
      <c r="M494" s="74" t="str">
        <f t="array" ref="M494">_xlfn.TEXTJOIN("-", TRUE, IF(C494:L494&gt;0, $C$2:$L$2, ""))</f>
        <v xml:space="preserve"> Ti-Al-Mo-V</v>
      </c>
      <c r="N494" s="90">
        <f t="shared" si="14"/>
        <v>469</v>
      </c>
      <c r="O494" s="91">
        <f t="shared" si="15"/>
        <v>4</v>
      </c>
      <c r="P494" s="111">
        <v>1</v>
      </c>
      <c r="Q494" s="111">
        <v>0</v>
      </c>
      <c r="R494" s="111">
        <v>0</v>
      </c>
      <c r="S494" s="111">
        <v>0</v>
      </c>
      <c r="T494" s="109">
        <v>820</v>
      </c>
      <c r="U494" s="109">
        <v>4</v>
      </c>
      <c r="V494" s="112">
        <v>2</v>
      </c>
      <c r="W494" s="109">
        <v>560</v>
      </c>
      <c r="X494" s="109">
        <v>8</v>
      </c>
      <c r="Y494" s="113">
        <v>2</v>
      </c>
      <c r="Z494" s="18" t="s">
        <v>102</v>
      </c>
      <c r="AA494" s="18" t="s">
        <v>102</v>
      </c>
      <c r="AB494" s="111">
        <v>998.15</v>
      </c>
      <c r="AC494" s="111">
        <v>958.99</v>
      </c>
      <c r="AD494" s="111">
        <v>23.45</v>
      </c>
      <c r="AE494" s="18" t="s">
        <v>101</v>
      </c>
      <c r="AF494" s="18" t="s">
        <v>102</v>
      </c>
      <c r="AG494" s="18" t="s">
        <v>102</v>
      </c>
      <c r="AH494" s="18" t="s">
        <v>102</v>
      </c>
      <c r="AI494" s="18" t="s">
        <v>102</v>
      </c>
      <c r="AJ494" s="18" t="s">
        <v>102</v>
      </c>
      <c r="AK494" s="18" t="s">
        <v>102</v>
      </c>
      <c r="AL494" s="18" t="s">
        <v>102</v>
      </c>
      <c r="AM494" s="19"/>
      <c r="AN494" s="20" t="s">
        <v>101</v>
      </c>
      <c r="AO494" s="20" t="s">
        <v>103</v>
      </c>
      <c r="AP494" s="109">
        <v>183</v>
      </c>
      <c r="AQ494" s="110" t="s">
        <v>100</v>
      </c>
      <c r="AR494" s="105">
        <v>183</v>
      </c>
    </row>
    <row r="495" spans="1:44" ht="16.5">
      <c r="A495" s="105">
        <v>184</v>
      </c>
      <c r="B495" s="111" t="s">
        <v>101</v>
      </c>
      <c r="C495" s="111">
        <v>87.37</v>
      </c>
      <c r="D495" s="111">
        <v>3.3</v>
      </c>
      <c r="E495" s="111">
        <v>0</v>
      </c>
      <c r="F495" s="111">
        <v>4.8</v>
      </c>
      <c r="G495" s="111">
        <v>4.4000000000000004</v>
      </c>
      <c r="H495" s="111">
        <v>0</v>
      </c>
      <c r="I495" s="111">
        <v>0</v>
      </c>
      <c r="J495" s="111">
        <v>0</v>
      </c>
      <c r="K495" s="111">
        <v>0</v>
      </c>
      <c r="L495" s="111">
        <v>0</v>
      </c>
      <c r="M495" s="74" t="str">
        <f t="array" ref="M495">_xlfn.TEXTJOIN("-", TRUE, IF(C495:L495&gt;0, $C$2:$L$2, ""))</f>
        <v xml:space="preserve"> Ti-Al-Mo-V</v>
      </c>
      <c r="N495" s="90">
        <f t="shared" si="14"/>
        <v>469</v>
      </c>
      <c r="O495" s="91">
        <f t="shared" si="15"/>
        <v>4</v>
      </c>
      <c r="P495" s="111">
        <v>1</v>
      </c>
      <c r="Q495" s="111">
        <v>0</v>
      </c>
      <c r="R495" s="111">
        <v>0</v>
      </c>
      <c r="S495" s="111">
        <v>0</v>
      </c>
      <c r="T495" s="109">
        <v>820</v>
      </c>
      <c r="U495" s="109">
        <v>5</v>
      </c>
      <c r="V495" s="112">
        <v>2</v>
      </c>
      <c r="W495" s="109">
        <v>560</v>
      </c>
      <c r="X495" s="109">
        <v>9</v>
      </c>
      <c r="Y495" s="113">
        <v>2</v>
      </c>
      <c r="Z495" s="18" t="s">
        <v>102</v>
      </c>
      <c r="AA495" s="18" t="s">
        <v>102</v>
      </c>
      <c r="AB495" s="111">
        <v>987.01</v>
      </c>
      <c r="AC495" s="111">
        <v>952.78</v>
      </c>
      <c r="AD495" s="111">
        <v>23.35</v>
      </c>
      <c r="AE495" s="18" t="s">
        <v>101</v>
      </c>
      <c r="AF495" s="18" t="s">
        <v>102</v>
      </c>
      <c r="AG495" s="18" t="s">
        <v>102</v>
      </c>
      <c r="AH495" s="18" t="s">
        <v>102</v>
      </c>
      <c r="AI495" s="18" t="s">
        <v>102</v>
      </c>
      <c r="AJ495" s="18" t="s">
        <v>102</v>
      </c>
      <c r="AK495" s="18" t="s">
        <v>102</v>
      </c>
      <c r="AL495" s="18" t="s">
        <v>102</v>
      </c>
      <c r="AM495" s="19"/>
      <c r="AN495" s="20" t="s">
        <v>101</v>
      </c>
      <c r="AO495" s="20" t="s">
        <v>103</v>
      </c>
      <c r="AP495" s="109">
        <v>184</v>
      </c>
      <c r="AQ495" s="110" t="s">
        <v>100</v>
      </c>
      <c r="AR495" s="105">
        <v>184</v>
      </c>
    </row>
    <row r="496" spans="1:44" ht="16.5">
      <c r="A496" s="117">
        <v>185</v>
      </c>
      <c r="B496" s="21" t="s">
        <v>101</v>
      </c>
      <c r="C496" s="21">
        <v>87.37</v>
      </c>
      <c r="D496" s="21">
        <v>3.3</v>
      </c>
      <c r="E496" s="21">
        <v>0</v>
      </c>
      <c r="F496" s="21">
        <v>4.8</v>
      </c>
      <c r="G496" s="21">
        <v>4.4000000000000004</v>
      </c>
      <c r="H496" s="21">
        <v>0</v>
      </c>
      <c r="I496" s="21">
        <v>0</v>
      </c>
      <c r="J496" s="21">
        <v>0</v>
      </c>
      <c r="K496" s="21">
        <v>0</v>
      </c>
      <c r="L496" s="21">
        <v>0</v>
      </c>
      <c r="M496" s="74" t="str">
        <f t="array" ref="M496">_xlfn.TEXTJOIN("-", TRUE, IF(C496:L496&gt;0, $C$2:$L$2, ""))</f>
        <v xml:space="preserve"> Ti-Al-Mo-V</v>
      </c>
      <c r="N496" s="90">
        <f t="shared" si="14"/>
        <v>469</v>
      </c>
      <c r="O496" s="91">
        <f t="shared" si="15"/>
        <v>4</v>
      </c>
      <c r="P496" s="21">
        <v>1</v>
      </c>
      <c r="Q496" s="21">
        <v>0</v>
      </c>
      <c r="R496" s="21">
        <v>0</v>
      </c>
      <c r="S496" s="21">
        <v>0</v>
      </c>
      <c r="T496" s="22">
        <v>820</v>
      </c>
      <c r="U496" s="22">
        <v>6</v>
      </c>
      <c r="V496" s="106">
        <v>2</v>
      </c>
      <c r="W496" s="22">
        <v>560</v>
      </c>
      <c r="X496" s="22">
        <v>10</v>
      </c>
      <c r="Y496" s="107">
        <v>2</v>
      </c>
      <c r="Z496" s="23" t="s">
        <v>102</v>
      </c>
      <c r="AA496" s="23" t="s">
        <v>102</v>
      </c>
      <c r="AB496" s="21">
        <v>980.21</v>
      </c>
      <c r="AC496" s="21">
        <v>950.16</v>
      </c>
      <c r="AD496" s="21">
        <v>23.3</v>
      </c>
      <c r="AE496" s="23" t="s">
        <v>101</v>
      </c>
      <c r="AF496" s="23" t="s">
        <v>102</v>
      </c>
      <c r="AG496" s="23" t="s">
        <v>102</v>
      </c>
      <c r="AH496" s="23" t="s">
        <v>102</v>
      </c>
      <c r="AI496" s="23" t="s">
        <v>102</v>
      </c>
      <c r="AJ496" s="23" t="s">
        <v>102</v>
      </c>
      <c r="AK496" s="23" t="s">
        <v>102</v>
      </c>
      <c r="AL496" s="23" t="s">
        <v>102</v>
      </c>
      <c r="AM496" s="24"/>
      <c r="AN496" s="108" t="s">
        <v>101</v>
      </c>
      <c r="AO496" s="108" t="s">
        <v>103</v>
      </c>
      <c r="AP496" s="118">
        <v>185</v>
      </c>
      <c r="AQ496" s="119" t="s">
        <v>100</v>
      </c>
      <c r="AR496" s="117">
        <v>185</v>
      </c>
    </row>
    <row r="497" spans="1:44" ht="16.5">
      <c r="A497" s="105">
        <v>186</v>
      </c>
      <c r="B497" s="21" t="s">
        <v>101</v>
      </c>
      <c r="C497" s="21">
        <v>87.37</v>
      </c>
      <c r="D497" s="21">
        <v>3.3</v>
      </c>
      <c r="E497" s="21">
        <v>0</v>
      </c>
      <c r="F497" s="21">
        <v>4.8</v>
      </c>
      <c r="G497" s="21">
        <v>4.4000000000000004</v>
      </c>
      <c r="H497" s="21">
        <v>0</v>
      </c>
      <c r="I497" s="21">
        <v>0</v>
      </c>
      <c r="J497" s="21">
        <v>0</v>
      </c>
      <c r="K497" s="21">
        <v>0</v>
      </c>
      <c r="L497" s="21">
        <v>0</v>
      </c>
      <c r="M497" s="74" t="str">
        <f t="array" ref="M497">_xlfn.TEXTJOIN("-", TRUE, IF(C497:L497&gt;0, $C$2:$L$2, ""))</f>
        <v xml:space="preserve"> Ti-Al-Mo-V</v>
      </c>
      <c r="N497" s="90">
        <f t="shared" si="14"/>
        <v>469</v>
      </c>
      <c r="O497" s="91">
        <f t="shared" si="15"/>
        <v>4</v>
      </c>
      <c r="P497" s="21">
        <v>1</v>
      </c>
      <c r="Q497" s="21">
        <v>0</v>
      </c>
      <c r="R497" s="21">
        <v>0</v>
      </c>
      <c r="S497" s="21">
        <v>0</v>
      </c>
      <c r="T497" s="22">
        <v>820</v>
      </c>
      <c r="U497" s="22">
        <v>7</v>
      </c>
      <c r="V497" s="106">
        <v>2</v>
      </c>
      <c r="W497" s="22">
        <v>580</v>
      </c>
      <c r="X497" s="22">
        <v>6</v>
      </c>
      <c r="Y497" s="107">
        <v>2</v>
      </c>
      <c r="Z497" s="23" t="s">
        <v>102</v>
      </c>
      <c r="AA497" s="23" t="s">
        <v>102</v>
      </c>
      <c r="AB497" s="21">
        <v>930.25</v>
      </c>
      <c r="AC497" s="21">
        <v>891.24</v>
      </c>
      <c r="AD497" s="21">
        <v>22.59</v>
      </c>
      <c r="AE497" s="23" t="s">
        <v>101</v>
      </c>
      <c r="AF497" s="23" t="s">
        <v>102</v>
      </c>
      <c r="AG497" s="23" t="s">
        <v>102</v>
      </c>
      <c r="AH497" s="23" t="s">
        <v>102</v>
      </c>
      <c r="AI497" s="23" t="s">
        <v>102</v>
      </c>
      <c r="AJ497" s="23" t="s">
        <v>102</v>
      </c>
      <c r="AK497" s="23" t="s">
        <v>102</v>
      </c>
      <c r="AL497" s="23" t="s">
        <v>102</v>
      </c>
      <c r="AM497" s="24"/>
      <c r="AN497" s="108" t="s">
        <v>101</v>
      </c>
      <c r="AO497" s="108" t="s">
        <v>103</v>
      </c>
      <c r="AP497" s="109">
        <v>186</v>
      </c>
      <c r="AQ497" s="110" t="s">
        <v>100</v>
      </c>
      <c r="AR497" s="105">
        <v>186</v>
      </c>
    </row>
    <row r="498" spans="1:44" ht="16.5">
      <c r="A498" s="105">
        <v>187</v>
      </c>
      <c r="B498" s="21" t="s">
        <v>101</v>
      </c>
      <c r="C498" s="21">
        <v>87.37</v>
      </c>
      <c r="D498" s="21">
        <v>3.3</v>
      </c>
      <c r="E498" s="21">
        <v>0</v>
      </c>
      <c r="F498" s="21">
        <v>4.8</v>
      </c>
      <c r="G498" s="21">
        <v>4.4000000000000004</v>
      </c>
      <c r="H498" s="21">
        <v>0</v>
      </c>
      <c r="I498" s="21">
        <v>0</v>
      </c>
      <c r="J498" s="21">
        <v>0</v>
      </c>
      <c r="K498" s="21">
        <v>0</v>
      </c>
      <c r="L498" s="21">
        <v>0</v>
      </c>
      <c r="M498" s="74" t="str">
        <f t="array" ref="M498">_xlfn.TEXTJOIN("-", TRUE, IF(C498:L498&gt;0, $C$2:$L$2, ""))</f>
        <v xml:space="preserve"> Ti-Al-Mo-V</v>
      </c>
      <c r="N498" s="90">
        <f t="shared" si="14"/>
        <v>469</v>
      </c>
      <c r="O498" s="91">
        <f t="shared" si="15"/>
        <v>4</v>
      </c>
      <c r="P498" s="21">
        <v>1</v>
      </c>
      <c r="Q498" s="21">
        <v>0</v>
      </c>
      <c r="R498" s="21">
        <v>0</v>
      </c>
      <c r="S498" s="21">
        <v>0</v>
      </c>
      <c r="T498" s="22">
        <v>820</v>
      </c>
      <c r="U498" s="22">
        <v>8</v>
      </c>
      <c r="V498" s="106">
        <v>2</v>
      </c>
      <c r="W498" s="22">
        <v>580</v>
      </c>
      <c r="X498" s="22">
        <v>7</v>
      </c>
      <c r="Y498" s="107">
        <v>2</v>
      </c>
      <c r="Z498" s="23" t="s">
        <v>102</v>
      </c>
      <c r="AA498" s="23" t="s">
        <v>102</v>
      </c>
      <c r="AB498" s="21">
        <v>931.47</v>
      </c>
      <c r="AC498" s="21">
        <v>889.85</v>
      </c>
      <c r="AD498" s="21">
        <v>22.88</v>
      </c>
      <c r="AE498" s="23" t="s">
        <v>101</v>
      </c>
      <c r="AF498" s="23" t="s">
        <v>102</v>
      </c>
      <c r="AG498" s="23" t="s">
        <v>102</v>
      </c>
      <c r="AH498" s="23" t="s">
        <v>102</v>
      </c>
      <c r="AI498" s="23" t="s">
        <v>102</v>
      </c>
      <c r="AJ498" s="23" t="s">
        <v>102</v>
      </c>
      <c r="AK498" s="23" t="s">
        <v>102</v>
      </c>
      <c r="AL498" s="23" t="s">
        <v>102</v>
      </c>
      <c r="AM498" s="24"/>
      <c r="AN498" s="108" t="s">
        <v>101</v>
      </c>
      <c r="AO498" s="108" t="s">
        <v>103</v>
      </c>
      <c r="AP498" s="109">
        <v>187</v>
      </c>
      <c r="AQ498" s="110" t="s">
        <v>100</v>
      </c>
      <c r="AR498" s="105">
        <v>187</v>
      </c>
    </row>
    <row r="499" spans="1:44" ht="16.5">
      <c r="A499" s="105">
        <v>188</v>
      </c>
      <c r="B499" s="21" t="s">
        <v>101</v>
      </c>
      <c r="C499" s="21">
        <v>87.37</v>
      </c>
      <c r="D499" s="21">
        <v>3.3</v>
      </c>
      <c r="E499" s="21">
        <v>0</v>
      </c>
      <c r="F499" s="21">
        <v>4.8</v>
      </c>
      <c r="G499" s="21">
        <v>4.4000000000000004</v>
      </c>
      <c r="H499" s="21">
        <v>0</v>
      </c>
      <c r="I499" s="21">
        <v>0</v>
      </c>
      <c r="J499" s="21">
        <v>0</v>
      </c>
      <c r="K499" s="21">
        <v>0</v>
      </c>
      <c r="L499" s="21">
        <v>0</v>
      </c>
      <c r="M499" s="74" t="str">
        <f t="array" ref="M499">_xlfn.TEXTJOIN("-", TRUE, IF(C499:L499&gt;0, $C$2:$L$2, ""))</f>
        <v xml:space="preserve"> Ti-Al-Mo-V</v>
      </c>
      <c r="N499" s="90">
        <f t="shared" si="14"/>
        <v>469</v>
      </c>
      <c r="O499" s="91">
        <f t="shared" si="15"/>
        <v>4</v>
      </c>
      <c r="P499" s="21">
        <v>1</v>
      </c>
      <c r="Q499" s="21">
        <v>0</v>
      </c>
      <c r="R499" s="21">
        <v>0</v>
      </c>
      <c r="S499" s="21">
        <v>0</v>
      </c>
      <c r="T499" s="22">
        <v>820</v>
      </c>
      <c r="U499" s="22">
        <v>9</v>
      </c>
      <c r="V499" s="106">
        <v>2</v>
      </c>
      <c r="W499" s="22">
        <v>580</v>
      </c>
      <c r="X499" s="22">
        <v>8</v>
      </c>
      <c r="Y499" s="107">
        <v>2</v>
      </c>
      <c r="Z499" s="23" t="s">
        <v>102</v>
      </c>
      <c r="AA499" s="23" t="s">
        <v>102</v>
      </c>
      <c r="AB499" s="21">
        <v>1007.3</v>
      </c>
      <c r="AC499" s="21">
        <v>972.03</v>
      </c>
      <c r="AD499" s="21">
        <v>24.25</v>
      </c>
      <c r="AE499" s="23" t="s">
        <v>101</v>
      </c>
      <c r="AF499" s="23" t="s">
        <v>102</v>
      </c>
      <c r="AG499" s="23" t="s">
        <v>102</v>
      </c>
      <c r="AH499" s="23" t="s">
        <v>102</v>
      </c>
      <c r="AI499" s="23" t="s">
        <v>102</v>
      </c>
      <c r="AJ499" s="23" t="s">
        <v>102</v>
      </c>
      <c r="AK499" s="23" t="s">
        <v>102</v>
      </c>
      <c r="AL499" s="23" t="s">
        <v>102</v>
      </c>
      <c r="AM499" s="24"/>
      <c r="AN499" s="108" t="s">
        <v>101</v>
      </c>
      <c r="AO499" s="108" t="s">
        <v>103</v>
      </c>
      <c r="AP499" s="109">
        <v>188</v>
      </c>
      <c r="AQ499" s="110" t="s">
        <v>100</v>
      </c>
      <c r="AR499" s="105">
        <v>188</v>
      </c>
    </row>
    <row r="500" spans="1:44" ht="16.5">
      <c r="A500" s="105">
        <v>189</v>
      </c>
      <c r="B500" s="21" t="s">
        <v>101</v>
      </c>
      <c r="C500" s="21">
        <v>87.37</v>
      </c>
      <c r="D500" s="21">
        <v>3.3</v>
      </c>
      <c r="E500" s="21">
        <v>0</v>
      </c>
      <c r="F500" s="21">
        <v>4.8</v>
      </c>
      <c r="G500" s="21">
        <v>4.4000000000000004</v>
      </c>
      <c r="H500" s="21">
        <v>0</v>
      </c>
      <c r="I500" s="21">
        <v>0</v>
      </c>
      <c r="J500" s="21">
        <v>0</v>
      </c>
      <c r="K500" s="21">
        <v>0</v>
      </c>
      <c r="L500" s="21">
        <v>0</v>
      </c>
      <c r="M500" s="74" t="str">
        <f t="array" ref="M500">_xlfn.TEXTJOIN("-", TRUE, IF(C500:L500&gt;0, $C$2:$L$2, ""))</f>
        <v xml:space="preserve"> Ti-Al-Mo-V</v>
      </c>
      <c r="N500" s="90">
        <f t="shared" si="14"/>
        <v>469</v>
      </c>
      <c r="O500" s="91">
        <f t="shared" si="15"/>
        <v>4</v>
      </c>
      <c r="P500" s="21">
        <v>1</v>
      </c>
      <c r="Q500" s="21">
        <v>0</v>
      </c>
      <c r="R500" s="21">
        <v>0</v>
      </c>
      <c r="S500" s="21">
        <v>0</v>
      </c>
      <c r="T500" s="22">
        <v>820</v>
      </c>
      <c r="U500" s="22">
        <v>10</v>
      </c>
      <c r="V500" s="106">
        <v>2</v>
      </c>
      <c r="W500" s="22">
        <v>580</v>
      </c>
      <c r="X500" s="22">
        <v>9</v>
      </c>
      <c r="Y500" s="107">
        <v>2</v>
      </c>
      <c r="Z500" s="23" t="s">
        <v>102</v>
      </c>
      <c r="AA500" s="23" t="s">
        <v>102</v>
      </c>
      <c r="AB500" s="21">
        <v>977.95</v>
      </c>
      <c r="AC500" s="21">
        <v>944.57</v>
      </c>
      <c r="AD500" s="21">
        <v>24.05</v>
      </c>
      <c r="AE500" s="23" t="s">
        <v>101</v>
      </c>
      <c r="AF500" s="23" t="s">
        <v>102</v>
      </c>
      <c r="AG500" s="23" t="s">
        <v>102</v>
      </c>
      <c r="AH500" s="23" t="s">
        <v>102</v>
      </c>
      <c r="AI500" s="23" t="s">
        <v>102</v>
      </c>
      <c r="AJ500" s="23" t="s">
        <v>102</v>
      </c>
      <c r="AK500" s="23" t="s">
        <v>102</v>
      </c>
      <c r="AL500" s="23" t="s">
        <v>102</v>
      </c>
      <c r="AM500" s="24"/>
      <c r="AN500" s="108" t="s">
        <v>101</v>
      </c>
      <c r="AO500" s="108" t="s">
        <v>103</v>
      </c>
      <c r="AP500" s="109">
        <v>189</v>
      </c>
      <c r="AQ500" s="110" t="s">
        <v>100</v>
      </c>
      <c r="AR500" s="105">
        <v>189</v>
      </c>
    </row>
    <row r="501" spans="1:44" ht="16.5">
      <c r="A501" s="105">
        <v>190</v>
      </c>
      <c r="B501" s="21" t="s">
        <v>101</v>
      </c>
      <c r="C501" s="21">
        <v>87.37</v>
      </c>
      <c r="D501" s="21">
        <v>3.3</v>
      </c>
      <c r="E501" s="21">
        <v>0</v>
      </c>
      <c r="F501" s="21">
        <v>4.8</v>
      </c>
      <c r="G501" s="21">
        <v>4.4000000000000004</v>
      </c>
      <c r="H501" s="21">
        <v>0</v>
      </c>
      <c r="I501" s="21">
        <v>0</v>
      </c>
      <c r="J501" s="21">
        <v>0</v>
      </c>
      <c r="K501" s="21">
        <v>0</v>
      </c>
      <c r="L501" s="21">
        <v>0</v>
      </c>
      <c r="M501" s="74" t="str">
        <f t="array" ref="M501">_xlfn.TEXTJOIN("-", TRUE, IF(C501:L501&gt;0, $C$2:$L$2, ""))</f>
        <v xml:space="preserve"> Ti-Al-Mo-V</v>
      </c>
      <c r="N501" s="90">
        <f t="shared" si="14"/>
        <v>469</v>
      </c>
      <c r="O501" s="91">
        <f t="shared" si="15"/>
        <v>4</v>
      </c>
      <c r="P501" s="21">
        <v>1</v>
      </c>
      <c r="Q501" s="21">
        <v>0</v>
      </c>
      <c r="R501" s="21">
        <v>0</v>
      </c>
      <c r="S501" s="21">
        <v>0</v>
      </c>
      <c r="T501" s="22">
        <v>820</v>
      </c>
      <c r="U501" s="22">
        <v>11</v>
      </c>
      <c r="V501" s="106">
        <v>2</v>
      </c>
      <c r="W501" s="22">
        <v>580</v>
      </c>
      <c r="X501" s="22">
        <v>10</v>
      </c>
      <c r="Y501" s="107">
        <v>2</v>
      </c>
      <c r="Z501" s="23" t="s">
        <v>102</v>
      </c>
      <c r="AA501" s="23" t="s">
        <v>102</v>
      </c>
      <c r="AB501" s="21">
        <v>974.97</v>
      </c>
      <c r="AC501" s="21">
        <v>943.38</v>
      </c>
      <c r="AD501" s="21">
        <v>24.01</v>
      </c>
      <c r="AE501" s="23" t="s">
        <v>101</v>
      </c>
      <c r="AF501" s="23" t="s">
        <v>102</v>
      </c>
      <c r="AG501" s="23" t="s">
        <v>102</v>
      </c>
      <c r="AH501" s="23" t="s">
        <v>102</v>
      </c>
      <c r="AI501" s="23" t="s">
        <v>102</v>
      </c>
      <c r="AJ501" s="23" t="s">
        <v>102</v>
      </c>
      <c r="AK501" s="23" t="s">
        <v>102</v>
      </c>
      <c r="AL501" s="23" t="s">
        <v>102</v>
      </c>
      <c r="AM501" s="24"/>
      <c r="AN501" s="108" t="s">
        <v>101</v>
      </c>
      <c r="AO501" s="108" t="s">
        <v>103</v>
      </c>
      <c r="AP501" s="109">
        <v>190</v>
      </c>
      <c r="AQ501" s="119" t="s">
        <v>100</v>
      </c>
      <c r="AR501" s="105">
        <v>190</v>
      </c>
    </row>
    <row r="502" spans="1:44" ht="16.5">
      <c r="A502" s="105">
        <v>191</v>
      </c>
      <c r="B502" s="21" t="s">
        <v>101</v>
      </c>
      <c r="C502" s="21">
        <v>87.37</v>
      </c>
      <c r="D502" s="21">
        <v>3.3</v>
      </c>
      <c r="E502" s="21">
        <v>0</v>
      </c>
      <c r="F502" s="21">
        <v>4.8</v>
      </c>
      <c r="G502" s="21">
        <v>4.4000000000000004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74" t="str">
        <f t="array" ref="M502">_xlfn.TEXTJOIN("-", TRUE, IF(C502:L502&gt;0, $C$2:$L$2, ""))</f>
        <v xml:space="preserve"> Ti-Al-Mo-V</v>
      </c>
      <c r="N502" s="90">
        <f t="shared" si="14"/>
        <v>469</v>
      </c>
      <c r="O502" s="91">
        <f t="shared" si="15"/>
        <v>4</v>
      </c>
      <c r="P502" s="21">
        <v>1</v>
      </c>
      <c r="Q502" s="21">
        <v>0</v>
      </c>
      <c r="R502" s="21">
        <v>0</v>
      </c>
      <c r="S502" s="21">
        <v>0</v>
      </c>
      <c r="T502" s="22">
        <v>820</v>
      </c>
      <c r="U502" s="22">
        <v>12</v>
      </c>
      <c r="V502" s="106">
        <v>2</v>
      </c>
      <c r="W502" s="22">
        <v>600</v>
      </c>
      <c r="X502" s="22">
        <v>6</v>
      </c>
      <c r="Y502" s="107">
        <v>2</v>
      </c>
      <c r="Z502" s="23" t="s">
        <v>102</v>
      </c>
      <c r="AA502" s="23" t="s">
        <v>102</v>
      </c>
      <c r="AB502" s="21">
        <v>913.02</v>
      </c>
      <c r="AC502" s="21">
        <v>873.54</v>
      </c>
      <c r="AD502" s="21">
        <v>25.34</v>
      </c>
      <c r="AE502" s="23" t="s">
        <v>101</v>
      </c>
      <c r="AF502" s="23" t="s">
        <v>102</v>
      </c>
      <c r="AG502" s="23" t="s">
        <v>102</v>
      </c>
      <c r="AH502" s="23" t="s">
        <v>102</v>
      </c>
      <c r="AI502" s="23" t="s">
        <v>102</v>
      </c>
      <c r="AJ502" s="23" t="s">
        <v>102</v>
      </c>
      <c r="AK502" s="23" t="s">
        <v>102</v>
      </c>
      <c r="AL502" s="23" t="s">
        <v>102</v>
      </c>
      <c r="AM502" s="24"/>
      <c r="AN502" s="108" t="s">
        <v>101</v>
      </c>
      <c r="AO502" s="108" t="s">
        <v>103</v>
      </c>
      <c r="AP502" s="109">
        <v>191</v>
      </c>
      <c r="AQ502" s="110" t="s">
        <v>100</v>
      </c>
      <c r="AR502" s="105">
        <v>191</v>
      </c>
    </row>
    <row r="503" spans="1:44" ht="16.5">
      <c r="A503" s="105">
        <v>192</v>
      </c>
      <c r="B503" s="21" t="s">
        <v>101</v>
      </c>
      <c r="C503" s="21">
        <v>87.37</v>
      </c>
      <c r="D503" s="21">
        <v>3.3</v>
      </c>
      <c r="E503" s="21">
        <v>0</v>
      </c>
      <c r="F503" s="21">
        <v>4.8</v>
      </c>
      <c r="G503" s="21">
        <v>4.4000000000000004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74" t="str">
        <f t="array" ref="M503">_xlfn.TEXTJOIN("-", TRUE, IF(C503:L503&gt;0, $C$2:$L$2, ""))</f>
        <v xml:space="preserve"> Ti-Al-Mo-V</v>
      </c>
      <c r="N503" s="90">
        <f t="shared" si="14"/>
        <v>469</v>
      </c>
      <c r="O503" s="91">
        <f t="shared" si="15"/>
        <v>4</v>
      </c>
      <c r="P503" s="21">
        <v>1</v>
      </c>
      <c r="Q503" s="21">
        <v>0</v>
      </c>
      <c r="R503" s="21">
        <v>0</v>
      </c>
      <c r="S503" s="21">
        <v>0</v>
      </c>
      <c r="T503" s="22">
        <v>820</v>
      </c>
      <c r="U503" s="22">
        <v>13</v>
      </c>
      <c r="V503" s="106">
        <v>2</v>
      </c>
      <c r="W503" s="22">
        <v>600</v>
      </c>
      <c r="X503" s="22">
        <v>7</v>
      </c>
      <c r="Y503" s="107">
        <v>2</v>
      </c>
      <c r="Z503" s="23" t="s">
        <v>102</v>
      </c>
      <c r="AA503" s="23" t="s">
        <v>102</v>
      </c>
      <c r="AB503" s="21">
        <v>917.65</v>
      </c>
      <c r="AC503" s="21">
        <v>882.35</v>
      </c>
      <c r="AD503" s="21">
        <v>25.51</v>
      </c>
      <c r="AE503" s="23" t="s">
        <v>101</v>
      </c>
      <c r="AF503" s="23" t="s">
        <v>102</v>
      </c>
      <c r="AG503" s="23" t="s">
        <v>102</v>
      </c>
      <c r="AH503" s="23" t="s">
        <v>102</v>
      </c>
      <c r="AI503" s="23" t="s">
        <v>102</v>
      </c>
      <c r="AJ503" s="23" t="s">
        <v>102</v>
      </c>
      <c r="AK503" s="23" t="s">
        <v>102</v>
      </c>
      <c r="AL503" s="23" t="s">
        <v>102</v>
      </c>
      <c r="AM503" s="24"/>
      <c r="AN503" s="108" t="s">
        <v>101</v>
      </c>
      <c r="AO503" s="108" t="s">
        <v>103</v>
      </c>
      <c r="AP503" s="109">
        <v>192</v>
      </c>
      <c r="AQ503" s="110" t="s">
        <v>100</v>
      </c>
      <c r="AR503" s="105">
        <v>192</v>
      </c>
    </row>
    <row r="504" spans="1:44" ht="16.5">
      <c r="A504" s="105">
        <v>193</v>
      </c>
      <c r="B504" s="21" t="s">
        <v>101</v>
      </c>
      <c r="C504" s="21">
        <v>87.37</v>
      </c>
      <c r="D504" s="21">
        <v>3.3</v>
      </c>
      <c r="E504" s="21">
        <v>0</v>
      </c>
      <c r="F504" s="21">
        <v>4.8</v>
      </c>
      <c r="G504" s="21">
        <v>4.4000000000000004</v>
      </c>
      <c r="H504" s="21">
        <v>0</v>
      </c>
      <c r="I504" s="21">
        <v>0</v>
      </c>
      <c r="J504" s="21">
        <v>0</v>
      </c>
      <c r="K504" s="21">
        <v>0</v>
      </c>
      <c r="L504" s="21">
        <v>0</v>
      </c>
      <c r="M504" s="74" t="str">
        <f t="array" ref="M504">_xlfn.TEXTJOIN("-", TRUE, IF(C504:L504&gt;0, $C$2:$L$2, ""))</f>
        <v xml:space="preserve"> Ti-Al-Mo-V</v>
      </c>
      <c r="N504" s="90">
        <f t="shared" si="14"/>
        <v>469</v>
      </c>
      <c r="O504" s="91">
        <f t="shared" si="15"/>
        <v>4</v>
      </c>
      <c r="P504" s="21">
        <v>1</v>
      </c>
      <c r="Q504" s="21">
        <v>0</v>
      </c>
      <c r="R504" s="21">
        <v>0</v>
      </c>
      <c r="S504" s="21">
        <v>0</v>
      </c>
      <c r="T504" s="22">
        <v>820</v>
      </c>
      <c r="U504" s="22">
        <v>14</v>
      </c>
      <c r="V504" s="106">
        <v>2</v>
      </c>
      <c r="W504" s="22">
        <v>600</v>
      </c>
      <c r="X504" s="22">
        <v>8</v>
      </c>
      <c r="Y504" s="107">
        <v>2</v>
      </c>
      <c r="Z504" s="23" t="s">
        <v>102</v>
      </c>
      <c r="AA504" s="23" t="s">
        <v>102</v>
      </c>
      <c r="AB504" s="21">
        <v>970.81</v>
      </c>
      <c r="AC504" s="21">
        <v>934.69</v>
      </c>
      <c r="AD504" s="21">
        <v>25</v>
      </c>
      <c r="AE504" s="23" t="s">
        <v>101</v>
      </c>
      <c r="AF504" s="23" t="s">
        <v>102</v>
      </c>
      <c r="AG504" s="23" t="s">
        <v>102</v>
      </c>
      <c r="AH504" s="23" t="s">
        <v>102</v>
      </c>
      <c r="AI504" s="23" t="s">
        <v>102</v>
      </c>
      <c r="AJ504" s="23" t="s">
        <v>102</v>
      </c>
      <c r="AK504" s="23" t="s">
        <v>102</v>
      </c>
      <c r="AL504" s="23" t="s">
        <v>102</v>
      </c>
      <c r="AM504" s="24"/>
      <c r="AN504" s="108" t="s">
        <v>101</v>
      </c>
      <c r="AO504" s="108" t="s">
        <v>103</v>
      </c>
      <c r="AP504" s="109">
        <v>193</v>
      </c>
      <c r="AQ504" s="119" t="s">
        <v>100</v>
      </c>
      <c r="AR504" s="105">
        <v>193</v>
      </c>
    </row>
    <row r="505" spans="1:44" ht="16.5">
      <c r="A505" s="105">
        <v>194</v>
      </c>
      <c r="B505" s="21" t="s">
        <v>101</v>
      </c>
      <c r="C505" s="21">
        <v>87.37</v>
      </c>
      <c r="D505" s="21">
        <v>3.3</v>
      </c>
      <c r="E505" s="21">
        <v>0</v>
      </c>
      <c r="F505" s="21">
        <v>4.8</v>
      </c>
      <c r="G505" s="21">
        <v>4.4000000000000004</v>
      </c>
      <c r="H505" s="21">
        <v>0</v>
      </c>
      <c r="I505" s="21">
        <v>0</v>
      </c>
      <c r="J505" s="21">
        <v>0</v>
      </c>
      <c r="K505" s="21">
        <v>0</v>
      </c>
      <c r="L505" s="21">
        <v>0</v>
      </c>
      <c r="M505" s="74" t="str">
        <f t="array" ref="M505">_xlfn.TEXTJOIN("-", TRUE, IF(C505:L505&gt;0, $C$2:$L$2, ""))</f>
        <v xml:space="preserve"> Ti-Al-Mo-V</v>
      </c>
      <c r="N505" s="90">
        <f t="shared" si="14"/>
        <v>469</v>
      </c>
      <c r="O505" s="91">
        <f t="shared" si="15"/>
        <v>4</v>
      </c>
      <c r="P505" s="21">
        <v>1</v>
      </c>
      <c r="Q505" s="21">
        <v>0</v>
      </c>
      <c r="R505" s="21">
        <v>0</v>
      </c>
      <c r="S505" s="21">
        <v>0</v>
      </c>
      <c r="T505" s="22">
        <v>820</v>
      </c>
      <c r="U505" s="22">
        <v>15</v>
      </c>
      <c r="V505" s="106">
        <v>2</v>
      </c>
      <c r="W505" s="22">
        <v>600</v>
      </c>
      <c r="X505" s="22">
        <v>9</v>
      </c>
      <c r="Y505" s="107">
        <v>2</v>
      </c>
      <c r="Z505" s="23" t="s">
        <v>102</v>
      </c>
      <c r="AA505" s="23" t="s">
        <v>102</v>
      </c>
      <c r="AB505" s="21">
        <v>958.4</v>
      </c>
      <c r="AC505" s="21">
        <v>928.66</v>
      </c>
      <c r="AD505" s="21">
        <v>24.95</v>
      </c>
      <c r="AE505" s="23" t="s">
        <v>101</v>
      </c>
      <c r="AF505" s="23" t="s">
        <v>102</v>
      </c>
      <c r="AG505" s="23" t="s">
        <v>102</v>
      </c>
      <c r="AH505" s="23" t="s">
        <v>102</v>
      </c>
      <c r="AI505" s="23" t="s">
        <v>102</v>
      </c>
      <c r="AJ505" s="23" t="s">
        <v>102</v>
      </c>
      <c r="AK505" s="23" t="s">
        <v>102</v>
      </c>
      <c r="AL505" s="23" t="s">
        <v>102</v>
      </c>
      <c r="AM505" s="24"/>
      <c r="AN505" s="108" t="s">
        <v>101</v>
      </c>
      <c r="AO505" s="108" t="s">
        <v>103</v>
      </c>
      <c r="AP505" s="109">
        <v>194</v>
      </c>
      <c r="AQ505" s="110" t="s">
        <v>100</v>
      </c>
      <c r="AR505" s="105">
        <v>194</v>
      </c>
    </row>
    <row r="506" spans="1:44" ht="16.5">
      <c r="A506" s="105">
        <v>195</v>
      </c>
      <c r="B506" s="21" t="s">
        <v>101</v>
      </c>
      <c r="C506" s="21">
        <v>87.37</v>
      </c>
      <c r="D506" s="21">
        <v>3.3</v>
      </c>
      <c r="E506" s="21">
        <v>0</v>
      </c>
      <c r="F506" s="21">
        <v>4.8</v>
      </c>
      <c r="G506" s="21">
        <v>4.4000000000000004</v>
      </c>
      <c r="H506" s="21">
        <v>0</v>
      </c>
      <c r="I506" s="21">
        <v>0</v>
      </c>
      <c r="J506" s="21">
        <v>0</v>
      </c>
      <c r="K506" s="21">
        <v>0</v>
      </c>
      <c r="L506" s="21">
        <v>0</v>
      </c>
      <c r="M506" s="74" t="str">
        <f t="array" ref="M506">_xlfn.TEXTJOIN("-", TRUE, IF(C506:L506&gt;0, $C$2:$L$2, ""))</f>
        <v xml:space="preserve"> Ti-Al-Mo-V</v>
      </c>
      <c r="N506" s="90">
        <f t="shared" si="14"/>
        <v>469</v>
      </c>
      <c r="O506" s="91">
        <f t="shared" si="15"/>
        <v>4</v>
      </c>
      <c r="P506" s="21">
        <v>1</v>
      </c>
      <c r="Q506" s="21">
        <v>0</v>
      </c>
      <c r="R506" s="21">
        <v>0</v>
      </c>
      <c r="S506" s="21">
        <v>0</v>
      </c>
      <c r="T506" s="22">
        <v>820</v>
      </c>
      <c r="U506" s="22">
        <v>16</v>
      </c>
      <c r="V506" s="106">
        <v>2</v>
      </c>
      <c r="W506" s="22">
        <v>600</v>
      </c>
      <c r="X506" s="22">
        <v>10</v>
      </c>
      <c r="Y506" s="107">
        <v>2</v>
      </c>
      <c r="Z506" s="23" t="s">
        <v>102</v>
      </c>
      <c r="AA506" s="23" t="s">
        <v>102</v>
      </c>
      <c r="AB506" s="21">
        <v>951</v>
      </c>
      <c r="AC506" s="21">
        <v>923.96</v>
      </c>
      <c r="AD506" s="21">
        <v>24.7</v>
      </c>
      <c r="AE506" s="23" t="s">
        <v>101</v>
      </c>
      <c r="AF506" s="23" t="s">
        <v>102</v>
      </c>
      <c r="AG506" s="23" t="s">
        <v>102</v>
      </c>
      <c r="AH506" s="23" t="s">
        <v>102</v>
      </c>
      <c r="AI506" s="23" t="s">
        <v>102</v>
      </c>
      <c r="AJ506" s="23" t="s">
        <v>102</v>
      </c>
      <c r="AK506" s="23" t="s">
        <v>102</v>
      </c>
      <c r="AL506" s="23" t="s">
        <v>102</v>
      </c>
      <c r="AM506" s="24"/>
      <c r="AN506" s="108" t="s">
        <v>101</v>
      </c>
      <c r="AO506" s="108" t="s">
        <v>103</v>
      </c>
      <c r="AP506" s="109">
        <v>195</v>
      </c>
      <c r="AQ506" s="110" t="s">
        <v>100</v>
      </c>
      <c r="AR506" s="105">
        <v>195</v>
      </c>
    </row>
    <row r="507" spans="1:44" ht="16.5">
      <c r="A507" s="105">
        <v>180</v>
      </c>
      <c r="B507" s="21" t="s">
        <v>101</v>
      </c>
      <c r="C507" s="21">
        <v>87.37</v>
      </c>
      <c r="D507" s="21">
        <v>3.3</v>
      </c>
      <c r="E507" s="21">
        <v>0</v>
      </c>
      <c r="F507" s="21">
        <v>4.8</v>
      </c>
      <c r="G507" s="21">
        <v>4.4000000000000004</v>
      </c>
      <c r="H507" s="21">
        <v>0</v>
      </c>
      <c r="I507" s="21">
        <v>0</v>
      </c>
      <c r="J507" s="21">
        <v>0</v>
      </c>
      <c r="K507" s="21">
        <v>0</v>
      </c>
      <c r="L507" s="21">
        <v>0</v>
      </c>
      <c r="M507" s="74" t="str">
        <f t="array" ref="M507">_xlfn.TEXTJOIN("-", TRUE, IF(C507:L507&gt;0, $C$2:$L$2, ""))</f>
        <v xml:space="preserve"> Ti-Al-Mo-V</v>
      </c>
      <c r="N507" s="90">
        <f t="shared" si="14"/>
        <v>469</v>
      </c>
      <c r="O507" s="91">
        <f t="shared" si="15"/>
        <v>4</v>
      </c>
      <c r="P507" s="21">
        <v>1</v>
      </c>
      <c r="Q507" s="21">
        <v>0</v>
      </c>
      <c r="R507" s="21">
        <v>0</v>
      </c>
      <c r="S507" s="21">
        <v>0</v>
      </c>
      <c r="T507" s="22">
        <v>0</v>
      </c>
      <c r="U507" s="22">
        <v>0</v>
      </c>
      <c r="V507" s="106">
        <v>0</v>
      </c>
      <c r="W507" s="22">
        <v>0</v>
      </c>
      <c r="X507" s="22">
        <v>0</v>
      </c>
      <c r="Y507" s="107">
        <v>0</v>
      </c>
      <c r="Z507" s="23" t="s">
        <v>102</v>
      </c>
      <c r="AA507" s="23" t="s">
        <v>102</v>
      </c>
      <c r="AB507" s="21">
        <v>886.97</v>
      </c>
      <c r="AC507" s="21">
        <v>860.43</v>
      </c>
      <c r="AD507" s="21">
        <v>18.760000000000002</v>
      </c>
      <c r="AE507" s="23" t="s">
        <v>101</v>
      </c>
      <c r="AF507" s="23" t="s">
        <v>102</v>
      </c>
      <c r="AG507" s="23" t="s">
        <v>102</v>
      </c>
      <c r="AH507" s="23" t="s">
        <v>102</v>
      </c>
      <c r="AI507" s="23" t="s">
        <v>102</v>
      </c>
      <c r="AJ507" s="23" t="s">
        <v>102</v>
      </c>
      <c r="AK507" s="23" t="s">
        <v>102</v>
      </c>
      <c r="AL507" s="23" t="s">
        <v>102</v>
      </c>
      <c r="AM507" s="24"/>
      <c r="AN507" s="108" t="s">
        <v>101</v>
      </c>
      <c r="AO507" s="108" t="s">
        <v>103</v>
      </c>
      <c r="AP507" s="109">
        <v>180</v>
      </c>
      <c r="AQ507" s="110" t="s">
        <v>100</v>
      </c>
      <c r="AR507" s="105">
        <v>180</v>
      </c>
    </row>
    <row r="508" spans="1:44" ht="16.5">
      <c r="A508" s="117">
        <v>196</v>
      </c>
      <c r="B508" s="21" t="s">
        <v>101</v>
      </c>
      <c r="C508" s="21">
        <v>87.37</v>
      </c>
      <c r="D508" s="21">
        <v>3.3</v>
      </c>
      <c r="E508" s="21">
        <v>0</v>
      </c>
      <c r="F508" s="21">
        <v>4.8</v>
      </c>
      <c r="G508" s="21">
        <v>4.4000000000000004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74" t="str">
        <f t="array" ref="M508">_xlfn.TEXTJOIN("-", TRUE, IF(C508:L508&gt;0, $C$2:$L$2, ""))</f>
        <v xml:space="preserve"> Ti-Al-Mo-V</v>
      </c>
      <c r="N508" s="90">
        <f t="shared" si="14"/>
        <v>469</v>
      </c>
      <c r="O508" s="91">
        <f t="shared" si="15"/>
        <v>4</v>
      </c>
      <c r="P508" s="21">
        <v>1</v>
      </c>
      <c r="Q508" s="21">
        <v>0</v>
      </c>
      <c r="R508" s="21">
        <v>0</v>
      </c>
      <c r="S508" s="21">
        <v>0</v>
      </c>
      <c r="T508" s="22">
        <v>780</v>
      </c>
      <c r="U508" s="22">
        <v>3</v>
      </c>
      <c r="V508" s="106">
        <v>3</v>
      </c>
      <c r="W508" s="22">
        <v>0</v>
      </c>
      <c r="X508" s="22">
        <v>0</v>
      </c>
      <c r="Y508" s="107">
        <v>0</v>
      </c>
      <c r="Z508" s="23" t="s">
        <v>102</v>
      </c>
      <c r="AA508" s="23" t="s">
        <v>102</v>
      </c>
      <c r="AB508" s="21">
        <v>847.12</v>
      </c>
      <c r="AC508" s="21">
        <v>837.43</v>
      </c>
      <c r="AD508" s="21">
        <v>26.2</v>
      </c>
      <c r="AE508" s="23" t="s">
        <v>101</v>
      </c>
      <c r="AF508" s="23" t="s">
        <v>102</v>
      </c>
      <c r="AG508" s="23" t="s">
        <v>102</v>
      </c>
      <c r="AH508" s="23" t="s">
        <v>102</v>
      </c>
      <c r="AI508" s="23" t="s">
        <v>102</v>
      </c>
      <c r="AJ508" s="23" t="s">
        <v>102</v>
      </c>
      <c r="AK508" s="23" t="s">
        <v>102</v>
      </c>
      <c r="AL508" s="23" t="s">
        <v>102</v>
      </c>
      <c r="AM508" s="24"/>
      <c r="AN508" s="108" t="s">
        <v>101</v>
      </c>
      <c r="AO508" s="108" t="s">
        <v>103</v>
      </c>
      <c r="AP508" s="118">
        <v>196</v>
      </c>
      <c r="AQ508" s="110" t="s">
        <v>100</v>
      </c>
      <c r="AR508" s="117">
        <v>196</v>
      </c>
    </row>
    <row r="509" spans="1:44" ht="16.5">
      <c r="A509" s="105">
        <v>197</v>
      </c>
      <c r="B509" s="21" t="s">
        <v>101</v>
      </c>
      <c r="C509" s="21">
        <v>87.37</v>
      </c>
      <c r="D509" s="21">
        <v>3.3</v>
      </c>
      <c r="E509" s="21">
        <v>0</v>
      </c>
      <c r="F509" s="21">
        <v>4.8</v>
      </c>
      <c r="G509" s="21">
        <v>4.4000000000000004</v>
      </c>
      <c r="H509" s="21">
        <v>0</v>
      </c>
      <c r="I509" s="21">
        <v>0</v>
      </c>
      <c r="J509" s="21">
        <v>0</v>
      </c>
      <c r="K509" s="21">
        <v>0</v>
      </c>
      <c r="L509" s="21">
        <v>0</v>
      </c>
      <c r="M509" s="74" t="str">
        <f t="array" ref="M509">_xlfn.TEXTJOIN("-", TRUE, IF(C509:L509&gt;0, $C$2:$L$2, ""))</f>
        <v xml:space="preserve"> Ti-Al-Mo-V</v>
      </c>
      <c r="N509" s="90">
        <f t="shared" si="14"/>
        <v>469</v>
      </c>
      <c r="O509" s="91">
        <f t="shared" si="15"/>
        <v>4</v>
      </c>
      <c r="P509" s="21">
        <v>1</v>
      </c>
      <c r="Q509" s="21">
        <v>0</v>
      </c>
      <c r="R509" s="21">
        <v>0</v>
      </c>
      <c r="S509" s="21">
        <v>0</v>
      </c>
      <c r="T509" s="22">
        <v>800</v>
      </c>
      <c r="U509" s="22">
        <v>3</v>
      </c>
      <c r="V509" s="106">
        <v>3</v>
      </c>
      <c r="W509" s="22">
        <v>0</v>
      </c>
      <c r="X509" s="22">
        <v>0</v>
      </c>
      <c r="Y509" s="107">
        <v>0</v>
      </c>
      <c r="Z509" s="23" t="s">
        <v>102</v>
      </c>
      <c r="AA509" s="23" t="s">
        <v>102</v>
      </c>
      <c r="AB509" s="21">
        <v>842.85</v>
      </c>
      <c r="AC509" s="21">
        <v>831.94</v>
      </c>
      <c r="AD509" s="21">
        <v>25.04</v>
      </c>
      <c r="AE509" s="23" t="s">
        <v>101</v>
      </c>
      <c r="AF509" s="23" t="s">
        <v>102</v>
      </c>
      <c r="AG509" s="23" t="s">
        <v>102</v>
      </c>
      <c r="AH509" s="23" t="s">
        <v>102</v>
      </c>
      <c r="AI509" s="23" t="s">
        <v>102</v>
      </c>
      <c r="AJ509" s="23" t="s">
        <v>102</v>
      </c>
      <c r="AK509" s="23" t="s">
        <v>102</v>
      </c>
      <c r="AL509" s="23" t="s">
        <v>102</v>
      </c>
      <c r="AM509" s="24"/>
      <c r="AN509" s="108" t="s">
        <v>101</v>
      </c>
      <c r="AO509" s="108" t="s">
        <v>103</v>
      </c>
      <c r="AP509" s="109">
        <v>197</v>
      </c>
      <c r="AQ509" s="110" t="s">
        <v>100</v>
      </c>
      <c r="AR509" s="105">
        <v>197</v>
      </c>
    </row>
    <row r="510" spans="1:44" ht="16.5">
      <c r="A510" s="117">
        <v>198</v>
      </c>
      <c r="B510" s="21" t="s">
        <v>101</v>
      </c>
      <c r="C510" s="21">
        <v>87.37</v>
      </c>
      <c r="D510" s="21">
        <v>3.3</v>
      </c>
      <c r="E510" s="21">
        <v>0</v>
      </c>
      <c r="F510" s="21">
        <v>4.8</v>
      </c>
      <c r="G510" s="21">
        <v>4.4000000000000004</v>
      </c>
      <c r="H510" s="21">
        <v>0</v>
      </c>
      <c r="I510" s="21">
        <v>0</v>
      </c>
      <c r="J510" s="21">
        <v>0</v>
      </c>
      <c r="K510" s="21">
        <v>0</v>
      </c>
      <c r="L510" s="21">
        <v>0</v>
      </c>
      <c r="M510" s="74" t="str">
        <f t="array" ref="M510">_xlfn.TEXTJOIN("-", TRUE, IF(C510:L510&gt;0, $C$2:$L$2, ""))</f>
        <v xml:space="preserve"> Ti-Al-Mo-V</v>
      </c>
      <c r="N510" s="90">
        <f t="shared" si="14"/>
        <v>469</v>
      </c>
      <c r="O510" s="91">
        <f t="shared" si="15"/>
        <v>4</v>
      </c>
      <c r="P510" s="21">
        <v>1</v>
      </c>
      <c r="Q510" s="21">
        <v>0</v>
      </c>
      <c r="R510" s="21">
        <v>0</v>
      </c>
      <c r="S510" s="21">
        <v>0</v>
      </c>
      <c r="T510" s="22">
        <v>820</v>
      </c>
      <c r="U510" s="22">
        <v>3</v>
      </c>
      <c r="V510" s="106">
        <v>3</v>
      </c>
      <c r="W510" s="22">
        <v>0</v>
      </c>
      <c r="X510" s="22">
        <v>0</v>
      </c>
      <c r="Y510" s="107">
        <v>0</v>
      </c>
      <c r="Z510" s="23" t="s">
        <v>102</v>
      </c>
      <c r="AA510" s="23" t="s">
        <v>102</v>
      </c>
      <c r="AB510" s="21">
        <v>844.02</v>
      </c>
      <c r="AC510" s="21">
        <v>827.81</v>
      </c>
      <c r="AD510" s="21">
        <v>23.74</v>
      </c>
      <c r="AE510" s="23" t="s">
        <v>101</v>
      </c>
      <c r="AF510" s="23" t="s">
        <v>102</v>
      </c>
      <c r="AG510" s="23" t="s">
        <v>102</v>
      </c>
      <c r="AH510" s="23" t="s">
        <v>102</v>
      </c>
      <c r="AI510" s="23" t="s">
        <v>102</v>
      </c>
      <c r="AJ510" s="23" t="s">
        <v>102</v>
      </c>
      <c r="AK510" s="23" t="s">
        <v>102</v>
      </c>
      <c r="AL510" s="23" t="s">
        <v>102</v>
      </c>
      <c r="AM510" s="24"/>
      <c r="AN510" s="108" t="s">
        <v>101</v>
      </c>
      <c r="AO510" s="108" t="s">
        <v>103</v>
      </c>
      <c r="AP510" s="118">
        <v>198</v>
      </c>
      <c r="AQ510" s="110" t="s">
        <v>100</v>
      </c>
      <c r="AR510" s="117">
        <v>198</v>
      </c>
    </row>
    <row r="511" spans="1:44" ht="16.5">
      <c r="A511" s="117">
        <v>199</v>
      </c>
      <c r="B511" s="21" t="s">
        <v>101</v>
      </c>
      <c r="C511" s="21">
        <v>87.37</v>
      </c>
      <c r="D511" s="21">
        <v>3.3</v>
      </c>
      <c r="E511" s="21">
        <v>0</v>
      </c>
      <c r="F511" s="21">
        <v>4.8</v>
      </c>
      <c r="G511" s="21">
        <v>4.4000000000000004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74" t="str">
        <f t="array" ref="M511">_xlfn.TEXTJOIN("-", TRUE, IF(C511:L511&gt;0, $C$2:$L$2, ""))</f>
        <v xml:space="preserve"> Ti-Al-Mo-V</v>
      </c>
      <c r="N511" s="90">
        <f t="shared" si="14"/>
        <v>469</v>
      </c>
      <c r="O511" s="91">
        <f t="shared" si="15"/>
        <v>4</v>
      </c>
      <c r="P511" s="21">
        <v>1</v>
      </c>
      <c r="Q511" s="21">
        <v>0</v>
      </c>
      <c r="R511" s="21">
        <v>0</v>
      </c>
      <c r="S511" s="21">
        <v>0</v>
      </c>
      <c r="T511" s="22">
        <v>840</v>
      </c>
      <c r="U511" s="22">
        <v>3</v>
      </c>
      <c r="V511" s="106">
        <v>3</v>
      </c>
      <c r="W511" s="22">
        <v>0</v>
      </c>
      <c r="X511" s="22">
        <v>0</v>
      </c>
      <c r="Y511" s="107">
        <v>0</v>
      </c>
      <c r="Z511" s="23" t="s">
        <v>102</v>
      </c>
      <c r="AA511" s="23" t="s">
        <v>102</v>
      </c>
      <c r="AB511" s="21">
        <v>857.7</v>
      </c>
      <c r="AC511" s="21">
        <v>823.06</v>
      </c>
      <c r="AD511" s="21">
        <v>23.6</v>
      </c>
      <c r="AE511" s="23" t="s">
        <v>101</v>
      </c>
      <c r="AF511" s="23" t="s">
        <v>102</v>
      </c>
      <c r="AG511" s="23" t="s">
        <v>102</v>
      </c>
      <c r="AH511" s="23" t="s">
        <v>102</v>
      </c>
      <c r="AI511" s="23" t="s">
        <v>102</v>
      </c>
      <c r="AJ511" s="23" t="s">
        <v>102</v>
      </c>
      <c r="AK511" s="23" t="s">
        <v>102</v>
      </c>
      <c r="AL511" s="23" t="s">
        <v>102</v>
      </c>
      <c r="AM511" s="24"/>
      <c r="AN511" s="108" t="s">
        <v>101</v>
      </c>
      <c r="AO511" s="108" t="s">
        <v>103</v>
      </c>
      <c r="AP511" s="118">
        <v>199</v>
      </c>
      <c r="AQ511" s="110" t="s">
        <v>100</v>
      </c>
      <c r="AR511" s="117">
        <v>199</v>
      </c>
    </row>
    <row r="512" spans="1:44" ht="16.5">
      <c r="A512" s="105">
        <v>200</v>
      </c>
      <c r="B512" s="21" t="s">
        <v>101</v>
      </c>
      <c r="C512" s="21">
        <v>87.37</v>
      </c>
      <c r="D512" s="21">
        <v>3.3</v>
      </c>
      <c r="E512" s="21">
        <v>0</v>
      </c>
      <c r="F512" s="21">
        <v>4.8</v>
      </c>
      <c r="G512" s="21">
        <v>4.4000000000000004</v>
      </c>
      <c r="H512" s="21">
        <v>0</v>
      </c>
      <c r="I512" s="21">
        <v>0</v>
      </c>
      <c r="J512" s="21">
        <v>0</v>
      </c>
      <c r="K512" s="21">
        <v>0</v>
      </c>
      <c r="L512" s="21">
        <v>0</v>
      </c>
      <c r="M512" s="74" t="str">
        <f t="array" ref="M512">_xlfn.TEXTJOIN("-", TRUE, IF(C512:L512&gt;0, $C$2:$L$2, ""))</f>
        <v xml:space="preserve"> Ti-Al-Mo-V</v>
      </c>
      <c r="N512" s="90">
        <f t="shared" si="14"/>
        <v>469</v>
      </c>
      <c r="O512" s="91">
        <f t="shared" si="15"/>
        <v>4</v>
      </c>
      <c r="P512" s="21">
        <v>1</v>
      </c>
      <c r="Q512" s="21">
        <v>0</v>
      </c>
      <c r="R512" s="21">
        <v>0</v>
      </c>
      <c r="S512" s="21">
        <v>0</v>
      </c>
      <c r="T512" s="22">
        <v>860</v>
      </c>
      <c r="U512" s="22">
        <v>3</v>
      </c>
      <c r="V512" s="106">
        <v>3</v>
      </c>
      <c r="W512" s="22">
        <v>0</v>
      </c>
      <c r="X512" s="22">
        <v>0</v>
      </c>
      <c r="Y512" s="107">
        <v>0</v>
      </c>
      <c r="Z512" s="23" t="s">
        <v>102</v>
      </c>
      <c r="AA512" s="23" t="s">
        <v>102</v>
      </c>
      <c r="AB512" s="21">
        <v>880.98</v>
      </c>
      <c r="AC512" s="21">
        <v>819.11</v>
      </c>
      <c r="AD512" s="21">
        <v>22.54</v>
      </c>
      <c r="AE512" s="23" t="s">
        <v>101</v>
      </c>
      <c r="AF512" s="23" t="s">
        <v>102</v>
      </c>
      <c r="AG512" s="23" t="s">
        <v>102</v>
      </c>
      <c r="AH512" s="23" t="s">
        <v>102</v>
      </c>
      <c r="AI512" s="23" t="s">
        <v>102</v>
      </c>
      <c r="AJ512" s="23" t="s">
        <v>102</v>
      </c>
      <c r="AK512" s="23" t="s">
        <v>102</v>
      </c>
      <c r="AL512" s="23" t="s">
        <v>102</v>
      </c>
      <c r="AM512" s="24"/>
      <c r="AN512" s="108" t="s">
        <v>101</v>
      </c>
      <c r="AO512" s="108" t="s">
        <v>103</v>
      </c>
      <c r="AP512" s="109">
        <v>200</v>
      </c>
      <c r="AQ512" s="110" t="s">
        <v>100</v>
      </c>
      <c r="AR512" s="105">
        <v>200</v>
      </c>
    </row>
    <row r="513" spans="1:61" ht="16.5">
      <c r="A513" s="105">
        <v>201</v>
      </c>
      <c r="B513" s="21" t="s">
        <v>101</v>
      </c>
      <c r="C513" s="21">
        <v>87.37</v>
      </c>
      <c r="D513" s="21">
        <v>3.3</v>
      </c>
      <c r="E513" s="21">
        <v>0</v>
      </c>
      <c r="F513" s="21">
        <v>4.8</v>
      </c>
      <c r="G513" s="21">
        <v>4.4000000000000004</v>
      </c>
      <c r="H513" s="21">
        <v>0</v>
      </c>
      <c r="I513" s="21">
        <v>0</v>
      </c>
      <c r="J513" s="21">
        <v>0</v>
      </c>
      <c r="K513" s="21">
        <v>0</v>
      </c>
      <c r="L513" s="21">
        <v>0</v>
      </c>
      <c r="M513" s="74" t="str">
        <f t="array" ref="M513">_xlfn.TEXTJOIN("-", TRUE, IF(C513:L513&gt;0, $C$2:$L$2, ""))</f>
        <v xml:space="preserve"> Ti-Al-Mo-V</v>
      </c>
      <c r="N513" s="90">
        <f t="shared" si="14"/>
        <v>469</v>
      </c>
      <c r="O513" s="91">
        <f t="shared" si="15"/>
        <v>4</v>
      </c>
      <c r="P513" s="21">
        <v>1</v>
      </c>
      <c r="Q513" s="21">
        <v>0</v>
      </c>
      <c r="R513" s="21">
        <v>0</v>
      </c>
      <c r="S513" s="21">
        <v>0</v>
      </c>
      <c r="T513" s="22">
        <v>880</v>
      </c>
      <c r="U513" s="22">
        <v>3</v>
      </c>
      <c r="V513" s="106">
        <v>3</v>
      </c>
      <c r="W513" s="22">
        <v>0</v>
      </c>
      <c r="X513" s="22">
        <v>0</v>
      </c>
      <c r="Y513" s="107">
        <v>0</v>
      </c>
      <c r="Z513" s="23" t="s">
        <v>102</v>
      </c>
      <c r="AA513" s="23" t="s">
        <v>102</v>
      </c>
      <c r="AB513" s="21">
        <v>878.6</v>
      </c>
      <c r="AC513" s="21">
        <v>791.11</v>
      </c>
      <c r="AD513" s="21">
        <v>18.920000000000002</v>
      </c>
      <c r="AE513" s="23" t="s">
        <v>101</v>
      </c>
      <c r="AF513" s="23" t="s">
        <v>102</v>
      </c>
      <c r="AG513" s="23" t="s">
        <v>102</v>
      </c>
      <c r="AH513" s="23" t="s">
        <v>102</v>
      </c>
      <c r="AI513" s="23" t="s">
        <v>102</v>
      </c>
      <c r="AJ513" s="23" t="s">
        <v>102</v>
      </c>
      <c r="AK513" s="23" t="s">
        <v>102</v>
      </c>
      <c r="AL513" s="23" t="s">
        <v>102</v>
      </c>
      <c r="AM513" s="24"/>
      <c r="AN513" s="108" t="s">
        <v>101</v>
      </c>
      <c r="AO513" s="108" t="s">
        <v>103</v>
      </c>
      <c r="AP513" s="109">
        <v>201</v>
      </c>
      <c r="AQ513" s="110" t="s">
        <v>100</v>
      </c>
      <c r="AR513" s="105">
        <v>201</v>
      </c>
    </row>
    <row r="514" spans="1:61" ht="15.6" customHeight="1">
      <c r="A514" s="120">
        <v>77</v>
      </c>
      <c r="B514" s="106" t="s">
        <v>115</v>
      </c>
      <c r="C514" s="106">
        <v>85</v>
      </c>
      <c r="D514" s="106">
        <v>3</v>
      </c>
      <c r="E514" s="106">
        <v>0</v>
      </c>
      <c r="F514" s="106">
        <v>0</v>
      </c>
      <c r="G514" s="106">
        <v>10</v>
      </c>
      <c r="H514" s="106">
        <v>0</v>
      </c>
      <c r="I514" s="106">
        <v>0</v>
      </c>
      <c r="J514" s="106">
        <v>0</v>
      </c>
      <c r="K514" s="106">
        <v>2</v>
      </c>
      <c r="L514" s="106">
        <v>0</v>
      </c>
      <c r="M514" s="74" t="str">
        <f t="array" ref="M514">_xlfn.TEXTJOIN("-", TRUE, IF(C514:L514&gt;0, $C$2:$L$2, ""))</f>
        <v xml:space="preserve"> Ti-Al-V-Fe</v>
      </c>
      <c r="N514" s="90">
        <f t="shared" si="14"/>
        <v>514</v>
      </c>
      <c r="O514" s="91">
        <f t="shared" si="15"/>
        <v>4</v>
      </c>
      <c r="P514" s="106">
        <v>2</v>
      </c>
      <c r="Q514" s="106">
        <v>0</v>
      </c>
      <c r="R514" s="106">
        <v>0</v>
      </c>
      <c r="S514" s="106">
        <v>0</v>
      </c>
      <c r="T514" s="106">
        <v>760</v>
      </c>
      <c r="U514" s="106">
        <v>2</v>
      </c>
      <c r="V514" s="106">
        <v>1</v>
      </c>
      <c r="W514" s="106">
        <v>520</v>
      </c>
      <c r="X514" s="106">
        <v>8.5</v>
      </c>
      <c r="Y514" s="106">
        <v>2</v>
      </c>
      <c r="Z514" s="121"/>
      <c r="AA514" s="121"/>
      <c r="AB514" s="106">
        <v>1265</v>
      </c>
      <c r="AC514" s="121"/>
      <c r="AD514" s="106">
        <v>12.18</v>
      </c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 t="s">
        <v>117</v>
      </c>
      <c r="AO514" s="122" t="s">
        <v>118</v>
      </c>
      <c r="AP514" s="123">
        <v>10</v>
      </c>
      <c r="AQ514" s="124" t="s">
        <v>54</v>
      </c>
      <c r="AR514" s="120">
        <v>77</v>
      </c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1" ht="16.5">
      <c r="A515" s="125">
        <v>78</v>
      </c>
      <c r="B515" s="106" t="s">
        <v>115</v>
      </c>
      <c r="C515" s="106">
        <v>85</v>
      </c>
      <c r="D515" s="106">
        <v>3</v>
      </c>
      <c r="E515" s="106">
        <v>0</v>
      </c>
      <c r="F515" s="106">
        <v>0</v>
      </c>
      <c r="G515" s="106">
        <v>10</v>
      </c>
      <c r="H515" s="106">
        <v>0</v>
      </c>
      <c r="I515" s="106">
        <v>0</v>
      </c>
      <c r="J515" s="106">
        <v>0</v>
      </c>
      <c r="K515" s="106">
        <v>2</v>
      </c>
      <c r="L515" s="106">
        <v>0</v>
      </c>
      <c r="M515" s="74" t="str">
        <f t="array" ref="M515">_xlfn.TEXTJOIN("-", TRUE, IF(C515:L515&gt;0, $C$2:$L$2, ""))</f>
        <v xml:space="preserve"> Ti-Al-V-Fe</v>
      </c>
      <c r="N515" s="90">
        <f t="shared" ref="N515:N578" si="16">IF(COUNTIF(M$3:M$1206, M515)&gt;1, MATCH(M515, M:M, 0), "")</f>
        <v>514</v>
      </c>
      <c r="O515" s="91">
        <f t="shared" ref="O515:O578" si="17">COUNTIF(C515:L515, "&lt;&gt;0")</f>
        <v>4</v>
      </c>
      <c r="P515" s="106">
        <v>2</v>
      </c>
      <c r="Q515" s="106">
        <v>0</v>
      </c>
      <c r="R515" s="106">
        <v>0</v>
      </c>
      <c r="S515" s="106">
        <v>0</v>
      </c>
      <c r="T515" s="106">
        <v>760</v>
      </c>
      <c r="U515" s="106">
        <v>2</v>
      </c>
      <c r="V515" s="106">
        <v>1</v>
      </c>
      <c r="W515" s="106">
        <v>530</v>
      </c>
      <c r="X515" s="106">
        <v>8.5</v>
      </c>
      <c r="Y515" s="106">
        <v>2</v>
      </c>
      <c r="Z515" s="121"/>
      <c r="AA515" s="121"/>
      <c r="AB515" s="106">
        <v>1186</v>
      </c>
      <c r="AC515" s="121"/>
      <c r="AD515" s="106">
        <v>13.18</v>
      </c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 t="s">
        <v>117</v>
      </c>
      <c r="AO515" s="121" t="s">
        <v>118</v>
      </c>
      <c r="AP515" s="126">
        <v>10</v>
      </c>
      <c r="AQ515" s="124" t="s">
        <v>54</v>
      </c>
      <c r="AR515" s="125">
        <v>78</v>
      </c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1" ht="16.5">
      <c r="A516" s="120">
        <v>79</v>
      </c>
      <c r="B516" s="106" t="s">
        <v>115</v>
      </c>
      <c r="C516" s="106">
        <v>85</v>
      </c>
      <c r="D516" s="106">
        <v>3</v>
      </c>
      <c r="E516" s="106">
        <v>0</v>
      </c>
      <c r="F516" s="106">
        <v>0</v>
      </c>
      <c r="G516" s="106">
        <v>10</v>
      </c>
      <c r="H516" s="106">
        <v>0</v>
      </c>
      <c r="I516" s="106">
        <v>0</v>
      </c>
      <c r="J516" s="106">
        <v>0</v>
      </c>
      <c r="K516" s="106">
        <v>2</v>
      </c>
      <c r="L516" s="106">
        <v>0</v>
      </c>
      <c r="M516" s="74" t="str">
        <f t="array" ref="M516">_xlfn.TEXTJOIN("-", TRUE, IF(C516:L516&gt;0, $C$2:$L$2, ""))</f>
        <v xml:space="preserve"> Ti-Al-V-Fe</v>
      </c>
      <c r="N516" s="90">
        <f t="shared" si="16"/>
        <v>514</v>
      </c>
      <c r="O516" s="91">
        <f t="shared" si="17"/>
        <v>4</v>
      </c>
      <c r="P516" s="106">
        <v>2</v>
      </c>
      <c r="Q516" s="106">
        <v>0</v>
      </c>
      <c r="R516" s="106">
        <v>0</v>
      </c>
      <c r="S516" s="106">
        <v>0</v>
      </c>
      <c r="T516" s="106">
        <v>760</v>
      </c>
      <c r="U516" s="106">
        <v>2</v>
      </c>
      <c r="V516" s="106">
        <v>1</v>
      </c>
      <c r="W516" s="106">
        <v>540</v>
      </c>
      <c r="X516" s="106">
        <v>8.5</v>
      </c>
      <c r="Y516" s="106">
        <v>2</v>
      </c>
      <c r="Z516" s="121"/>
      <c r="AA516" s="121"/>
      <c r="AB516" s="106">
        <v>1172</v>
      </c>
      <c r="AC516" s="121"/>
      <c r="AD516" s="106">
        <v>14.19</v>
      </c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 t="s">
        <v>117</v>
      </c>
      <c r="AO516" s="121" t="s">
        <v>118</v>
      </c>
      <c r="AP516" s="123">
        <v>10</v>
      </c>
      <c r="AQ516" s="124" t="s">
        <v>54</v>
      </c>
      <c r="AR516" s="120">
        <v>79</v>
      </c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1" ht="16.5">
      <c r="A517" s="120">
        <v>80</v>
      </c>
      <c r="B517" s="106" t="s">
        <v>115</v>
      </c>
      <c r="C517" s="106">
        <v>85</v>
      </c>
      <c r="D517" s="106">
        <v>3</v>
      </c>
      <c r="E517" s="106">
        <v>0</v>
      </c>
      <c r="F517" s="106">
        <v>0</v>
      </c>
      <c r="G517" s="106">
        <v>10</v>
      </c>
      <c r="H517" s="106">
        <v>0</v>
      </c>
      <c r="I517" s="106">
        <v>0</v>
      </c>
      <c r="J517" s="106">
        <v>0</v>
      </c>
      <c r="K517" s="106">
        <v>2</v>
      </c>
      <c r="L517" s="106">
        <v>0</v>
      </c>
      <c r="M517" s="74" t="str">
        <f t="array" ref="M517">_xlfn.TEXTJOIN("-", TRUE, IF(C517:L517&gt;0, $C$2:$L$2, ""))</f>
        <v xml:space="preserve"> Ti-Al-V-Fe</v>
      </c>
      <c r="N517" s="90">
        <f t="shared" si="16"/>
        <v>514</v>
      </c>
      <c r="O517" s="91">
        <f t="shared" si="17"/>
        <v>4</v>
      </c>
      <c r="P517" s="106">
        <v>2</v>
      </c>
      <c r="Q517" s="106">
        <v>0</v>
      </c>
      <c r="R517" s="106">
        <v>0</v>
      </c>
      <c r="S517" s="106">
        <v>0</v>
      </c>
      <c r="T517" s="106">
        <v>775</v>
      </c>
      <c r="U517" s="106">
        <v>2</v>
      </c>
      <c r="V517" s="106">
        <v>1</v>
      </c>
      <c r="W517" s="106">
        <v>530</v>
      </c>
      <c r="X517" s="106">
        <v>8.5</v>
      </c>
      <c r="Y517" s="106">
        <v>2</v>
      </c>
      <c r="Z517" s="121"/>
      <c r="AA517" s="121"/>
      <c r="AB517" s="106">
        <v>1204</v>
      </c>
      <c r="AC517" s="121"/>
      <c r="AD517" s="106">
        <v>13.18</v>
      </c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 t="s">
        <v>117</v>
      </c>
      <c r="AO517" s="121" t="s">
        <v>118</v>
      </c>
      <c r="AP517" s="123">
        <v>10</v>
      </c>
      <c r="AQ517" s="124" t="s">
        <v>54</v>
      </c>
      <c r="AR517" s="120">
        <v>80</v>
      </c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1" ht="16.5">
      <c r="A518" s="37">
        <v>7</v>
      </c>
      <c r="B518" s="39"/>
      <c r="C518" s="39">
        <v>89.566900000000004</v>
      </c>
      <c r="D518" s="39">
        <v>6.12</v>
      </c>
      <c r="E518" s="39">
        <v>0</v>
      </c>
      <c r="F518" s="39">
        <v>0</v>
      </c>
      <c r="G518" s="39">
        <v>4.0999999999999996</v>
      </c>
      <c r="H518" s="39">
        <v>0</v>
      </c>
      <c r="I518" s="39">
        <v>0</v>
      </c>
      <c r="J518" s="39">
        <v>0</v>
      </c>
      <c r="K518" s="39">
        <v>0.06</v>
      </c>
      <c r="L518" s="39">
        <v>0</v>
      </c>
      <c r="M518" s="74" t="str">
        <f t="array" ref="M518">_xlfn.TEXTJOIN("-", TRUE, IF(C518:L518&gt;0, $C$2:$L$2, ""))</f>
        <v xml:space="preserve"> Ti-Al-V-Fe</v>
      </c>
      <c r="N518" s="90">
        <f t="shared" si="16"/>
        <v>514</v>
      </c>
      <c r="O518" s="91">
        <f t="shared" si="17"/>
        <v>4</v>
      </c>
      <c r="P518" s="39" t="s">
        <v>81</v>
      </c>
      <c r="Q518" s="39">
        <v>2</v>
      </c>
      <c r="R518" s="39">
        <v>930</v>
      </c>
      <c r="S518" s="39">
        <v>20</v>
      </c>
      <c r="T518" s="39">
        <v>600</v>
      </c>
      <c r="U518" s="39">
        <v>1</v>
      </c>
      <c r="V518" s="39">
        <v>3</v>
      </c>
      <c r="W518" s="39">
        <v>0</v>
      </c>
      <c r="X518" s="39">
        <v>0</v>
      </c>
      <c r="Y518" s="39">
        <v>0</v>
      </c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>
        <v>51.5</v>
      </c>
      <c r="AK518" s="39"/>
      <c r="AL518" s="39"/>
      <c r="AM518" s="39"/>
      <c r="AN518" s="40"/>
      <c r="AO518" s="40" t="s">
        <v>119</v>
      </c>
      <c r="AP518" s="44">
        <v>3</v>
      </c>
      <c r="AQ518" s="41" t="s">
        <v>83</v>
      </c>
      <c r="AR518" s="37">
        <v>7</v>
      </c>
    </row>
    <row r="519" spans="1:61" ht="16.5">
      <c r="A519" s="37">
        <v>8</v>
      </c>
      <c r="B519" s="39"/>
      <c r="C519" s="39">
        <v>89.566900000000004</v>
      </c>
      <c r="D519" s="39">
        <v>6.12</v>
      </c>
      <c r="E519" s="39">
        <v>0</v>
      </c>
      <c r="F519" s="39">
        <v>0</v>
      </c>
      <c r="G519" s="39">
        <v>4.0999999999999996</v>
      </c>
      <c r="H519" s="39">
        <v>0</v>
      </c>
      <c r="I519" s="39">
        <v>0</v>
      </c>
      <c r="J519" s="39">
        <v>0</v>
      </c>
      <c r="K519" s="39">
        <v>0.06</v>
      </c>
      <c r="L519" s="39">
        <v>0</v>
      </c>
      <c r="M519" s="74" t="str">
        <f t="array" ref="M519">_xlfn.TEXTJOIN("-", TRUE, IF(C519:L519&gt;0, $C$2:$L$2, ""))</f>
        <v xml:space="preserve"> Ti-Al-V-Fe</v>
      </c>
      <c r="N519" s="90">
        <f t="shared" si="16"/>
        <v>514</v>
      </c>
      <c r="O519" s="91">
        <f t="shared" si="17"/>
        <v>4</v>
      </c>
      <c r="P519" s="39" t="s">
        <v>81</v>
      </c>
      <c r="Q519" s="39">
        <v>2</v>
      </c>
      <c r="R519" s="39">
        <v>950</v>
      </c>
      <c r="S519" s="39">
        <v>20</v>
      </c>
      <c r="T519" s="39">
        <v>700</v>
      </c>
      <c r="U519" s="39">
        <v>1</v>
      </c>
      <c r="V519" s="39">
        <v>3</v>
      </c>
      <c r="W519" s="39">
        <v>0</v>
      </c>
      <c r="X519" s="39">
        <v>0</v>
      </c>
      <c r="Y519" s="39">
        <v>0</v>
      </c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>
        <v>38.5</v>
      </c>
      <c r="AK519" s="39"/>
      <c r="AL519" s="39"/>
      <c r="AM519" s="39"/>
      <c r="AN519" s="40"/>
      <c r="AO519" s="40" t="s">
        <v>119</v>
      </c>
      <c r="AP519" s="44">
        <v>3</v>
      </c>
      <c r="AQ519" s="41" t="s">
        <v>83</v>
      </c>
      <c r="AR519" s="37">
        <v>8</v>
      </c>
    </row>
    <row r="520" spans="1:61" ht="16.5">
      <c r="A520" s="37">
        <v>9</v>
      </c>
      <c r="B520" s="39"/>
      <c r="C520" s="39">
        <v>89.566900000000004</v>
      </c>
      <c r="D520" s="39">
        <v>6.12</v>
      </c>
      <c r="E520" s="39">
        <v>0</v>
      </c>
      <c r="F520" s="39">
        <v>0</v>
      </c>
      <c r="G520" s="39">
        <v>4.0999999999999996</v>
      </c>
      <c r="H520" s="39">
        <v>0</v>
      </c>
      <c r="I520" s="39">
        <v>0</v>
      </c>
      <c r="J520" s="39">
        <v>0</v>
      </c>
      <c r="K520" s="39">
        <v>0.06</v>
      </c>
      <c r="L520" s="39">
        <v>0</v>
      </c>
      <c r="M520" s="74" t="str">
        <f t="array" ref="M520">_xlfn.TEXTJOIN("-", TRUE, IF(C520:L520&gt;0, $C$2:$L$2, ""))</f>
        <v xml:space="preserve"> Ti-Al-V-Fe</v>
      </c>
      <c r="N520" s="90">
        <f t="shared" si="16"/>
        <v>514</v>
      </c>
      <c r="O520" s="91">
        <f t="shared" si="17"/>
        <v>4</v>
      </c>
      <c r="P520" s="39" t="s">
        <v>81</v>
      </c>
      <c r="Q520" s="39">
        <v>2</v>
      </c>
      <c r="R520" s="39">
        <v>970</v>
      </c>
      <c r="S520" s="39">
        <v>20</v>
      </c>
      <c r="T520" s="39">
        <v>800</v>
      </c>
      <c r="U520" s="39">
        <v>1</v>
      </c>
      <c r="V520" s="39">
        <v>3</v>
      </c>
      <c r="W520" s="39">
        <v>0</v>
      </c>
      <c r="X520" s="39">
        <v>0</v>
      </c>
      <c r="Y520" s="39">
        <v>0</v>
      </c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>
        <v>45</v>
      </c>
      <c r="AK520" s="39"/>
      <c r="AL520" s="39"/>
      <c r="AM520" s="39"/>
      <c r="AN520" s="40"/>
      <c r="AO520" s="40" t="s">
        <v>119</v>
      </c>
      <c r="AP520" s="44">
        <v>3</v>
      </c>
      <c r="AQ520" s="38" t="s">
        <v>83</v>
      </c>
      <c r="AR520" s="37">
        <v>9</v>
      </c>
    </row>
    <row r="521" spans="1:61" ht="16.5">
      <c r="A521" s="42">
        <v>10</v>
      </c>
      <c r="B521" s="39"/>
      <c r="C521" s="39">
        <v>89.566900000000004</v>
      </c>
      <c r="D521" s="39">
        <v>6.12</v>
      </c>
      <c r="E521" s="39">
        <v>0</v>
      </c>
      <c r="F521" s="39">
        <v>0</v>
      </c>
      <c r="G521" s="39">
        <v>4.0999999999999996</v>
      </c>
      <c r="H521" s="39">
        <v>0</v>
      </c>
      <c r="I521" s="39">
        <v>0</v>
      </c>
      <c r="J521" s="39">
        <v>0</v>
      </c>
      <c r="K521" s="39">
        <v>0.06</v>
      </c>
      <c r="L521" s="39">
        <v>0</v>
      </c>
      <c r="M521" s="74" t="str">
        <f t="array" ref="M521">_xlfn.TEXTJOIN("-", TRUE, IF(C521:L521&gt;0, $C$2:$L$2, ""))</f>
        <v xml:space="preserve"> Ti-Al-V-Fe</v>
      </c>
      <c r="N521" s="90">
        <f t="shared" si="16"/>
        <v>514</v>
      </c>
      <c r="O521" s="91">
        <f t="shared" si="17"/>
        <v>4</v>
      </c>
      <c r="P521" s="39" t="s">
        <v>81</v>
      </c>
      <c r="Q521" s="39">
        <v>2</v>
      </c>
      <c r="R521" s="39">
        <v>930</v>
      </c>
      <c r="S521" s="39">
        <v>50</v>
      </c>
      <c r="T521" s="39">
        <v>600</v>
      </c>
      <c r="U521" s="39">
        <v>1</v>
      </c>
      <c r="V521" s="39">
        <v>3</v>
      </c>
      <c r="W521" s="39">
        <v>0</v>
      </c>
      <c r="X521" s="39">
        <v>0</v>
      </c>
      <c r="Y521" s="39">
        <v>0</v>
      </c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>
        <v>53</v>
      </c>
      <c r="AK521" s="39"/>
      <c r="AL521" s="39"/>
      <c r="AM521" s="39"/>
      <c r="AN521" s="40"/>
      <c r="AO521" s="40" t="s">
        <v>119</v>
      </c>
      <c r="AP521" s="76">
        <v>3</v>
      </c>
      <c r="AQ521" s="41" t="s">
        <v>83</v>
      </c>
      <c r="AR521" s="42">
        <v>10</v>
      </c>
    </row>
    <row r="522" spans="1:61" ht="16.5">
      <c r="A522" s="37">
        <v>11</v>
      </c>
      <c r="B522" s="39"/>
      <c r="C522" s="39">
        <v>89.566900000000004</v>
      </c>
      <c r="D522" s="39">
        <v>6.12</v>
      </c>
      <c r="E522" s="39">
        <v>0</v>
      </c>
      <c r="F522" s="39">
        <v>0</v>
      </c>
      <c r="G522" s="39">
        <v>4.0999999999999996</v>
      </c>
      <c r="H522" s="39">
        <v>0</v>
      </c>
      <c r="I522" s="39">
        <v>0</v>
      </c>
      <c r="J522" s="39">
        <v>0</v>
      </c>
      <c r="K522" s="39">
        <v>0.06</v>
      </c>
      <c r="L522" s="39">
        <v>0</v>
      </c>
      <c r="M522" s="74" t="str">
        <f t="array" ref="M522">_xlfn.TEXTJOIN("-", TRUE, IF(C522:L522&gt;0, $C$2:$L$2, ""))</f>
        <v xml:space="preserve"> Ti-Al-V-Fe</v>
      </c>
      <c r="N522" s="90">
        <f t="shared" si="16"/>
        <v>514</v>
      </c>
      <c r="O522" s="91">
        <f t="shared" si="17"/>
        <v>4</v>
      </c>
      <c r="P522" s="39" t="s">
        <v>81</v>
      </c>
      <c r="Q522" s="39">
        <v>2</v>
      </c>
      <c r="R522" s="39">
        <v>950</v>
      </c>
      <c r="S522" s="39">
        <v>50</v>
      </c>
      <c r="T522" s="39">
        <v>700</v>
      </c>
      <c r="U522" s="39">
        <v>1</v>
      </c>
      <c r="V522" s="39">
        <v>3</v>
      </c>
      <c r="W522" s="39">
        <v>0</v>
      </c>
      <c r="X522" s="39">
        <v>0</v>
      </c>
      <c r="Y522" s="39">
        <v>0</v>
      </c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>
        <v>43</v>
      </c>
      <c r="AK522" s="39"/>
      <c r="AL522" s="39"/>
      <c r="AM522" s="39"/>
      <c r="AN522" s="40"/>
      <c r="AO522" s="40" t="s">
        <v>119</v>
      </c>
      <c r="AP522" s="44">
        <v>3</v>
      </c>
      <c r="AQ522" s="41" t="s">
        <v>83</v>
      </c>
      <c r="AR522" s="37">
        <v>11</v>
      </c>
    </row>
    <row r="523" spans="1:61" ht="16.5">
      <c r="A523" s="37">
        <v>12</v>
      </c>
      <c r="B523" s="39"/>
      <c r="C523" s="39">
        <v>89.566900000000004</v>
      </c>
      <c r="D523" s="39">
        <v>6.12</v>
      </c>
      <c r="E523" s="39">
        <v>0</v>
      </c>
      <c r="F523" s="39">
        <v>0</v>
      </c>
      <c r="G523" s="39">
        <v>4.0999999999999996</v>
      </c>
      <c r="H523" s="39">
        <v>0</v>
      </c>
      <c r="I523" s="39">
        <v>0</v>
      </c>
      <c r="J523" s="39">
        <v>0</v>
      </c>
      <c r="K523" s="39">
        <v>0.06</v>
      </c>
      <c r="L523" s="39">
        <v>0</v>
      </c>
      <c r="M523" s="74" t="str">
        <f t="array" ref="M523">_xlfn.TEXTJOIN("-", TRUE, IF(C523:L523&gt;0, $C$2:$L$2, ""))</f>
        <v xml:space="preserve"> Ti-Al-V-Fe</v>
      </c>
      <c r="N523" s="90">
        <f t="shared" si="16"/>
        <v>514</v>
      </c>
      <c r="O523" s="91">
        <f t="shared" si="17"/>
        <v>4</v>
      </c>
      <c r="P523" s="39" t="s">
        <v>81</v>
      </c>
      <c r="Q523" s="39">
        <v>2</v>
      </c>
      <c r="R523" s="39">
        <v>970</v>
      </c>
      <c r="S523" s="39">
        <v>50</v>
      </c>
      <c r="T523" s="39">
        <v>800</v>
      </c>
      <c r="U523" s="39">
        <v>1</v>
      </c>
      <c r="V523" s="39">
        <v>3</v>
      </c>
      <c r="W523" s="39">
        <v>0</v>
      </c>
      <c r="X523" s="39">
        <v>0</v>
      </c>
      <c r="Y523" s="39">
        <v>0</v>
      </c>
      <c r="Z523" s="39"/>
      <c r="AA523" s="39"/>
      <c r="AB523" s="39">
        <v>900</v>
      </c>
      <c r="AC523" s="39">
        <v>798</v>
      </c>
      <c r="AD523" s="39">
        <v>15.8</v>
      </c>
      <c r="AE523" s="39"/>
      <c r="AF523" s="39"/>
      <c r="AG523" s="39"/>
      <c r="AH523" s="39"/>
      <c r="AI523" s="39"/>
      <c r="AJ523" s="39">
        <v>48.5</v>
      </c>
      <c r="AK523" s="39"/>
      <c r="AL523" s="39"/>
      <c r="AM523" s="39"/>
      <c r="AN523" s="40"/>
      <c r="AO523" s="40" t="s">
        <v>119</v>
      </c>
      <c r="AP523" s="44">
        <v>3</v>
      </c>
      <c r="AQ523" s="41" t="s">
        <v>83</v>
      </c>
      <c r="AR523" s="37">
        <v>12</v>
      </c>
    </row>
    <row r="524" spans="1:61" ht="16.5">
      <c r="A524" s="37">
        <v>13</v>
      </c>
      <c r="B524" s="39"/>
      <c r="C524" s="39">
        <v>89.566900000000004</v>
      </c>
      <c r="D524" s="39">
        <v>6.12</v>
      </c>
      <c r="E524" s="39">
        <v>0</v>
      </c>
      <c r="F524" s="39">
        <v>0</v>
      </c>
      <c r="G524" s="39">
        <v>4.0999999999999996</v>
      </c>
      <c r="H524" s="39">
        <v>0</v>
      </c>
      <c r="I524" s="39">
        <v>0</v>
      </c>
      <c r="J524" s="39">
        <v>0</v>
      </c>
      <c r="K524" s="39">
        <v>0.06</v>
      </c>
      <c r="L524" s="39">
        <v>0</v>
      </c>
      <c r="M524" s="74" t="str">
        <f t="array" ref="M524">_xlfn.TEXTJOIN("-", TRUE, IF(C524:L524&gt;0, $C$2:$L$2, ""))</f>
        <v xml:space="preserve"> Ti-Al-V-Fe</v>
      </c>
      <c r="N524" s="90">
        <f t="shared" si="16"/>
        <v>514</v>
      </c>
      <c r="O524" s="91">
        <f t="shared" si="17"/>
        <v>4</v>
      </c>
      <c r="P524" s="39" t="s">
        <v>81</v>
      </c>
      <c r="Q524" s="39">
        <v>2</v>
      </c>
      <c r="R524" s="39">
        <v>950</v>
      </c>
      <c r="S524" s="39">
        <v>80</v>
      </c>
      <c r="T524" s="39">
        <v>600</v>
      </c>
      <c r="U524" s="39">
        <v>1</v>
      </c>
      <c r="V524" s="39">
        <v>3</v>
      </c>
      <c r="W524" s="39">
        <v>0</v>
      </c>
      <c r="X524" s="39">
        <v>0</v>
      </c>
      <c r="Y524" s="39">
        <v>0</v>
      </c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>
        <v>60</v>
      </c>
      <c r="AK524" s="39"/>
      <c r="AL524" s="39"/>
      <c r="AM524" s="39"/>
      <c r="AN524" s="40"/>
      <c r="AO524" s="40" t="s">
        <v>119</v>
      </c>
      <c r="AP524" s="44">
        <v>3</v>
      </c>
      <c r="AQ524" s="41" t="s">
        <v>83</v>
      </c>
      <c r="AR524" s="37">
        <v>13</v>
      </c>
    </row>
    <row r="525" spans="1:61" ht="16.5">
      <c r="A525" s="42">
        <v>14</v>
      </c>
      <c r="B525" s="39"/>
      <c r="C525" s="39">
        <v>89.566900000000004</v>
      </c>
      <c r="D525" s="39">
        <v>6.12</v>
      </c>
      <c r="E525" s="39">
        <v>0</v>
      </c>
      <c r="F525" s="39">
        <v>0</v>
      </c>
      <c r="G525" s="39">
        <v>4.0999999999999996</v>
      </c>
      <c r="H525" s="39">
        <v>0</v>
      </c>
      <c r="I525" s="39">
        <v>0</v>
      </c>
      <c r="J525" s="39">
        <v>0</v>
      </c>
      <c r="K525" s="39">
        <v>0.06</v>
      </c>
      <c r="L525" s="39">
        <v>0</v>
      </c>
      <c r="M525" s="74" t="str">
        <f t="array" ref="M525">_xlfn.TEXTJOIN("-", TRUE, IF(C525:L525&gt;0, $C$2:$L$2, ""))</f>
        <v xml:space="preserve"> Ti-Al-V-Fe</v>
      </c>
      <c r="N525" s="90">
        <f t="shared" si="16"/>
        <v>514</v>
      </c>
      <c r="O525" s="91">
        <f t="shared" si="17"/>
        <v>4</v>
      </c>
      <c r="P525" s="39" t="s">
        <v>81</v>
      </c>
      <c r="Q525" s="39">
        <v>2</v>
      </c>
      <c r="R525" s="39">
        <v>970</v>
      </c>
      <c r="S525" s="39">
        <v>80</v>
      </c>
      <c r="T525" s="39">
        <v>700</v>
      </c>
      <c r="U525" s="39">
        <v>1</v>
      </c>
      <c r="V525" s="39">
        <v>3</v>
      </c>
      <c r="W525" s="39">
        <v>0</v>
      </c>
      <c r="X525" s="39">
        <v>0</v>
      </c>
      <c r="Y525" s="39">
        <v>0</v>
      </c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>
        <v>46</v>
      </c>
      <c r="AK525" s="39"/>
      <c r="AL525" s="39"/>
      <c r="AM525" s="39"/>
      <c r="AN525" s="40"/>
      <c r="AO525" s="40" t="s">
        <v>119</v>
      </c>
      <c r="AP525" s="76">
        <v>3</v>
      </c>
      <c r="AQ525" s="38" t="s">
        <v>83</v>
      </c>
      <c r="AR525" s="42">
        <v>14</v>
      </c>
    </row>
    <row r="526" spans="1:61" ht="16.5">
      <c r="A526" s="37">
        <v>15</v>
      </c>
      <c r="B526" s="39"/>
      <c r="C526" s="39">
        <v>89.566900000000004</v>
      </c>
      <c r="D526" s="39">
        <v>6.12</v>
      </c>
      <c r="E526" s="39">
        <v>0</v>
      </c>
      <c r="F526" s="39">
        <v>0</v>
      </c>
      <c r="G526" s="39">
        <v>4.0999999999999996</v>
      </c>
      <c r="H526" s="39">
        <v>0</v>
      </c>
      <c r="I526" s="39">
        <v>0</v>
      </c>
      <c r="J526" s="39">
        <v>0</v>
      </c>
      <c r="K526" s="39">
        <v>0.06</v>
      </c>
      <c r="L526" s="39">
        <v>0</v>
      </c>
      <c r="M526" s="74" t="str">
        <f t="array" ref="M526">_xlfn.TEXTJOIN("-", TRUE, IF(C526:L526&gt;0, $C$2:$L$2, ""))</f>
        <v xml:space="preserve"> Ti-Al-V-Fe</v>
      </c>
      <c r="N526" s="90">
        <f t="shared" si="16"/>
        <v>514</v>
      </c>
      <c r="O526" s="91">
        <f t="shared" si="17"/>
        <v>4</v>
      </c>
      <c r="P526" s="39" t="s">
        <v>81</v>
      </c>
      <c r="Q526" s="39">
        <v>2</v>
      </c>
      <c r="R526" s="39">
        <v>930</v>
      </c>
      <c r="S526" s="39">
        <v>80</v>
      </c>
      <c r="T526" s="39">
        <v>800</v>
      </c>
      <c r="U526" s="39">
        <v>1</v>
      </c>
      <c r="V526" s="39">
        <v>3</v>
      </c>
      <c r="W526" s="39">
        <v>0</v>
      </c>
      <c r="X526" s="39">
        <v>0</v>
      </c>
      <c r="Y526" s="39">
        <v>0</v>
      </c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>
        <v>45.5</v>
      </c>
      <c r="AK526" s="39"/>
      <c r="AL526" s="39"/>
      <c r="AM526" s="39"/>
      <c r="AN526" s="40"/>
      <c r="AO526" s="40" t="s">
        <v>119</v>
      </c>
      <c r="AP526" s="44">
        <v>3</v>
      </c>
      <c r="AQ526" s="41" t="s">
        <v>83</v>
      </c>
      <c r="AR526" s="37">
        <v>15</v>
      </c>
    </row>
    <row r="527" spans="1:61" ht="16.5">
      <c r="A527" s="37">
        <v>16</v>
      </c>
      <c r="B527" s="39"/>
      <c r="C527" s="39">
        <v>89.566900000000004</v>
      </c>
      <c r="D527" s="39">
        <v>6.12</v>
      </c>
      <c r="E527" s="39">
        <v>0</v>
      </c>
      <c r="F527" s="39">
        <v>0</v>
      </c>
      <c r="G527" s="39">
        <v>4.0999999999999996</v>
      </c>
      <c r="H527" s="39">
        <v>0</v>
      </c>
      <c r="I527" s="39">
        <v>0</v>
      </c>
      <c r="J527" s="39">
        <v>0</v>
      </c>
      <c r="K527" s="39">
        <v>0.06</v>
      </c>
      <c r="L527" s="39">
        <v>0</v>
      </c>
      <c r="M527" s="74" t="str">
        <f t="array" ref="M527">_xlfn.TEXTJOIN("-", TRUE, IF(C527:L527&gt;0, $C$2:$L$2, ""))</f>
        <v xml:space="preserve"> Ti-Al-V-Fe</v>
      </c>
      <c r="N527" s="90">
        <f t="shared" si="16"/>
        <v>514</v>
      </c>
      <c r="O527" s="91">
        <f t="shared" si="17"/>
        <v>4</v>
      </c>
      <c r="P527" s="39" t="s">
        <v>81</v>
      </c>
      <c r="Q527" s="39">
        <v>2</v>
      </c>
      <c r="R527" s="39">
        <v>970</v>
      </c>
      <c r="S527" s="39">
        <v>20</v>
      </c>
      <c r="T527" s="39">
        <v>600</v>
      </c>
      <c r="U527" s="39">
        <v>2</v>
      </c>
      <c r="V527" s="39">
        <v>3</v>
      </c>
      <c r="W527" s="39">
        <v>0</v>
      </c>
      <c r="X527" s="39">
        <v>0</v>
      </c>
      <c r="Y527" s="39">
        <v>0</v>
      </c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>
        <v>49.5</v>
      </c>
      <c r="AK527" s="39"/>
      <c r="AL527" s="39"/>
      <c r="AM527" s="39"/>
      <c r="AN527" s="40"/>
      <c r="AO527" s="40" t="s">
        <v>119</v>
      </c>
      <c r="AP527" s="44">
        <v>3</v>
      </c>
      <c r="AQ527" s="41" t="s">
        <v>83</v>
      </c>
      <c r="AR527" s="37">
        <v>16</v>
      </c>
    </row>
    <row r="528" spans="1:61" ht="16.5">
      <c r="A528" s="37">
        <v>17</v>
      </c>
      <c r="B528" s="39"/>
      <c r="C528" s="39">
        <v>89.566900000000004</v>
      </c>
      <c r="D528" s="39">
        <v>6.12</v>
      </c>
      <c r="E528" s="39">
        <v>0</v>
      </c>
      <c r="F528" s="39">
        <v>0</v>
      </c>
      <c r="G528" s="39">
        <v>4.0999999999999996</v>
      </c>
      <c r="H528" s="39">
        <v>0</v>
      </c>
      <c r="I528" s="39">
        <v>0</v>
      </c>
      <c r="J528" s="39">
        <v>0</v>
      </c>
      <c r="K528" s="39">
        <v>0.06</v>
      </c>
      <c r="L528" s="39">
        <v>0</v>
      </c>
      <c r="M528" s="74" t="str">
        <f t="array" ref="M528">_xlfn.TEXTJOIN("-", TRUE, IF(C528:L528&gt;0, $C$2:$L$2, ""))</f>
        <v xml:space="preserve"> Ti-Al-V-Fe</v>
      </c>
      <c r="N528" s="90">
        <f t="shared" si="16"/>
        <v>514</v>
      </c>
      <c r="O528" s="91">
        <f t="shared" si="17"/>
        <v>4</v>
      </c>
      <c r="P528" s="39" t="s">
        <v>81</v>
      </c>
      <c r="Q528" s="39">
        <v>2</v>
      </c>
      <c r="R528" s="39">
        <v>930</v>
      </c>
      <c r="S528" s="39">
        <v>20</v>
      </c>
      <c r="T528" s="39">
        <v>700</v>
      </c>
      <c r="U528" s="39">
        <v>2</v>
      </c>
      <c r="V528" s="39">
        <v>3</v>
      </c>
      <c r="W528" s="39">
        <v>0</v>
      </c>
      <c r="X528" s="39">
        <v>0</v>
      </c>
      <c r="Y528" s="39">
        <v>0</v>
      </c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>
        <v>36.5</v>
      </c>
      <c r="AK528" s="39"/>
      <c r="AL528" s="39"/>
      <c r="AM528" s="39"/>
      <c r="AN528" s="40"/>
      <c r="AO528" s="40" t="s">
        <v>119</v>
      </c>
      <c r="AP528" s="44">
        <v>3</v>
      </c>
      <c r="AQ528" s="41" t="s">
        <v>83</v>
      </c>
      <c r="AR528" s="37">
        <v>17</v>
      </c>
    </row>
    <row r="529" spans="1:46" ht="16.5">
      <c r="A529" s="42">
        <v>18</v>
      </c>
      <c r="B529" s="39"/>
      <c r="C529" s="39">
        <v>89.566900000000004</v>
      </c>
      <c r="D529" s="39">
        <v>6.12</v>
      </c>
      <c r="E529" s="39">
        <v>0</v>
      </c>
      <c r="F529" s="39">
        <v>0</v>
      </c>
      <c r="G529" s="39">
        <v>4.0999999999999996</v>
      </c>
      <c r="H529" s="39">
        <v>0</v>
      </c>
      <c r="I529" s="39">
        <v>0</v>
      </c>
      <c r="J529" s="39">
        <v>0</v>
      </c>
      <c r="K529" s="39">
        <v>0.06</v>
      </c>
      <c r="L529" s="39">
        <v>0</v>
      </c>
      <c r="M529" s="74" t="str">
        <f t="array" ref="M529">_xlfn.TEXTJOIN("-", TRUE, IF(C529:L529&gt;0, $C$2:$L$2, ""))</f>
        <v xml:space="preserve"> Ti-Al-V-Fe</v>
      </c>
      <c r="N529" s="90">
        <f t="shared" si="16"/>
        <v>514</v>
      </c>
      <c r="O529" s="91">
        <f t="shared" si="17"/>
        <v>4</v>
      </c>
      <c r="P529" s="39" t="s">
        <v>81</v>
      </c>
      <c r="Q529" s="39">
        <v>2</v>
      </c>
      <c r="R529" s="39">
        <v>950</v>
      </c>
      <c r="S529" s="39">
        <v>20</v>
      </c>
      <c r="T529" s="39">
        <v>800</v>
      </c>
      <c r="U529" s="39">
        <v>2</v>
      </c>
      <c r="V529" s="39">
        <v>3</v>
      </c>
      <c r="W529" s="39">
        <v>0</v>
      </c>
      <c r="X529" s="39">
        <v>0</v>
      </c>
      <c r="Y529" s="39">
        <v>0</v>
      </c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>
        <v>37.5</v>
      </c>
      <c r="AK529" s="39"/>
      <c r="AL529" s="39"/>
      <c r="AM529" s="39"/>
      <c r="AN529" s="40"/>
      <c r="AO529" s="40" t="s">
        <v>119</v>
      </c>
      <c r="AP529" s="76">
        <v>3</v>
      </c>
      <c r="AQ529" s="41" t="s">
        <v>83</v>
      </c>
      <c r="AR529" s="42">
        <v>18</v>
      </c>
    </row>
    <row r="530" spans="1:46" ht="16.5">
      <c r="A530" s="37">
        <v>19</v>
      </c>
      <c r="B530" s="39"/>
      <c r="C530" s="39">
        <v>89.566900000000004</v>
      </c>
      <c r="D530" s="39">
        <v>6.12</v>
      </c>
      <c r="E530" s="39">
        <v>0</v>
      </c>
      <c r="F530" s="39">
        <v>0</v>
      </c>
      <c r="G530" s="39">
        <v>4.0999999999999996</v>
      </c>
      <c r="H530" s="39">
        <v>0</v>
      </c>
      <c r="I530" s="39">
        <v>0</v>
      </c>
      <c r="J530" s="39">
        <v>0</v>
      </c>
      <c r="K530" s="39">
        <v>0.06</v>
      </c>
      <c r="L530" s="39">
        <v>0</v>
      </c>
      <c r="M530" s="74" t="str">
        <f t="array" ref="M530">_xlfn.TEXTJOIN("-", TRUE, IF(C530:L530&gt;0, $C$2:$L$2, ""))</f>
        <v xml:space="preserve"> Ti-Al-V-Fe</v>
      </c>
      <c r="N530" s="90">
        <f t="shared" si="16"/>
        <v>514</v>
      </c>
      <c r="O530" s="91">
        <f t="shared" si="17"/>
        <v>4</v>
      </c>
      <c r="P530" s="39" t="s">
        <v>81</v>
      </c>
      <c r="Q530" s="39">
        <v>2</v>
      </c>
      <c r="R530" s="39">
        <v>950</v>
      </c>
      <c r="S530" s="39">
        <v>50</v>
      </c>
      <c r="T530" s="39">
        <v>600</v>
      </c>
      <c r="U530" s="39">
        <v>2</v>
      </c>
      <c r="V530" s="39">
        <v>3</v>
      </c>
      <c r="W530" s="39">
        <v>0</v>
      </c>
      <c r="X530" s="39">
        <v>0</v>
      </c>
      <c r="Y530" s="39">
        <v>0</v>
      </c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>
        <v>51</v>
      </c>
      <c r="AK530" s="39"/>
      <c r="AL530" s="39"/>
      <c r="AM530" s="39"/>
      <c r="AN530" s="40"/>
      <c r="AO530" s="40" t="s">
        <v>119</v>
      </c>
      <c r="AP530" s="44">
        <v>3</v>
      </c>
      <c r="AQ530" s="41" t="s">
        <v>83</v>
      </c>
      <c r="AR530" s="37">
        <v>19</v>
      </c>
    </row>
    <row r="531" spans="1:46" ht="16.5">
      <c r="A531" s="37">
        <v>20</v>
      </c>
      <c r="B531" s="39"/>
      <c r="C531" s="39">
        <v>89.566900000000004</v>
      </c>
      <c r="D531" s="39">
        <v>6.12</v>
      </c>
      <c r="E531" s="39">
        <v>0</v>
      </c>
      <c r="F531" s="39">
        <v>0</v>
      </c>
      <c r="G531" s="39">
        <v>4.0999999999999996</v>
      </c>
      <c r="H531" s="39">
        <v>0</v>
      </c>
      <c r="I531" s="39">
        <v>0</v>
      </c>
      <c r="J531" s="39">
        <v>0</v>
      </c>
      <c r="K531" s="39">
        <v>0.06</v>
      </c>
      <c r="L531" s="39">
        <v>0</v>
      </c>
      <c r="M531" s="74" t="str">
        <f t="array" ref="M531">_xlfn.TEXTJOIN("-", TRUE, IF(C531:L531&gt;0, $C$2:$L$2, ""))</f>
        <v xml:space="preserve"> Ti-Al-V-Fe</v>
      </c>
      <c r="N531" s="90">
        <f t="shared" si="16"/>
        <v>514</v>
      </c>
      <c r="O531" s="91">
        <f t="shared" si="17"/>
        <v>4</v>
      </c>
      <c r="P531" s="39" t="s">
        <v>81</v>
      </c>
      <c r="Q531" s="39">
        <v>2</v>
      </c>
      <c r="R531" s="39">
        <v>970</v>
      </c>
      <c r="S531" s="39">
        <v>50</v>
      </c>
      <c r="T531" s="39">
        <v>700</v>
      </c>
      <c r="U531" s="39">
        <v>2</v>
      </c>
      <c r="V531" s="39">
        <v>3</v>
      </c>
      <c r="W531" s="39">
        <v>0</v>
      </c>
      <c r="X531" s="39">
        <v>0</v>
      </c>
      <c r="Y531" s="39">
        <v>0</v>
      </c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>
        <v>43</v>
      </c>
      <c r="AK531" s="39"/>
      <c r="AL531" s="39"/>
      <c r="AM531" s="39"/>
      <c r="AN531" s="40"/>
      <c r="AO531" s="40" t="s">
        <v>119</v>
      </c>
      <c r="AP531" s="44">
        <v>3</v>
      </c>
      <c r="AQ531" s="38" t="s">
        <v>83</v>
      </c>
      <c r="AR531" s="37">
        <v>20</v>
      </c>
    </row>
    <row r="532" spans="1:46" ht="16.5">
      <c r="A532" s="37">
        <v>21</v>
      </c>
      <c r="B532" s="39"/>
      <c r="C532" s="39">
        <v>89.566900000000004</v>
      </c>
      <c r="D532" s="39">
        <v>6.12</v>
      </c>
      <c r="E532" s="39">
        <v>0</v>
      </c>
      <c r="F532" s="39">
        <v>0</v>
      </c>
      <c r="G532" s="39">
        <v>4.0999999999999996</v>
      </c>
      <c r="H532" s="39">
        <v>0</v>
      </c>
      <c r="I532" s="39">
        <v>0</v>
      </c>
      <c r="J532" s="39">
        <v>0</v>
      </c>
      <c r="K532" s="39">
        <v>0.06</v>
      </c>
      <c r="L532" s="39">
        <v>0</v>
      </c>
      <c r="M532" s="74" t="str">
        <f t="array" ref="M532">_xlfn.TEXTJOIN("-", TRUE, IF(C532:L532&gt;0, $C$2:$L$2, ""))</f>
        <v xml:space="preserve"> Ti-Al-V-Fe</v>
      </c>
      <c r="N532" s="90">
        <f t="shared" si="16"/>
        <v>514</v>
      </c>
      <c r="O532" s="91">
        <f t="shared" si="17"/>
        <v>4</v>
      </c>
      <c r="P532" s="39" t="s">
        <v>81</v>
      </c>
      <c r="Q532" s="39">
        <v>2</v>
      </c>
      <c r="R532" s="39">
        <v>930</v>
      </c>
      <c r="S532" s="39">
        <v>50</v>
      </c>
      <c r="T532" s="39">
        <v>800</v>
      </c>
      <c r="U532" s="39">
        <v>2</v>
      </c>
      <c r="V532" s="39">
        <v>3</v>
      </c>
      <c r="W532" s="39">
        <v>0</v>
      </c>
      <c r="X532" s="39">
        <v>0</v>
      </c>
      <c r="Y532" s="39">
        <v>0</v>
      </c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>
        <v>41</v>
      </c>
      <c r="AK532" s="39"/>
      <c r="AL532" s="39"/>
      <c r="AM532" s="39"/>
      <c r="AN532" s="40"/>
      <c r="AO532" s="40" t="s">
        <v>119</v>
      </c>
      <c r="AP532" s="44">
        <v>3</v>
      </c>
      <c r="AQ532" s="38" t="s">
        <v>83</v>
      </c>
      <c r="AR532" s="37">
        <v>21</v>
      </c>
    </row>
    <row r="533" spans="1:46" ht="16.5">
      <c r="A533" s="37">
        <v>22</v>
      </c>
      <c r="B533" s="39"/>
      <c r="C533" s="39">
        <v>89.566900000000004</v>
      </c>
      <c r="D533" s="39">
        <v>6.12</v>
      </c>
      <c r="E533" s="39">
        <v>0</v>
      </c>
      <c r="F533" s="39">
        <v>0</v>
      </c>
      <c r="G533" s="39">
        <v>4.0999999999999996</v>
      </c>
      <c r="H533" s="39">
        <v>0</v>
      </c>
      <c r="I533" s="39">
        <v>0</v>
      </c>
      <c r="J533" s="39">
        <v>0</v>
      </c>
      <c r="K533" s="39">
        <v>0.06</v>
      </c>
      <c r="L533" s="39">
        <v>0</v>
      </c>
      <c r="M533" s="74" t="str">
        <f t="array" ref="M533">_xlfn.TEXTJOIN("-", TRUE, IF(C533:L533&gt;0, $C$2:$L$2, ""))</f>
        <v xml:space="preserve"> Ti-Al-V-Fe</v>
      </c>
      <c r="N533" s="90">
        <f t="shared" si="16"/>
        <v>514</v>
      </c>
      <c r="O533" s="91">
        <f t="shared" si="17"/>
        <v>4</v>
      </c>
      <c r="P533" s="39" t="s">
        <v>81</v>
      </c>
      <c r="Q533" s="39">
        <v>2</v>
      </c>
      <c r="R533" s="39">
        <v>970</v>
      </c>
      <c r="S533" s="39">
        <v>80</v>
      </c>
      <c r="T533" s="39">
        <v>600</v>
      </c>
      <c r="U533" s="39">
        <v>2</v>
      </c>
      <c r="V533" s="39">
        <v>3</v>
      </c>
      <c r="W533" s="39">
        <v>0</v>
      </c>
      <c r="X533" s="39">
        <v>0</v>
      </c>
      <c r="Y533" s="39">
        <v>0</v>
      </c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>
        <v>55.5</v>
      </c>
      <c r="AK533" s="39"/>
      <c r="AL533" s="39"/>
      <c r="AM533" s="39"/>
      <c r="AN533" s="40"/>
      <c r="AO533" s="40" t="s">
        <v>119</v>
      </c>
      <c r="AP533" s="44">
        <v>3</v>
      </c>
      <c r="AQ533" s="41" t="s">
        <v>83</v>
      </c>
      <c r="AR533" s="37">
        <v>22</v>
      </c>
    </row>
    <row r="534" spans="1:46" ht="16.5">
      <c r="A534" s="37">
        <v>23</v>
      </c>
      <c r="B534" s="39"/>
      <c r="C534" s="39">
        <v>89.566900000000004</v>
      </c>
      <c r="D534" s="39">
        <v>6.12</v>
      </c>
      <c r="E534" s="39">
        <v>0</v>
      </c>
      <c r="F534" s="39">
        <v>0</v>
      </c>
      <c r="G534" s="39">
        <v>4.0999999999999996</v>
      </c>
      <c r="H534" s="39">
        <v>0</v>
      </c>
      <c r="I534" s="39">
        <v>0</v>
      </c>
      <c r="J534" s="39">
        <v>0</v>
      </c>
      <c r="K534" s="39">
        <v>0.06</v>
      </c>
      <c r="L534" s="39">
        <v>0</v>
      </c>
      <c r="M534" s="74" t="str">
        <f t="array" ref="M534">_xlfn.TEXTJOIN("-", TRUE, IF(C534:L534&gt;0, $C$2:$L$2, ""))</f>
        <v xml:space="preserve"> Ti-Al-V-Fe</v>
      </c>
      <c r="N534" s="90">
        <f t="shared" si="16"/>
        <v>514</v>
      </c>
      <c r="O534" s="91">
        <f t="shared" si="17"/>
        <v>4</v>
      </c>
      <c r="P534" s="39" t="s">
        <v>81</v>
      </c>
      <c r="Q534" s="39">
        <v>2</v>
      </c>
      <c r="R534" s="39">
        <v>930</v>
      </c>
      <c r="S534" s="39">
        <v>80</v>
      </c>
      <c r="T534" s="39">
        <v>700</v>
      </c>
      <c r="U534" s="39">
        <v>2</v>
      </c>
      <c r="V534" s="39">
        <v>3</v>
      </c>
      <c r="W534" s="39">
        <v>0</v>
      </c>
      <c r="X534" s="39">
        <v>0</v>
      </c>
      <c r="Y534" s="39">
        <v>0</v>
      </c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>
        <v>41.5</v>
      </c>
      <c r="AK534" s="39"/>
      <c r="AL534" s="39"/>
      <c r="AM534" s="39"/>
      <c r="AN534" s="40"/>
      <c r="AO534" s="40" t="s">
        <v>119</v>
      </c>
      <c r="AP534" s="44">
        <v>3</v>
      </c>
      <c r="AQ534" s="41" t="s">
        <v>83</v>
      </c>
      <c r="AR534" s="37">
        <v>23</v>
      </c>
    </row>
    <row r="535" spans="1:46" ht="16.5">
      <c r="A535" s="37">
        <v>24</v>
      </c>
      <c r="B535" s="39"/>
      <c r="C535" s="39">
        <v>89.566900000000004</v>
      </c>
      <c r="D535" s="39">
        <v>6.12</v>
      </c>
      <c r="E535" s="39">
        <v>0</v>
      </c>
      <c r="F535" s="39">
        <v>0</v>
      </c>
      <c r="G535" s="39">
        <v>4.0999999999999996</v>
      </c>
      <c r="H535" s="39">
        <v>0</v>
      </c>
      <c r="I535" s="39">
        <v>0</v>
      </c>
      <c r="J535" s="39">
        <v>0</v>
      </c>
      <c r="K535" s="39">
        <v>0.06</v>
      </c>
      <c r="L535" s="39">
        <v>0</v>
      </c>
      <c r="M535" s="74" t="str">
        <f t="array" ref="M535">_xlfn.TEXTJOIN("-", TRUE, IF(C535:L535&gt;0, $C$2:$L$2, ""))</f>
        <v xml:space="preserve"> Ti-Al-V-Fe</v>
      </c>
      <c r="N535" s="90">
        <f t="shared" si="16"/>
        <v>514</v>
      </c>
      <c r="O535" s="91">
        <f t="shared" si="17"/>
        <v>4</v>
      </c>
      <c r="P535" s="39" t="s">
        <v>81</v>
      </c>
      <c r="Q535" s="39">
        <v>2</v>
      </c>
      <c r="R535" s="39">
        <v>950</v>
      </c>
      <c r="S535" s="39">
        <v>80</v>
      </c>
      <c r="T535" s="39">
        <v>800</v>
      </c>
      <c r="U535" s="39">
        <v>2</v>
      </c>
      <c r="V535" s="39">
        <v>3</v>
      </c>
      <c r="W535" s="39">
        <v>0</v>
      </c>
      <c r="X535" s="39">
        <v>0</v>
      </c>
      <c r="Y535" s="39">
        <v>0</v>
      </c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>
        <v>36.5</v>
      </c>
      <c r="AK535" s="39"/>
      <c r="AL535" s="39"/>
      <c r="AM535" s="39"/>
      <c r="AN535" s="40"/>
      <c r="AO535" s="40" t="s">
        <v>119</v>
      </c>
      <c r="AP535" s="44">
        <v>3</v>
      </c>
      <c r="AQ535" s="38" t="s">
        <v>83</v>
      </c>
      <c r="AR535" s="37">
        <v>24</v>
      </c>
    </row>
    <row r="536" spans="1:46" ht="16.5">
      <c r="A536" s="42">
        <v>66</v>
      </c>
      <c r="B536" s="39"/>
      <c r="C536" s="39">
        <v>89.498000000000005</v>
      </c>
      <c r="D536" s="39">
        <v>6.2</v>
      </c>
      <c r="E536" s="39">
        <v>0</v>
      </c>
      <c r="F536" s="39">
        <v>0</v>
      </c>
      <c r="G536" s="39">
        <v>4.2</v>
      </c>
      <c r="H536" s="39">
        <v>0</v>
      </c>
      <c r="I536" s="39">
        <v>0</v>
      </c>
      <c r="J536" s="39">
        <v>0</v>
      </c>
      <c r="K536" s="39">
        <v>1.7999999999999999E-2</v>
      </c>
      <c r="L536" s="39">
        <v>0</v>
      </c>
      <c r="M536" s="74" t="str">
        <f t="array" ref="M536">_xlfn.TEXTJOIN("-", TRUE, IF(C536:L536&gt;0, $C$2:$L$2, ""))</f>
        <v xml:space="preserve"> Ti-Al-V-Fe</v>
      </c>
      <c r="N536" s="90">
        <f t="shared" si="16"/>
        <v>514</v>
      </c>
      <c r="O536" s="91">
        <f t="shared" si="17"/>
        <v>4</v>
      </c>
      <c r="P536" s="39">
        <v>2</v>
      </c>
      <c r="Q536" s="39">
        <v>2</v>
      </c>
      <c r="R536" s="39" t="s">
        <v>81</v>
      </c>
      <c r="S536" s="39" t="s">
        <v>81</v>
      </c>
      <c r="T536" s="39">
        <v>800</v>
      </c>
      <c r="U536" s="39">
        <v>1</v>
      </c>
      <c r="V536" s="39">
        <v>2</v>
      </c>
      <c r="W536" s="39">
        <v>0</v>
      </c>
      <c r="X536" s="39">
        <v>0</v>
      </c>
      <c r="Y536" s="39">
        <v>0</v>
      </c>
      <c r="Z536" s="39"/>
      <c r="AA536" s="39"/>
      <c r="AB536" s="39">
        <v>924</v>
      </c>
      <c r="AC536" s="39">
        <v>813</v>
      </c>
      <c r="AD536" s="39">
        <v>14.5</v>
      </c>
      <c r="AE536" s="39">
        <v>50</v>
      </c>
      <c r="AF536" s="39"/>
      <c r="AG536" s="39"/>
      <c r="AH536" s="39"/>
      <c r="AI536" s="39"/>
      <c r="AJ536" s="39"/>
      <c r="AK536" s="39"/>
      <c r="AL536" s="39">
        <v>50</v>
      </c>
      <c r="AM536" s="39"/>
      <c r="AN536" s="40"/>
      <c r="AO536" s="40" t="s">
        <v>120</v>
      </c>
      <c r="AP536" s="76">
        <v>13</v>
      </c>
      <c r="AQ536" s="38" t="s">
        <v>83</v>
      </c>
      <c r="AR536" s="127" t="s">
        <v>473</v>
      </c>
      <c r="AS536" s="10" t="s">
        <v>151</v>
      </c>
      <c r="AT536" s="11"/>
    </row>
    <row r="537" spans="1:46" ht="16.5">
      <c r="A537" s="42">
        <v>67</v>
      </c>
      <c r="B537" s="39"/>
      <c r="C537" s="39">
        <v>89.498000000000005</v>
      </c>
      <c r="D537" s="39">
        <v>6.2</v>
      </c>
      <c r="E537" s="39">
        <v>0</v>
      </c>
      <c r="F537" s="39">
        <v>0</v>
      </c>
      <c r="G537" s="39">
        <v>4.2</v>
      </c>
      <c r="H537" s="39">
        <v>0</v>
      </c>
      <c r="I537" s="39">
        <v>0</v>
      </c>
      <c r="J537" s="39">
        <v>0</v>
      </c>
      <c r="K537" s="39">
        <v>1.7999999999999999E-2</v>
      </c>
      <c r="L537" s="39">
        <v>0</v>
      </c>
      <c r="M537" s="74" t="str">
        <f t="array" ref="M537">_xlfn.TEXTJOIN("-", TRUE, IF(C537:L537&gt;0, $C$2:$L$2, ""))</f>
        <v xml:space="preserve"> Ti-Al-V-Fe</v>
      </c>
      <c r="N537" s="90">
        <f t="shared" si="16"/>
        <v>514</v>
      </c>
      <c r="O537" s="91">
        <f t="shared" si="17"/>
        <v>4</v>
      </c>
      <c r="P537" s="39">
        <v>2</v>
      </c>
      <c r="Q537" s="39">
        <v>2</v>
      </c>
      <c r="R537" s="39" t="s">
        <v>81</v>
      </c>
      <c r="S537" s="39" t="s">
        <v>81</v>
      </c>
      <c r="T537" s="39">
        <v>900</v>
      </c>
      <c r="U537" s="39">
        <v>1</v>
      </c>
      <c r="V537" s="39">
        <v>2</v>
      </c>
      <c r="W537" s="39">
        <v>0</v>
      </c>
      <c r="X537" s="39">
        <v>0</v>
      </c>
      <c r="Y537" s="39">
        <v>0</v>
      </c>
      <c r="Z537" s="39"/>
      <c r="AA537" s="39"/>
      <c r="AB537" s="39">
        <v>930</v>
      </c>
      <c r="AC537" s="39">
        <v>826</v>
      </c>
      <c r="AD537" s="39">
        <v>16</v>
      </c>
      <c r="AE537" s="39">
        <v>53</v>
      </c>
      <c r="AF537" s="39"/>
      <c r="AG537" s="39"/>
      <c r="AH537" s="39"/>
      <c r="AI537" s="39"/>
      <c r="AJ537" s="39"/>
      <c r="AK537" s="39"/>
      <c r="AL537" s="39">
        <v>85</v>
      </c>
      <c r="AM537" s="39"/>
      <c r="AN537" s="40"/>
      <c r="AO537" s="40" t="s">
        <v>473</v>
      </c>
      <c r="AP537" s="76">
        <v>13</v>
      </c>
      <c r="AQ537" s="41" t="s">
        <v>83</v>
      </c>
      <c r="AR537" s="127" t="s">
        <v>473</v>
      </c>
      <c r="AS537" s="10" t="s">
        <v>151</v>
      </c>
      <c r="AT537" s="11"/>
    </row>
    <row r="538" spans="1:46" ht="16.5">
      <c r="A538" s="37">
        <v>68</v>
      </c>
      <c r="B538" s="39"/>
      <c r="C538" s="39">
        <v>89.498000000000005</v>
      </c>
      <c r="D538" s="39">
        <v>6.2</v>
      </c>
      <c r="E538" s="39">
        <v>0</v>
      </c>
      <c r="F538" s="39">
        <v>0</v>
      </c>
      <c r="G538" s="39">
        <v>4.2</v>
      </c>
      <c r="H538" s="39">
        <v>0</v>
      </c>
      <c r="I538" s="39">
        <v>0</v>
      </c>
      <c r="J538" s="39">
        <v>0</v>
      </c>
      <c r="K538" s="39">
        <v>1.7999999999999999E-2</v>
      </c>
      <c r="L538" s="39">
        <v>0</v>
      </c>
      <c r="M538" s="74" t="str">
        <f t="array" ref="M538">_xlfn.TEXTJOIN("-", TRUE, IF(C538:L538&gt;0, $C$2:$L$2, ""))</f>
        <v xml:space="preserve"> Ti-Al-V-Fe</v>
      </c>
      <c r="N538" s="90">
        <f t="shared" si="16"/>
        <v>514</v>
      </c>
      <c r="O538" s="91">
        <f t="shared" si="17"/>
        <v>4</v>
      </c>
      <c r="P538" s="39">
        <v>2</v>
      </c>
      <c r="Q538" s="39">
        <v>2</v>
      </c>
      <c r="R538" s="39" t="s">
        <v>81</v>
      </c>
      <c r="S538" s="39" t="s">
        <v>81</v>
      </c>
      <c r="T538" s="39">
        <v>1000</v>
      </c>
      <c r="U538" s="39">
        <v>1</v>
      </c>
      <c r="V538" s="39">
        <v>2</v>
      </c>
      <c r="W538" s="39">
        <v>0</v>
      </c>
      <c r="X538" s="39">
        <v>0</v>
      </c>
      <c r="Y538" s="39">
        <v>0</v>
      </c>
      <c r="Z538" s="39"/>
      <c r="AA538" s="39"/>
      <c r="AB538" s="39">
        <v>975</v>
      </c>
      <c r="AC538" s="39">
        <v>798</v>
      </c>
      <c r="AD538" s="39">
        <v>12</v>
      </c>
      <c r="AE538" s="39">
        <v>34</v>
      </c>
      <c r="AF538" s="39"/>
      <c r="AG538" s="39"/>
      <c r="AH538" s="39"/>
      <c r="AI538" s="39"/>
      <c r="AJ538" s="39"/>
      <c r="AK538" s="39"/>
      <c r="AL538" s="39">
        <v>60</v>
      </c>
      <c r="AM538" s="39"/>
      <c r="AN538" s="40"/>
      <c r="AO538" s="40" t="s">
        <v>120</v>
      </c>
      <c r="AP538" s="44">
        <v>13</v>
      </c>
      <c r="AQ538" s="38" t="s">
        <v>83</v>
      </c>
      <c r="AR538" s="128" t="s">
        <v>120</v>
      </c>
      <c r="AS538" s="10" t="s">
        <v>151</v>
      </c>
      <c r="AT538" s="11"/>
    </row>
    <row r="539" spans="1:46" ht="20.25">
      <c r="A539" s="37">
        <v>69</v>
      </c>
      <c r="B539" s="39"/>
      <c r="C539" s="39">
        <v>89.498000000000005</v>
      </c>
      <c r="D539" s="39">
        <v>6.2</v>
      </c>
      <c r="E539" s="39">
        <v>0</v>
      </c>
      <c r="F539" s="39">
        <v>0</v>
      </c>
      <c r="G539" s="39">
        <v>4.2</v>
      </c>
      <c r="H539" s="39">
        <v>0</v>
      </c>
      <c r="I539" s="39">
        <v>0</v>
      </c>
      <c r="J539" s="39">
        <v>0</v>
      </c>
      <c r="K539" s="39">
        <v>1.7999999999999999E-2</v>
      </c>
      <c r="L539" s="39">
        <v>0</v>
      </c>
      <c r="M539" s="74" t="str">
        <f t="array" ref="M539">_xlfn.TEXTJOIN("-", TRUE, IF(C539:L539&gt;0, $C$2:$L$2, ""))</f>
        <v xml:space="preserve"> Ti-Al-V-Fe</v>
      </c>
      <c r="N539" s="90">
        <f t="shared" si="16"/>
        <v>514</v>
      </c>
      <c r="O539" s="91">
        <f t="shared" si="17"/>
        <v>4</v>
      </c>
      <c r="P539" s="39">
        <v>2</v>
      </c>
      <c r="Q539" s="39">
        <v>2</v>
      </c>
      <c r="R539" s="39" t="s">
        <v>81</v>
      </c>
      <c r="S539" s="39" t="s">
        <v>81</v>
      </c>
      <c r="T539" s="39">
        <v>1000</v>
      </c>
      <c r="U539" s="39">
        <v>1</v>
      </c>
      <c r="V539" s="129" t="s">
        <v>474</v>
      </c>
      <c r="W539" s="39">
        <v>0</v>
      </c>
      <c r="X539" s="39">
        <v>0</v>
      </c>
      <c r="Y539" s="39">
        <v>0</v>
      </c>
      <c r="Z539" s="39"/>
      <c r="AA539" s="39"/>
      <c r="AB539" s="39">
        <v>881</v>
      </c>
      <c r="AC539" s="39">
        <v>743</v>
      </c>
      <c r="AD539" s="39">
        <v>14</v>
      </c>
      <c r="AE539" s="39">
        <v>38</v>
      </c>
      <c r="AF539" s="39"/>
      <c r="AG539" s="39"/>
      <c r="AH539" s="39"/>
      <c r="AI539" s="39"/>
      <c r="AJ539" s="39"/>
      <c r="AK539" s="39"/>
      <c r="AL539" s="39">
        <v>63</v>
      </c>
      <c r="AM539" s="39"/>
      <c r="AN539" s="40"/>
      <c r="AO539" s="40" t="s">
        <v>120</v>
      </c>
      <c r="AP539" s="44">
        <v>13</v>
      </c>
      <c r="AQ539" s="41" t="s">
        <v>83</v>
      </c>
      <c r="AR539" s="128" t="s">
        <v>120</v>
      </c>
      <c r="AS539" s="10" t="s">
        <v>151</v>
      </c>
      <c r="AT539" s="11"/>
    </row>
    <row r="540" spans="1:46" ht="20.25">
      <c r="A540" s="37">
        <v>107</v>
      </c>
      <c r="B540" s="39"/>
      <c r="C540" s="39">
        <v>86.36</v>
      </c>
      <c r="D540" s="39">
        <v>5.25</v>
      </c>
      <c r="E540" s="39">
        <v>0</v>
      </c>
      <c r="F540" s="39">
        <v>0</v>
      </c>
      <c r="G540" s="39">
        <v>7.5</v>
      </c>
      <c r="H540" s="39">
        <v>0</v>
      </c>
      <c r="I540" s="39">
        <v>0</v>
      </c>
      <c r="J540" s="39">
        <v>0</v>
      </c>
      <c r="K540" s="39">
        <v>0.25</v>
      </c>
      <c r="L540" s="39">
        <v>0</v>
      </c>
      <c r="M540" s="74" t="str">
        <f t="array" ref="M540">_xlfn.TEXTJOIN("-", TRUE, IF(C540:L540&gt;0, $C$2:$L$2, ""))</f>
        <v xml:space="preserve"> Ti-Al-V-Fe</v>
      </c>
      <c r="N540" s="90">
        <f t="shared" si="16"/>
        <v>514</v>
      </c>
      <c r="O540" s="91">
        <f t="shared" si="17"/>
        <v>4</v>
      </c>
      <c r="P540" s="39">
        <v>2</v>
      </c>
      <c r="Q540" s="39">
        <v>1</v>
      </c>
      <c r="R540" s="39" t="s">
        <v>81</v>
      </c>
      <c r="S540" s="39" t="s">
        <v>81</v>
      </c>
      <c r="T540" s="39">
        <v>850</v>
      </c>
      <c r="U540" s="39">
        <v>1</v>
      </c>
      <c r="V540" s="129" t="s">
        <v>474</v>
      </c>
      <c r="W540" s="39">
        <v>500</v>
      </c>
      <c r="X540" s="39">
        <v>8</v>
      </c>
      <c r="Y540" s="39">
        <v>2</v>
      </c>
      <c r="Z540" s="39"/>
      <c r="AA540" s="39"/>
      <c r="AB540" s="39">
        <v>1189</v>
      </c>
      <c r="AC540" s="39">
        <v>1131</v>
      </c>
      <c r="AD540" s="39">
        <v>15.5</v>
      </c>
      <c r="AE540" s="39">
        <v>40</v>
      </c>
      <c r="AF540" s="39"/>
      <c r="AG540" s="39"/>
      <c r="AH540" s="39"/>
      <c r="AI540" s="39"/>
      <c r="AJ540" s="39"/>
      <c r="AK540" s="39"/>
      <c r="AL540" s="39"/>
      <c r="AM540" s="39"/>
      <c r="AN540" s="40"/>
      <c r="AO540" s="40" t="s">
        <v>121</v>
      </c>
      <c r="AP540" s="44">
        <v>26</v>
      </c>
      <c r="AQ540" s="41" t="s">
        <v>83</v>
      </c>
      <c r="AR540" s="128" t="s">
        <v>475</v>
      </c>
      <c r="AS540" s="10" t="s">
        <v>151</v>
      </c>
      <c r="AT540" s="11"/>
    </row>
    <row r="541" spans="1:46" ht="16.5">
      <c r="A541" s="42">
        <v>108</v>
      </c>
      <c r="B541" s="39"/>
      <c r="C541" s="39">
        <v>86.36</v>
      </c>
      <c r="D541" s="39">
        <v>5.25</v>
      </c>
      <c r="E541" s="39">
        <v>0</v>
      </c>
      <c r="F541" s="39">
        <v>0</v>
      </c>
      <c r="G541" s="39">
        <v>7.5</v>
      </c>
      <c r="H541" s="39">
        <v>0</v>
      </c>
      <c r="I541" s="39">
        <v>0</v>
      </c>
      <c r="J541" s="39">
        <v>0</v>
      </c>
      <c r="K541" s="39">
        <v>0.25</v>
      </c>
      <c r="L541" s="39">
        <v>0</v>
      </c>
      <c r="M541" s="74" t="str">
        <f t="array" ref="M541">_xlfn.TEXTJOIN("-", TRUE, IF(C541:L541&gt;0, $C$2:$L$2, ""))</f>
        <v xml:space="preserve"> Ti-Al-V-Fe</v>
      </c>
      <c r="N541" s="90">
        <f t="shared" si="16"/>
        <v>514</v>
      </c>
      <c r="O541" s="91">
        <f t="shared" si="17"/>
        <v>4</v>
      </c>
      <c r="P541" s="39">
        <v>2</v>
      </c>
      <c r="Q541" s="39">
        <v>1</v>
      </c>
      <c r="R541" s="39" t="s">
        <v>81</v>
      </c>
      <c r="S541" s="39" t="s">
        <v>81</v>
      </c>
      <c r="T541" s="39">
        <v>940</v>
      </c>
      <c r="U541" s="39">
        <v>1</v>
      </c>
      <c r="V541" s="39">
        <v>3</v>
      </c>
      <c r="W541" s="39">
        <v>0</v>
      </c>
      <c r="X541" s="39">
        <v>0</v>
      </c>
      <c r="Y541" s="39">
        <v>0</v>
      </c>
      <c r="Z541" s="39"/>
      <c r="AA541" s="39"/>
      <c r="AB541" s="39">
        <v>970</v>
      </c>
      <c r="AC541" s="39">
        <v>912</v>
      </c>
      <c r="AD541" s="39">
        <v>13.2</v>
      </c>
      <c r="AE541" s="39">
        <v>20</v>
      </c>
      <c r="AF541" s="39"/>
      <c r="AG541" s="39"/>
      <c r="AH541" s="39"/>
      <c r="AI541" s="39"/>
      <c r="AJ541" s="39"/>
      <c r="AK541" s="39"/>
      <c r="AL541" s="39"/>
      <c r="AM541" s="39"/>
      <c r="AN541" s="40"/>
      <c r="AO541" s="40" t="s">
        <v>121</v>
      </c>
      <c r="AP541" s="76">
        <v>26</v>
      </c>
      <c r="AQ541" s="41" t="s">
        <v>83</v>
      </c>
      <c r="AR541" s="127" t="s">
        <v>121</v>
      </c>
      <c r="AS541" s="10" t="s">
        <v>151</v>
      </c>
      <c r="AT541" s="11"/>
    </row>
    <row r="542" spans="1:46" ht="16.5">
      <c r="A542" s="42">
        <v>138</v>
      </c>
      <c r="B542" s="39"/>
      <c r="C542" s="39">
        <v>89.658000000000001</v>
      </c>
      <c r="D542" s="39">
        <v>6.05</v>
      </c>
      <c r="E542" s="39">
        <v>0</v>
      </c>
      <c r="F542" s="39">
        <v>0</v>
      </c>
      <c r="G542" s="39">
        <v>4.04</v>
      </c>
      <c r="H542" s="39">
        <v>0</v>
      </c>
      <c r="I542" s="39">
        <v>0</v>
      </c>
      <c r="J542" s="39">
        <v>0</v>
      </c>
      <c r="K542" s="39">
        <v>0.05</v>
      </c>
      <c r="L542" s="39">
        <v>0</v>
      </c>
      <c r="M542" s="74" t="str">
        <f t="array" ref="M542">_xlfn.TEXTJOIN("-", TRUE, IF(C542:L542&gt;0, $C$2:$L$2, ""))</f>
        <v xml:space="preserve"> Ti-Al-V-Fe</v>
      </c>
      <c r="N542" s="90">
        <f t="shared" si="16"/>
        <v>514</v>
      </c>
      <c r="O542" s="91">
        <f t="shared" si="17"/>
        <v>4</v>
      </c>
      <c r="P542" s="39" t="s">
        <v>81</v>
      </c>
      <c r="Q542" s="39" t="s">
        <v>81</v>
      </c>
      <c r="R542" s="39" t="s">
        <v>81</v>
      </c>
      <c r="S542" s="39" t="s">
        <v>81</v>
      </c>
      <c r="T542" s="39" t="s">
        <v>81</v>
      </c>
      <c r="U542" s="39" t="s">
        <v>81</v>
      </c>
      <c r="V542" s="39" t="s">
        <v>81</v>
      </c>
      <c r="W542" s="39" t="s">
        <v>81</v>
      </c>
      <c r="X542" s="39" t="s">
        <v>81</v>
      </c>
      <c r="Y542" s="39" t="s">
        <v>81</v>
      </c>
      <c r="Z542" s="39"/>
      <c r="AA542" s="39"/>
      <c r="AB542" s="39">
        <v>932</v>
      </c>
      <c r="AC542" s="39">
        <v>851</v>
      </c>
      <c r="AD542" s="39">
        <v>16.2</v>
      </c>
      <c r="AE542" s="39">
        <v>29.7</v>
      </c>
      <c r="AF542" s="39"/>
      <c r="AG542" s="39"/>
      <c r="AH542" s="39"/>
      <c r="AI542" s="39"/>
      <c r="AJ542" s="39">
        <v>55</v>
      </c>
      <c r="AK542" s="39"/>
      <c r="AL542" s="39"/>
      <c r="AM542" s="39"/>
      <c r="AN542" s="40"/>
      <c r="AO542" s="40" t="s">
        <v>122</v>
      </c>
      <c r="AP542" s="76">
        <v>35</v>
      </c>
      <c r="AQ542" s="38" t="s">
        <v>83</v>
      </c>
      <c r="AR542" s="42">
        <v>138</v>
      </c>
    </row>
    <row r="543" spans="1:46" ht="16.5">
      <c r="A543" s="37">
        <v>139</v>
      </c>
      <c r="B543" s="39"/>
      <c r="C543" s="39">
        <v>89.658000000000001</v>
      </c>
      <c r="D543" s="39">
        <v>6.05</v>
      </c>
      <c r="E543" s="39">
        <v>0</v>
      </c>
      <c r="F543" s="39">
        <v>0</v>
      </c>
      <c r="G543" s="39">
        <v>4.04</v>
      </c>
      <c r="H543" s="39">
        <v>0</v>
      </c>
      <c r="I543" s="39">
        <v>0</v>
      </c>
      <c r="J543" s="39">
        <v>0</v>
      </c>
      <c r="K543" s="39">
        <v>0.05</v>
      </c>
      <c r="L543" s="39">
        <v>0</v>
      </c>
      <c r="M543" s="74" t="str">
        <f t="array" ref="M543">_xlfn.TEXTJOIN("-", TRUE, IF(C543:L543&gt;0, $C$2:$L$2, ""))</f>
        <v xml:space="preserve"> Ti-Al-V-Fe</v>
      </c>
      <c r="N543" s="90">
        <f t="shared" si="16"/>
        <v>514</v>
      </c>
      <c r="O543" s="91">
        <f t="shared" si="17"/>
        <v>4</v>
      </c>
      <c r="P543" s="39" t="s">
        <v>81</v>
      </c>
      <c r="Q543" s="39" t="s">
        <v>81</v>
      </c>
      <c r="R543" s="39" t="s">
        <v>81</v>
      </c>
      <c r="S543" s="39" t="s">
        <v>81</v>
      </c>
      <c r="T543" s="39">
        <v>930</v>
      </c>
      <c r="U543" s="39">
        <v>1</v>
      </c>
      <c r="V543" s="39">
        <v>2</v>
      </c>
      <c r="W543" s="39">
        <v>0</v>
      </c>
      <c r="X543" s="39">
        <v>0</v>
      </c>
      <c r="Y543" s="39">
        <v>0</v>
      </c>
      <c r="Z543" s="39"/>
      <c r="AA543" s="39"/>
      <c r="AB543" s="39">
        <v>978</v>
      </c>
      <c r="AC543" s="39">
        <v>903</v>
      </c>
      <c r="AD543" s="39">
        <v>15.5</v>
      </c>
      <c r="AE543" s="39">
        <v>59.8</v>
      </c>
      <c r="AF543" s="39"/>
      <c r="AG543" s="39"/>
      <c r="AH543" s="39"/>
      <c r="AI543" s="39"/>
      <c r="AJ543" s="39">
        <v>50</v>
      </c>
      <c r="AK543" s="39"/>
      <c r="AL543" s="39"/>
      <c r="AM543" s="39"/>
      <c r="AN543" s="40"/>
      <c r="AO543" s="40" t="s">
        <v>122</v>
      </c>
      <c r="AP543" s="44">
        <v>35</v>
      </c>
      <c r="AQ543" s="41" t="s">
        <v>83</v>
      </c>
      <c r="AR543" s="37">
        <v>139</v>
      </c>
    </row>
    <row r="544" spans="1:46" ht="16.5">
      <c r="A544" s="105">
        <v>315</v>
      </c>
      <c r="B544" s="21" t="s">
        <v>101</v>
      </c>
      <c r="C544" s="21">
        <v>86</v>
      </c>
      <c r="D544" s="21">
        <v>1</v>
      </c>
      <c r="E544" s="21">
        <v>0</v>
      </c>
      <c r="F544" s="21">
        <v>0</v>
      </c>
      <c r="G544" s="21">
        <v>8</v>
      </c>
      <c r="H544" s="21">
        <v>0</v>
      </c>
      <c r="I544" s="21">
        <v>0</v>
      </c>
      <c r="J544" s="21">
        <v>0</v>
      </c>
      <c r="K544" s="21">
        <v>5</v>
      </c>
      <c r="L544" s="21">
        <v>0</v>
      </c>
      <c r="M544" s="74" t="str">
        <f t="array" ref="M544">_xlfn.TEXTJOIN("-", TRUE, IF(C544:L544&gt;0, $C$2:$L$2, ""))</f>
        <v xml:space="preserve"> Ti-Al-V-Fe</v>
      </c>
      <c r="N544" s="90">
        <f t="shared" si="16"/>
        <v>514</v>
      </c>
      <c r="O544" s="91">
        <f t="shared" si="17"/>
        <v>4</v>
      </c>
      <c r="P544" s="21">
        <v>1</v>
      </c>
      <c r="Q544" s="21">
        <v>0</v>
      </c>
      <c r="R544" s="21">
        <v>0</v>
      </c>
      <c r="S544" s="21">
        <v>0</v>
      </c>
      <c r="T544" s="22">
        <v>700</v>
      </c>
      <c r="U544" s="22">
        <v>6</v>
      </c>
      <c r="V544" s="106">
        <v>3</v>
      </c>
      <c r="W544" s="22">
        <v>0</v>
      </c>
      <c r="X544" s="22">
        <v>0</v>
      </c>
      <c r="Y544" s="107">
        <v>0</v>
      </c>
      <c r="Z544" s="23" t="s">
        <v>102</v>
      </c>
      <c r="AA544" s="23" t="s">
        <v>102</v>
      </c>
      <c r="AB544" s="21">
        <v>1000</v>
      </c>
      <c r="AC544" s="21">
        <v>946</v>
      </c>
      <c r="AD544" s="21">
        <v>13.4</v>
      </c>
      <c r="AE544" s="23" t="s">
        <v>101</v>
      </c>
      <c r="AF544" s="23" t="s">
        <v>102</v>
      </c>
      <c r="AG544" s="23" t="s">
        <v>102</v>
      </c>
      <c r="AH544" s="23" t="s">
        <v>102</v>
      </c>
      <c r="AI544" s="23" t="s">
        <v>102</v>
      </c>
      <c r="AJ544" s="23" t="s">
        <v>102</v>
      </c>
      <c r="AK544" s="23" t="s">
        <v>102</v>
      </c>
      <c r="AL544" s="23" t="s">
        <v>102</v>
      </c>
      <c r="AM544" s="24"/>
      <c r="AN544" s="108" t="s">
        <v>101</v>
      </c>
      <c r="AO544" s="108" t="s">
        <v>149</v>
      </c>
      <c r="AP544" s="109">
        <v>315</v>
      </c>
      <c r="AQ544" s="110" t="s">
        <v>100</v>
      </c>
      <c r="AR544" s="105">
        <v>315</v>
      </c>
    </row>
    <row r="545" spans="1:61" ht="16.5">
      <c r="A545" s="105">
        <v>316</v>
      </c>
      <c r="B545" s="111" t="s">
        <v>101</v>
      </c>
      <c r="C545" s="111">
        <v>86</v>
      </c>
      <c r="D545" s="111">
        <v>1</v>
      </c>
      <c r="E545" s="111">
        <v>0</v>
      </c>
      <c r="F545" s="111">
        <v>0</v>
      </c>
      <c r="G545" s="111">
        <v>8</v>
      </c>
      <c r="H545" s="111">
        <v>0</v>
      </c>
      <c r="I545" s="111">
        <v>0</v>
      </c>
      <c r="J545" s="111">
        <v>0</v>
      </c>
      <c r="K545" s="111">
        <v>5</v>
      </c>
      <c r="L545" s="111">
        <v>0</v>
      </c>
      <c r="M545" s="74" t="str">
        <f t="array" ref="M545">_xlfn.TEXTJOIN("-", TRUE, IF(C545:L545&gt;0, $C$2:$L$2, ""))</f>
        <v xml:space="preserve"> Ti-Al-V-Fe</v>
      </c>
      <c r="N545" s="90">
        <f t="shared" si="16"/>
        <v>514</v>
      </c>
      <c r="O545" s="91">
        <f t="shared" si="17"/>
        <v>4</v>
      </c>
      <c r="P545" s="111">
        <v>1</v>
      </c>
      <c r="Q545" s="111">
        <v>0</v>
      </c>
      <c r="R545" s="111">
        <v>0</v>
      </c>
      <c r="S545" s="111">
        <v>0</v>
      </c>
      <c r="T545" s="109">
        <v>780</v>
      </c>
      <c r="U545" s="109">
        <v>1</v>
      </c>
      <c r="V545" s="112">
        <v>1</v>
      </c>
      <c r="W545" s="109">
        <v>0</v>
      </c>
      <c r="X545" s="109">
        <v>0</v>
      </c>
      <c r="Y545" s="113">
        <v>0</v>
      </c>
      <c r="Z545" s="18" t="s">
        <v>102</v>
      </c>
      <c r="AA545" s="18" t="s">
        <v>102</v>
      </c>
      <c r="AB545" s="111">
        <v>1287</v>
      </c>
      <c r="AC545" s="111">
        <v>1262</v>
      </c>
      <c r="AD545" s="111">
        <v>3.9</v>
      </c>
      <c r="AE545" s="18" t="s">
        <v>101</v>
      </c>
      <c r="AF545" s="18" t="s">
        <v>102</v>
      </c>
      <c r="AG545" s="18" t="s">
        <v>102</v>
      </c>
      <c r="AH545" s="18" t="s">
        <v>102</v>
      </c>
      <c r="AI545" s="18" t="s">
        <v>102</v>
      </c>
      <c r="AJ545" s="18" t="s">
        <v>102</v>
      </c>
      <c r="AK545" s="18" t="s">
        <v>102</v>
      </c>
      <c r="AL545" s="18" t="s">
        <v>102</v>
      </c>
      <c r="AM545" s="19"/>
      <c r="AN545" s="20" t="s">
        <v>101</v>
      </c>
      <c r="AO545" s="20" t="s">
        <v>103</v>
      </c>
      <c r="AP545" s="109">
        <v>316</v>
      </c>
      <c r="AQ545" s="110" t="s">
        <v>100</v>
      </c>
      <c r="AR545" s="105">
        <v>316</v>
      </c>
    </row>
    <row r="546" spans="1:61" ht="16.5">
      <c r="A546" s="37">
        <v>126</v>
      </c>
      <c r="B546" s="44"/>
      <c r="C546" s="44">
        <f>100-SUM(D546:L546)</f>
        <v>90.57</v>
      </c>
      <c r="D546" s="44">
        <v>5.58</v>
      </c>
      <c r="E546" s="44">
        <v>0</v>
      </c>
      <c r="F546" s="44">
        <v>0</v>
      </c>
      <c r="G546" s="44">
        <v>3.55</v>
      </c>
      <c r="H546" s="44">
        <v>0</v>
      </c>
      <c r="I546" s="44">
        <v>0</v>
      </c>
      <c r="J546" s="44">
        <v>0</v>
      </c>
      <c r="K546" s="44">
        <v>0.3</v>
      </c>
      <c r="L546" s="44">
        <v>0</v>
      </c>
      <c r="M546" s="74" t="str">
        <f t="array" ref="M546">_xlfn.TEXTJOIN("-", TRUE, IF(C546:L546&gt;0, $C$2:$L$2, ""))</f>
        <v xml:space="preserve"> Ti-Al-V-Fe</v>
      </c>
      <c r="N546" s="90">
        <f t="shared" si="16"/>
        <v>514</v>
      </c>
      <c r="O546" s="91">
        <f t="shared" si="17"/>
        <v>4</v>
      </c>
      <c r="P546" s="44" t="s">
        <v>81</v>
      </c>
      <c r="Q546" s="44" t="s">
        <v>81</v>
      </c>
      <c r="R546" s="44" t="s">
        <v>81</v>
      </c>
      <c r="S546" s="44" t="s">
        <v>81</v>
      </c>
      <c r="T546" s="44" t="s">
        <v>81</v>
      </c>
      <c r="U546" s="44" t="s">
        <v>81</v>
      </c>
      <c r="V546" s="44" t="s">
        <v>81</v>
      </c>
      <c r="W546" s="44" t="s">
        <v>81</v>
      </c>
      <c r="X546" s="44" t="s">
        <v>81</v>
      </c>
      <c r="Y546" s="44" t="s">
        <v>81</v>
      </c>
      <c r="Z546" s="44"/>
      <c r="AA546" s="44"/>
      <c r="AB546" s="44">
        <v>1009</v>
      </c>
      <c r="AC546" s="44">
        <v>952.7</v>
      </c>
      <c r="AD546" s="44">
        <v>9.3000000000000007</v>
      </c>
      <c r="AE546" s="44"/>
      <c r="AF546" s="44"/>
      <c r="AG546" s="44"/>
      <c r="AH546" s="44"/>
      <c r="AI546" s="44"/>
      <c r="AJ546" s="44"/>
      <c r="AK546" s="44">
        <v>130</v>
      </c>
      <c r="AL546" s="44"/>
      <c r="AM546" s="44"/>
      <c r="AN546" s="45"/>
      <c r="AO546" s="45" t="s">
        <v>260</v>
      </c>
      <c r="AP546" s="44">
        <v>32</v>
      </c>
      <c r="AQ546" s="41" t="s">
        <v>83</v>
      </c>
      <c r="AR546" s="37">
        <v>126</v>
      </c>
    </row>
    <row r="547" spans="1:61" ht="16.5">
      <c r="A547" s="37">
        <v>127</v>
      </c>
      <c r="B547" s="44"/>
      <c r="C547" s="44">
        <f>100-SUM(D547:L547)</f>
        <v>90.57</v>
      </c>
      <c r="D547" s="44">
        <v>5.58</v>
      </c>
      <c r="E547" s="44">
        <v>0</v>
      </c>
      <c r="F547" s="44">
        <v>0</v>
      </c>
      <c r="G547" s="44">
        <v>3.55</v>
      </c>
      <c r="H547" s="44">
        <v>0</v>
      </c>
      <c r="I547" s="44">
        <v>0</v>
      </c>
      <c r="J547" s="44">
        <v>0</v>
      </c>
      <c r="K547" s="44">
        <v>0.3</v>
      </c>
      <c r="L547" s="44">
        <v>0</v>
      </c>
      <c r="M547" s="74" t="str">
        <f t="array" ref="M547">_xlfn.TEXTJOIN("-", TRUE, IF(C547:L547&gt;0, $C$2:$L$2, ""))</f>
        <v xml:space="preserve"> Ti-Al-V-Fe</v>
      </c>
      <c r="N547" s="90">
        <f t="shared" si="16"/>
        <v>514</v>
      </c>
      <c r="O547" s="91">
        <f t="shared" si="17"/>
        <v>4</v>
      </c>
      <c r="P547" s="44" t="s">
        <v>81</v>
      </c>
      <c r="Q547" s="44" t="s">
        <v>81</v>
      </c>
      <c r="R547" s="44" t="s">
        <v>81</v>
      </c>
      <c r="S547" s="44" t="s">
        <v>81</v>
      </c>
      <c r="T547" s="44">
        <v>850</v>
      </c>
      <c r="U547" s="44">
        <v>2</v>
      </c>
      <c r="V547" s="44">
        <v>3</v>
      </c>
      <c r="W547" s="44">
        <v>0</v>
      </c>
      <c r="X547" s="44">
        <v>0</v>
      </c>
      <c r="Y547" s="44">
        <v>0</v>
      </c>
      <c r="Z547" s="44"/>
      <c r="AA547" s="44"/>
      <c r="AB547" s="44">
        <v>988.3</v>
      </c>
      <c r="AC547" s="44">
        <v>966</v>
      </c>
      <c r="AD547" s="44">
        <v>14.8</v>
      </c>
      <c r="AE547" s="44"/>
      <c r="AF547" s="44"/>
      <c r="AG547" s="44"/>
      <c r="AH547" s="44"/>
      <c r="AI547" s="44"/>
      <c r="AJ547" s="44"/>
      <c r="AK547" s="44">
        <v>170</v>
      </c>
      <c r="AL547" s="44"/>
      <c r="AM547" s="44"/>
      <c r="AN547" s="45"/>
      <c r="AO547" s="45" t="s">
        <v>260</v>
      </c>
      <c r="AP547" s="44">
        <v>32</v>
      </c>
      <c r="AQ547" s="41" t="s">
        <v>83</v>
      </c>
      <c r="AR547" s="37">
        <v>127</v>
      </c>
    </row>
    <row r="548" spans="1:61" ht="16.5">
      <c r="A548" s="37">
        <v>128</v>
      </c>
      <c r="B548" s="44"/>
      <c r="C548" s="44">
        <f>100-SUM(D548:L548)</f>
        <v>90.57</v>
      </c>
      <c r="D548" s="44">
        <v>5.58</v>
      </c>
      <c r="E548" s="44">
        <v>0</v>
      </c>
      <c r="F548" s="44">
        <v>0</v>
      </c>
      <c r="G548" s="44">
        <v>3.55</v>
      </c>
      <c r="H548" s="44">
        <v>0</v>
      </c>
      <c r="I548" s="44">
        <v>0</v>
      </c>
      <c r="J548" s="44">
        <v>0</v>
      </c>
      <c r="K548" s="44">
        <v>0.3</v>
      </c>
      <c r="L548" s="44">
        <v>0</v>
      </c>
      <c r="M548" s="74" t="str">
        <f t="array" ref="M548">_xlfn.TEXTJOIN("-", TRUE, IF(C548:L548&gt;0, $C$2:$L$2, ""))</f>
        <v xml:space="preserve"> Ti-Al-V-Fe</v>
      </c>
      <c r="N548" s="90">
        <f t="shared" si="16"/>
        <v>514</v>
      </c>
      <c r="O548" s="91">
        <f t="shared" si="17"/>
        <v>4</v>
      </c>
      <c r="P548" s="44" t="s">
        <v>81</v>
      </c>
      <c r="Q548" s="44" t="s">
        <v>81</v>
      </c>
      <c r="R548" s="44" t="s">
        <v>81</v>
      </c>
      <c r="S548" s="44" t="s">
        <v>81</v>
      </c>
      <c r="T548" s="44">
        <v>980</v>
      </c>
      <c r="U548" s="44">
        <v>0.16666666666666699</v>
      </c>
      <c r="V548" s="44">
        <v>3</v>
      </c>
      <c r="W548" s="44">
        <v>0</v>
      </c>
      <c r="X548" s="44">
        <v>0</v>
      </c>
      <c r="Y548" s="44">
        <v>0</v>
      </c>
      <c r="Z548" s="44"/>
      <c r="AA548" s="44"/>
      <c r="AB548" s="44">
        <v>586</v>
      </c>
      <c r="AC548" s="44">
        <v>490.7</v>
      </c>
      <c r="AD548" s="44">
        <v>1.6</v>
      </c>
      <c r="AE548" s="44"/>
      <c r="AF548" s="44"/>
      <c r="AG548" s="44"/>
      <c r="AH548" s="44"/>
      <c r="AI548" s="44"/>
      <c r="AJ548" s="44"/>
      <c r="AK548" s="44">
        <v>1.4</v>
      </c>
      <c r="AL548" s="44"/>
      <c r="AM548" s="44"/>
      <c r="AN548" s="45"/>
      <c r="AO548" s="45" t="s">
        <v>260</v>
      </c>
      <c r="AP548" s="44">
        <v>32</v>
      </c>
      <c r="AQ548" s="41" t="s">
        <v>83</v>
      </c>
      <c r="AR548" s="37">
        <v>128</v>
      </c>
    </row>
    <row r="549" spans="1:61" ht="16.5">
      <c r="A549" s="125">
        <v>102</v>
      </c>
      <c r="B549" s="126"/>
      <c r="C549" s="112">
        <v>89</v>
      </c>
      <c r="D549" s="112">
        <v>0</v>
      </c>
      <c r="E549" s="112">
        <v>0</v>
      </c>
      <c r="F549" s="112">
        <v>7</v>
      </c>
      <c r="G549" s="112">
        <v>0</v>
      </c>
      <c r="H549" s="112">
        <v>0</v>
      </c>
      <c r="I549" s="112">
        <v>0</v>
      </c>
      <c r="J549" s="112">
        <v>3</v>
      </c>
      <c r="K549" s="112">
        <v>1</v>
      </c>
      <c r="L549" s="112">
        <v>0</v>
      </c>
      <c r="M549" s="74" t="str">
        <f t="array" ref="M549">_xlfn.TEXTJOIN("-", TRUE, IF(C549:L549&gt;0, $C$2:$L$2, ""))</f>
        <v xml:space="preserve"> Ti-Mo-Cr-Fe</v>
      </c>
      <c r="N549" s="90">
        <f t="shared" si="16"/>
        <v>549</v>
      </c>
      <c r="O549" s="91">
        <f t="shared" si="17"/>
        <v>4</v>
      </c>
      <c r="P549" s="112">
        <v>1</v>
      </c>
      <c r="Q549" s="112">
        <v>1</v>
      </c>
      <c r="R549" s="112">
        <v>20</v>
      </c>
      <c r="S549" s="112">
        <v>60</v>
      </c>
      <c r="T549" s="112">
        <v>850</v>
      </c>
      <c r="U549" s="112">
        <v>0.33</v>
      </c>
      <c r="V549" s="112">
        <v>2</v>
      </c>
      <c r="W549" s="112">
        <v>0</v>
      </c>
      <c r="X549" s="112">
        <v>0</v>
      </c>
      <c r="Y549" s="112">
        <v>0</v>
      </c>
      <c r="Z549" s="126"/>
      <c r="AA549" s="126"/>
      <c r="AB549" s="112">
        <v>1246</v>
      </c>
      <c r="AC549" s="112"/>
      <c r="AD549" s="112">
        <v>14.54</v>
      </c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 t="s">
        <v>136</v>
      </c>
      <c r="AO549" s="126" t="s">
        <v>137</v>
      </c>
      <c r="AP549" s="126">
        <v>16</v>
      </c>
      <c r="AQ549" s="124" t="s">
        <v>54</v>
      </c>
      <c r="AR549" s="125">
        <v>102</v>
      </c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</row>
    <row r="550" spans="1:61" ht="16.5">
      <c r="A550" s="125">
        <v>103</v>
      </c>
      <c r="B550" s="126"/>
      <c r="C550" s="112">
        <v>89</v>
      </c>
      <c r="D550" s="112">
        <v>0</v>
      </c>
      <c r="E550" s="112">
        <v>0</v>
      </c>
      <c r="F550" s="112">
        <v>7</v>
      </c>
      <c r="G550" s="112">
        <v>0</v>
      </c>
      <c r="H550" s="112">
        <v>0</v>
      </c>
      <c r="I550" s="112">
        <v>0</v>
      </c>
      <c r="J550" s="112">
        <v>3</v>
      </c>
      <c r="K550" s="112">
        <v>1</v>
      </c>
      <c r="L550" s="112">
        <v>0</v>
      </c>
      <c r="M550" s="74" t="str">
        <f t="array" ref="M550">_xlfn.TEXTJOIN("-", TRUE, IF(C550:L550&gt;0, $C$2:$L$2, ""))</f>
        <v xml:space="preserve"> Ti-Mo-Cr-Fe</v>
      </c>
      <c r="N550" s="90">
        <f t="shared" si="16"/>
        <v>549</v>
      </c>
      <c r="O550" s="91">
        <f t="shared" si="17"/>
        <v>4</v>
      </c>
      <c r="P550" s="112">
        <v>1</v>
      </c>
      <c r="Q550" s="112">
        <v>1</v>
      </c>
      <c r="R550" s="112">
        <v>20</v>
      </c>
      <c r="S550" s="112">
        <v>60</v>
      </c>
      <c r="T550" s="112">
        <v>850</v>
      </c>
      <c r="U550" s="112">
        <v>0.33</v>
      </c>
      <c r="V550" s="112">
        <v>1</v>
      </c>
      <c r="W550" s="112">
        <v>0</v>
      </c>
      <c r="X550" s="112">
        <v>0</v>
      </c>
      <c r="Y550" s="112">
        <v>0</v>
      </c>
      <c r="Z550" s="126"/>
      <c r="AA550" s="126"/>
      <c r="AB550" s="112">
        <v>929.6</v>
      </c>
      <c r="AC550" s="112"/>
      <c r="AD550" s="112">
        <v>24.79</v>
      </c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 t="s">
        <v>138</v>
      </c>
      <c r="AO550" s="126" t="s">
        <v>137</v>
      </c>
      <c r="AP550" s="126">
        <v>16</v>
      </c>
      <c r="AQ550" s="124" t="s">
        <v>54</v>
      </c>
      <c r="AR550" s="125">
        <v>103</v>
      </c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</row>
    <row r="551" spans="1:61" ht="16.5">
      <c r="A551" s="125">
        <v>110</v>
      </c>
      <c r="B551" s="126"/>
      <c r="C551" s="112">
        <v>58</v>
      </c>
      <c r="D551" s="112">
        <v>0</v>
      </c>
      <c r="E551" s="112">
        <v>6.8</v>
      </c>
      <c r="F551" s="112">
        <v>0</v>
      </c>
      <c r="G551" s="112">
        <v>0</v>
      </c>
      <c r="H551" s="112">
        <v>0</v>
      </c>
      <c r="I551" s="112">
        <v>32.5</v>
      </c>
      <c r="J551" s="112">
        <v>0</v>
      </c>
      <c r="K551" s="112">
        <v>0</v>
      </c>
      <c r="L551" s="112">
        <v>2.7</v>
      </c>
      <c r="M551" s="74" t="str">
        <f t="array" ref="M551">_xlfn.TEXTJOIN("-", TRUE, IF(C551:L551&gt;0, $C$2:$L$2, ""))</f>
        <v xml:space="preserve"> Ti-Zr-Nb-Sn</v>
      </c>
      <c r="N551" s="90">
        <f t="shared" si="16"/>
        <v>551</v>
      </c>
      <c r="O551" s="91">
        <f t="shared" si="17"/>
        <v>4</v>
      </c>
      <c r="P551" s="112">
        <v>2</v>
      </c>
      <c r="Q551" s="112">
        <v>0</v>
      </c>
      <c r="R551" s="112">
        <v>0</v>
      </c>
      <c r="S551" s="112">
        <v>0</v>
      </c>
      <c r="T551" s="112">
        <v>1000</v>
      </c>
      <c r="U551" s="112">
        <v>1</v>
      </c>
      <c r="V551" s="112">
        <v>1</v>
      </c>
      <c r="W551" s="112">
        <v>0</v>
      </c>
      <c r="X551" s="112">
        <v>0</v>
      </c>
      <c r="Y551" s="112">
        <v>0</v>
      </c>
      <c r="Z551" s="126"/>
      <c r="AA551" s="126"/>
      <c r="AB551" s="112">
        <v>562</v>
      </c>
      <c r="AC551" s="112"/>
      <c r="AD551" s="112">
        <v>20.100000000000001</v>
      </c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 t="s">
        <v>140</v>
      </c>
      <c r="AO551" s="126" t="s">
        <v>141</v>
      </c>
      <c r="AP551" s="126">
        <v>18</v>
      </c>
      <c r="AQ551" s="124" t="s">
        <v>54</v>
      </c>
      <c r="AR551" s="125">
        <v>110</v>
      </c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</row>
    <row r="552" spans="1:61" ht="16.5">
      <c r="A552" s="125">
        <v>111</v>
      </c>
      <c r="B552" s="126"/>
      <c r="C552" s="112">
        <v>58</v>
      </c>
      <c r="D552" s="112">
        <v>0</v>
      </c>
      <c r="E552" s="112">
        <v>6.8</v>
      </c>
      <c r="F552" s="112">
        <v>0</v>
      </c>
      <c r="G552" s="112">
        <v>0</v>
      </c>
      <c r="H552" s="112">
        <v>0</v>
      </c>
      <c r="I552" s="112">
        <v>32.5</v>
      </c>
      <c r="J552" s="112">
        <v>0</v>
      </c>
      <c r="K552" s="112">
        <v>0</v>
      </c>
      <c r="L552" s="112">
        <v>2.7</v>
      </c>
      <c r="M552" s="74" t="str">
        <f t="array" ref="M552">_xlfn.TEXTJOIN("-", TRUE, IF(C552:L552&gt;0, $C$2:$L$2, ""))</f>
        <v xml:space="preserve"> Ti-Zr-Nb-Sn</v>
      </c>
      <c r="N552" s="90">
        <f t="shared" si="16"/>
        <v>551</v>
      </c>
      <c r="O552" s="91">
        <f t="shared" si="17"/>
        <v>4</v>
      </c>
      <c r="P552" s="112">
        <v>2</v>
      </c>
      <c r="Q552" s="112">
        <v>1</v>
      </c>
      <c r="R552" s="112">
        <v>20</v>
      </c>
      <c r="S552" s="112">
        <v>50</v>
      </c>
      <c r="T552" s="112">
        <v>1000</v>
      </c>
      <c r="U552" s="112">
        <v>1</v>
      </c>
      <c r="V552" s="112">
        <v>1</v>
      </c>
      <c r="W552" s="112">
        <v>0</v>
      </c>
      <c r="X552" s="112">
        <v>0</v>
      </c>
      <c r="Y552" s="112">
        <v>0</v>
      </c>
      <c r="Z552" s="126"/>
      <c r="AA552" s="126"/>
      <c r="AB552" s="112">
        <v>719</v>
      </c>
      <c r="AC552" s="112"/>
      <c r="AD552" s="112">
        <v>16.8</v>
      </c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 t="s">
        <v>140</v>
      </c>
      <c r="AO552" s="126" t="s">
        <v>141</v>
      </c>
      <c r="AP552" s="126">
        <v>18</v>
      </c>
      <c r="AQ552" s="124" t="s">
        <v>54</v>
      </c>
      <c r="AR552" s="125">
        <v>111</v>
      </c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</row>
    <row r="553" spans="1:61" ht="16.5">
      <c r="A553" s="125">
        <v>112</v>
      </c>
      <c r="B553" s="126"/>
      <c r="C553" s="112">
        <v>58</v>
      </c>
      <c r="D553" s="112">
        <v>0</v>
      </c>
      <c r="E553" s="112">
        <v>6.8</v>
      </c>
      <c r="F553" s="112">
        <v>0</v>
      </c>
      <c r="G553" s="112">
        <v>0</v>
      </c>
      <c r="H553" s="112">
        <v>0</v>
      </c>
      <c r="I553" s="112">
        <v>32.5</v>
      </c>
      <c r="J553" s="112">
        <v>0</v>
      </c>
      <c r="K553" s="112">
        <v>0</v>
      </c>
      <c r="L553" s="112">
        <v>2.7</v>
      </c>
      <c r="M553" s="74" t="str">
        <f t="array" ref="M553">_xlfn.TEXTJOIN("-", TRUE, IF(C553:L553&gt;0, $C$2:$L$2, ""))</f>
        <v xml:space="preserve"> Ti-Zr-Nb-Sn</v>
      </c>
      <c r="N553" s="90">
        <f t="shared" si="16"/>
        <v>551</v>
      </c>
      <c r="O553" s="91">
        <f t="shared" si="17"/>
        <v>4</v>
      </c>
      <c r="P553" s="112">
        <v>2</v>
      </c>
      <c r="Q553" s="112">
        <v>1</v>
      </c>
      <c r="R553" s="112">
        <v>20</v>
      </c>
      <c r="S553" s="112">
        <v>90</v>
      </c>
      <c r="T553" s="112">
        <v>1000</v>
      </c>
      <c r="U553" s="112">
        <v>1</v>
      </c>
      <c r="V553" s="112">
        <v>1</v>
      </c>
      <c r="W553" s="112">
        <v>0</v>
      </c>
      <c r="X553" s="112">
        <v>0</v>
      </c>
      <c r="Y553" s="112">
        <v>0</v>
      </c>
      <c r="Z553" s="126"/>
      <c r="AA553" s="126"/>
      <c r="AB553" s="112">
        <v>883</v>
      </c>
      <c r="AC553" s="112"/>
      <c r="AD553" s="112">
        <v>14.9</v>
      </c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 t="s">
        <v>140</v>
      </c>
      <c r="AO553" s="126" t="s">
        <v>141</v>
      </c>
      <c r="AP553" s="126">
        <v>18</v>
      </c>
      <c r="AQ553" s="124" t="s">
        <v>54</v>
      </c>
      <c r="AR553" s="125">
        <v>112</v>
      </c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</row>
    <row r="554" spans="1:61" ht="16.5">
      <c r="A554" s="125">
        <v>113</v>
      </c>
      <c r="B554" s="126"/>
      <c r="C554" s="112">
        <v>64</v>
      </c>
      <c r="D554" s="112">
        <v>0</v>
      </c>
      <c r="E554" s="112">
        <v>4</v>
      </c>
      <c r="F554" s="112">
        <v>0</v>
      </c>
      <c r="G554" s="112">
        <v>0</v>
      </c>
      <c r="H554" s="112">
        <v>0</v>
      </c>
      <c r="I554" s="112">
        <v>24</v>
      </c>
      <c r="J554" s="112">
        <v>0</v>
      </c>
      <c r="K554" s="112">
        <v>0</v>
      </c>
      <c r="L554" s="112">
        <v>8</v>
      </c>
      <c r="M554" s="74" t="str">
        <f t="array" ref="M554">_xlfn.TEXTJOIN("-", TRUE, IF(C554:L554&gt;0, $C$2:$L$2, ""))</f>
        <v xml:space="preserve"> Ti-Zr-Nb-Sn</v>
      </c>
      <c r="N554" s="90">
        <f t="shared" si="16"/>
        <v>551</v>
      </c>
      <c r="O554" s="91">
        <f t="shared" si="17"/>
        <v>4</v>
      </c>
      <c r="P554" s="112">
        <v>2</v>
      </c>
      <c r="Q554" s="112">
        <v>2</v>
      </c>
      <c r="R554" s="112">
        <v>20</v>
      </c>
      <c r="S554" s="112">
        <v>94</v>
      </c>
      <c r="T554" s="112">
        <v>900</v>
      </c>
      <c r="U554" s="112">
        <v>0.5</v>
      </c>
      <c r="V554" s="112">
        <v>1</v>
      </c>
      <c r="W554" s="112">
        <v>0</v>
      </c>
      <c r="X554" s="112">
        <v>0</v>
      </c>
      <c r="Y554" s="112">
        <v>0</v>
      </c>
      <c r="Z554" s="126"/>
      <c r="AA554" s="126"/>
      <c r="AB554" s="112">
        <v>870</v>
      </c>
      <c r="AC554" s="112"/>
      <c r="AD554" s="112">
        <v>10</v>
      </c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 t="s">
        <v>142</v>
      </c>
      <c r="AO554" s="126" t="s">
        <v>143</v>
      </c>
      <c r="AP554" s="126">
        <v>19</v>
      </c>
      <c r="AQ554" s="124" t="s">
        <v>54</v>
      </c>
      <c r="AR554" s="125">
        <v>113</v>
      </c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</row>
    <row r="555" spans="1:61" ht="16.5">
      <c r="A555" s="125">
        <v>114</v>
      </c>
      <c r="B555" s="126"/>
      <c r="C555" s="112">
        <v>64</v>
      </c>
      <c r="D555" s="112">
        <v>0</v>
      </c>
      <c r="E555" s="112">
        <v>4</v>
      </c>
      <c r="F555" s="112">
        <v>0</v>
      </c>
      <c r="G555" s="112">
        <v>0</v>
      </c>
      <c r="H555" s="112">
        <v>0</v>
      </c>
      <c r="I555" s="112">
        <v>24</v>
      </c>
      <c r="J555" s="112">
        <v>0</v>
      </c>
      <c r="K555" s="112">
        <v>0</v>
      </c>
      <c r="L555" s="112">
        <v>8</v>
      </c>
      <c r="M555" s="74" t="str">
        <f t="array" ref="M555">_xlfn.TEXTJOIN("-", TRUE, IF(C555:L555&gt;0, $C$2:$L$2, ""))</f>
        <v xml:space="preserve"> Ti-Zr-Nb-Sn</v>
      </c>
      <c r="N555" s="90">
        <f t="shared" si="16"/>
        <v>551</v>
      </c>
      <c r="O555" s="91">
        <f t="shared" si="17"/>
        <v>4</v>
      </c>
      <c r="P555" s="112">
        <v>2</v>
      </c>
      <c r="Q555" s="112">
        <v>2</v>
      </c>
      <c r="R555" s="112">
        <v>20</v>
      </c>
      <c r="S555" s="130">
        <v>94</v>
      </c>
      <c r="T555" s="131">
        <v>700</v>
      </c>
      <c r="U555" s="112">
        <v>0.05</v>
      </c>
      <c r="V555" s="112">
        <v>2</v>
      </c>
      <c r="W555" s="112">
        <v>0</v>
      </c>
      <c r="X555" s="112">
        <v>0</v>
      </c>
      <c r="Y555" s="112">
        <v>0</v>
      </c>
      <c r="Z555" s="126"/>
      <c r="AA555" s="126"/>
      <c r="AB555" s="112">
        <v>990</v>
      </c>
      <c r="AC555" s="112"/>
      <c r="AD555" s="112">
        <v>9</v>
      </c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 t="s">
        <v>142</v>
      </c>
      <c r="AO555" s="126" t="s">
        <v>143</v>
      </c>
      <c r="AP555" s="126">
        <v>19</v>
      </c>
      <c r="AQ555" s="124" t="s">
        <v>54</v>
      </c>
      <c r="AR555" s="125">
        <v>114</v>
      </c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</row>
    <row r="556" spans="1:61" ht="16.5">
      <c r="A556" s="27">
        <v>45</v>
      </c>
      <c r="B556" s="20"/>
      <c r="C556" s="20">
        <v>72</v>
      </c>
      <c r="D556" s="20">
        <v>0</v>
      </c>
      <c r="E556" s="20">
        <v>4</v>
      </c>
      <c r="F556" s="20">
        <v>0</v>
      </c>
      <c r="G556" s="20">
        <v>0</v>
      </c>
      <c r="H556" s="20">
        <v>0</v>
      </c>
      <c r="I556" s="20">
        <v>16</v>
      </c>
      <c r="J556" s="20">
        <v>0</v>
      </c>
      <c r="K556" s="20">
        <v>0</v>
      </c>
      <c r="L556" s="20">
        <v>8</v>
      </c>
      <c r="M556" s="74" t="str">
        <f t="array" ref="M556">_xlfn.TEXTJOIN("-", TRUE, IF(C556:L556&gt;0, $C$2:$L$2, ""))</f>
        <v xml:space="preserve"> Ti-Zr-Nb-Sn</v>
      </c>
      <c r="N556" s="90">
        <f t="shared" si="16"/>
        <v>551</v>
      </c>
      <c r="O556" s="91">
        <f t="shared" si="17"/>
        <v>4</v>
      </c>
      <c r="P556" s="20">
        <v>1</v>
      </c>
      <c r="Q556" s="20">
        <v>1</v>
      </c>
      <c r="R556" s="20">
        <v>850</v>
      </c>
      <c r="S556" s="132">
        <v>90</v>
      </c>
      <c r="T556" s="27">
        <v>850</v>
      </c>
      <c r="U556" s="20">
        <v>1.5</v>
      </c>
      <c r="V556" s="20">
        <v>1</v>
      </c>
      <c r="W556" s="20"/>
      <c r="X556" s="20"/>
      <c r="Y556" s="20"/>
      <c r="Z556" s="20" t="s">
        <v>476</v>
      </c>
      <c r="AA556" s="20"/>
      <c r="AB556" s="20" t="s">
        <v>477</v>
      </c>
      <c r="AC556" s="20">
        <v>500</v>
      </c>
      <c r="AD556" s="20">
        <v>19.600000000000001</v>
      </c>
      <c r="AE556" s="20"/>
      <c r="AF556" s="20"/>
      <c r="AG556" s="20"/>
      <c r="AH556" s="20"/>
      <c r="AI556" s="20"/>
      <c r="AJ556" s="20"/>
      <c r="AK556" s="20"/>
      <c r="AL556" s="20"/>
      <c r="AM556" s="20"/>
      <c r="AN556" s="20" t="s">
        <v>478</v>
      </c>
      <c r="AO556" s="20" t="s">
        <v>479</v>
      </c>
      <c r="AP556" s="20">
        <v>7</v>
      </c>
      <c r="AQ556" s="133" t="s">
        <v>374</v>
      </c>
      <c r="AR556" s="27">
        <v>45</v>
      </c>
    </row>
    <row r="557" spans="1:61" ht="16.5">
      <c r="A557" s="27">
        <v>46</v>
      </c>
      <c r="B557" s="20"/>
      <c r="C557" s="20">
        <v>68</v>
      </c>
      <c r="D557" s="20">
        <v>0</v>
      </c>
      <c r="E557" s="20">
        <v>4</v>
      </c>
      <c r="F557" s="20">
        <v>0</v>
      </c>
      <c r="G557" s="20">
        <v>0</v>
      </c>
      <c r="H557" s="20">
        <v>0</v>
      </c>
      <c r="I557" s="20">
        <v>20</v>
      </c>
      <c r="J557" s="20">
        <v>0</v>
      </c>
      <c r="K557" s="20">
        <v>0</v>
      </c>
      <c r="L557" s="20">
        <v>8</v>
      </c>
      <c r="M557" s="74" t="str">
        <f t="array" ref="M557">_xlfn.TEXTJOIN("-", TRUE, IF(C557:L557&gt;0, $C$2:$L$2, ""))</f>
        <v xml:space="preserve"> Ti-Zr-Nb-Sn</v>
      </c>
      <c r="N557" s="90">
        <f t="shared" si="16"/>
        <v>551</v>
      </c>
      <c r="O557" s="91">
        <f t="shared" si="17"/>
        <v>4</v>
      </c>
      <c r="P557" s="20">
        <v>1</v>
      </c>
      <c r="Q557" s="20">
        <v>1</v>
      </c>
      <c r="R557" s="20">
        <v>850</v>
      </c>
      <c r="S557" s="20">
        <v>90</v>
      </c>
      <c r="T557" s="20">
        <v>850</v>
      </c>
      <c r="U557" s="20">
        <v>1.5</v>
      </c>
      <c r="V557" s="20">
        <v>1</v>
      </c>
      <c r="W557" s="20"/>
      <c r="X557" s="20"/>
      <c r="Y557" s="20"/>
      <c r="Z557" s="20" t="s">
        <v>480</v>
      </c>
      <c r="AA557" s="20"/>
      <c r="AB557" s="20" t="s">
        <v>481</v>
      </c>
      <c r="AC557" s="20" t="s">
        <v>482</v>
      </c>
      <c r="AD557" s="20">
        <v>13.6</v>
      </c>
      <c r="AE557" s="20"/>
      <c r="AF557" s="20"/>
      <c r="AG557" s="20"/>
      <c r="AH557" s="20"/>
      <c r="AI557" s="20"/>
      <c r="AJ557" s="20"/>
      <c r="AK557" s="20"/>
      <c r="AL557" s="20"/>
      <c r="AM557" s="20"/>
      <c r="AN557" s="20" t="s">
        <v>483</v>
      </c>
      <c r="AO557" s="20" t="s">
        <v>484</v>
      </c>
      <c r="AP557" s="20">
        <v>7</v>
      </c>
      <c r="AQ557" s="133" t="s">
        <v>374</v>
      </c>
      <c r="AR557" s="27">
        <v>46</v>
      </c>
    </row>
    <row r="558" spans="1:61" ht="16.5">
      <c r="A558" s="27">
        <v>47</v>
      </c>
      <c r="B558" s="20"/>
      <c r="C558" s="20">
        <v>64</v>
      </c>
      <c r="D558" s="20">
        <v>0</v>
      </c>
      <c r="E558" s="20">
        <v>4</v>
      </c>
      <c r="F558" s="20">
        <v>0</v>
      </c>
      <c r="G558" s="20">
        <v>0</v>
      </c>
      <c r="H558" s="20">
        <v>0</v>
      </c>
      <c r="I558" s="20">
        <v>24</v>
      </c>
      <c r="J558" s="20">
        <v>0</v>
      </c>
      <c r="K558" s="20">
        <v>0</v>
      </c>
      <c r="L558" s="20">
        <v>8</v>
      </c>
      <c r="M558" s="74" t="str">
        <f t="array" ref="M558">_xlfn.TEXTJOIN("-", TRUE, IF(C558:L558&gt;0, $C$2:$L$2, ""))</f>
        <v xml:space="preserve"> Ti-Zr-Nb-Sn</v>
      </c>
      <c r="N558" s="90">
        <f t="shared" si="16"/>
        <v>551</v>
      </c>
      <c r="O558" s="91">
        <f t="shared" si="17"/>
        <v>4</v>
      </c>
      <c r="P558" s="20">
        <v>1</v>
      </c>
      <c r="Q558" s="20">
        <v>1</v>
      </c>
      <c r="R558" s="20">
        <v>850</v>
      </c>
      <c r="S558" s="20">
        <v>90</v>
      </c>
      <c r="T558" s="20">
        <v>850</v>
      </c>
      <c r="U558" s="20">
        <v>1.5</v>
      </c>
      <c r="V558" s="20">
        <v>1</v>
      </c>
      <c r="W558" s="20"/>
      <c r="X558" s="20"/>
      <c r="Y558" s="20"/>
      <c r="Z558" s="20" t="s">
        <v>485</v>
      </c>
      <c r="AA558" s="20"/>
      <c r="AB558" s="20" t="s">
        <v>486</v>
      </c>
      <c r="AC558" s="20" t="s">
        <v>487</v>
      </c>
      <c r="AD558" s="20" t="s">
        <v>488</v>
      </c>
      <c r="AE558" s="20"/>
      <c r="AF558" s="20"/>
      <c r="AG558" s="20"/>
      <c r="AH558" s="20"/>
      <c r="AI558" s="20"/>
      <c r="AJ558" s="20"/>
      <c r="AK558" s="20"/>
      <c r="AL558" s="20"/>
      <c r="AM558" s="20"/>
      <c r="AN558" s="20" t="s">
        <v>489</v>
      </c>
      <c r="AO558" s="20" t="s">
        <v>490</v>
      </c>
      <c r="AP558" s="20">
        <v>7</v>
      </c>
      <c r="AQ558" s="133" t="s">
        <v>374</v>
      </c>
      <c r="AR558" s="27">
        <v>47</v>
      </c>
    </row>
    <row r="559" spans="1:61" ht="16.5">
      <c r="A559" s="27">
        <v>48</v>
      </c>
      <c r="B559" s="20"/>
      <c r="C559" s="20">
        <v>60</v>
      </c>
      <c r="D559" s="20">
        <v>0</v>
      </c>
      <c r="E559" s="20">
        <v>4</v>
      </c>
      <c r="F559" s="20">
        <v>0</v>
      </c>
      <c r="G559" s="20">
        <v>0</v>
      </c>
      <c r="H559" s="20">
        <v>0</v>
      </c>
      <c r="I559" s="20">
        <v>28</v>
      </c>
      <c r="J559" s="20">
        <v>0</v>
      </c>
      <c r="K559" s="20">
        <v>0</v>
      </c>
      <c r="L559" s="20">
        <v>8</v>
      </c>
      <c r="M559" s="74" t="str">
        <f t="array" ref="M559">_xlfn.TEXTJOIN("-", TRUE, IF(C559:L559&gt;0, $C$2:$L$2, ""))</f>
        <v xml:space="preserve"> Ti-Zr-Nb-Sn</v>
      </c>
      <c r="N559" s="90">
        <f t="shared" si="16"/>
        <v>551</v>
      </c>
      <c r="O559" s="91">
        <f t="shared" si="17"/>
        <v>4</v>
      </c>
      <c r="P559" s="20">
        <v>1</v>
      </c>
      <c r="Q559" s="20">
        <v>1</v>
      </c>
      <c r="R559" s="20">
        <v>850</v>
      </c>
      <c r="S559" s="20">
        <v>90</v>
      </c>
      <c r="T559" s="20">
        <v>850</v>
      </c>
      <c r="U559" s="20">
        <v>1.5</v>
      </c>
      <c r="V559" s="20">
        <v>1</v>
      </c>
      <c r="W559" s="20"/>
      <c r="X559" s="20"/>
      <c r="Y559" s="20"/>
      <c r="Z559" s="20" t="s">
        <v>491</v>
      </c>
      <c r="AA559" s="20"/>
      <c r="AB559" s="20" t="s">
        <v>492</v>
      </c>
      <c r="AC559" s="20" t="s">
        <v>492</v>
      </c>
      <c r="AD559" s="20">
        <v>22.3</v>
      </c>
      <c r="AE559" s="20"/>
      <c r="AF559" s="20"/>
      <c r="AG559" s="20"/>
      <c r="AH559" s="20"/>
      <c r="AI559" s="20"/>
      <c r="AJ559" s="20"/>
      <c r="AK559" s="20"/>
      <c r="AL559" s="20"/>
      <c r="AM559" s="20"/>
      <c r="AN559" s="20" t="s">
        <v>493</v>
      </c>
      <c r="AO559" s="20" t="s">
        <v>494</v>
      </c>
      <c r="AP559" s="20">
        <v>7</v>
      </c>
      <c r="AQ559" s="133" t="s">
        <v>374</v>
      </c>
      <c r="AR559" s="27">
        <v>48</v>
      </c>
    </row>
    <row r="560" spans="1:61" ht="16.5">
      <c r="A560" s="27">
        <v>49</v>
      </c>
      <c r="B560" s="20"/>
      <c r="C560" s="20">
        <v>52</v>
      </c>
      <c r="D560" s="20">
        <v>0</v>
      </c>
      <c r="E560" s="20">
        <v>4</v>
      </c>
      <c r="F560" s="20">
        <v>0</v>
      </c>
      <c r="G560" s="20">
        <v>0</v>
      </c>
      <c r="H560" s="20">
        <v>0</v>
      </c>
      <c r="I560" s="20">
        <v>36</v>
      </c>
      <c r="J560" s="20">
        <v>0</v>
      </c>
      <c r="K560" s="20">
        <v>0</v>
      </c>
      <c r="L560" s="20">
        <v>8</v>
      </c>
      <c r="M560" s="74" t="str">
        <f t="array" ref="M560">_xlfn.TEXTJOIN("-", TRUE, IF(C560:L560&gt;0, $C$2:$L$2, ""))</f>
        <v xml:space="preserve"> Ti-Zr-Nb-Sn</v>
      </c>
      <c r="N560" s="90">
        <f t="shared" si="16"/>
        <v>551</v>
      </c>
      <c r="O560" s="91">
        <f t="shared" si="17"/>
        <v>4</v>
      </c>
      <c r="P560" s="20">
        <v>1</v>
      </c>
      <c r="Q560" s="20">
        <v>1</v>
      </c>
      <c r="R560" s="20">
        <v>850</v>
      </c>
      <c r="S560" s="20">
        <v>90</v>
      </c>
      <c r="T560" s="20">
        <v>850</v>
      </c>
      <c r="U560" s="20">
        <v>1.5</v>
      </c>
      <c r="V560" s="20">
        <v>1</v>
      </c>
      <c r="W560" s="20"/>
      <c r="X560" s="20"/>
      <c r="Y560" s="20"/>
      <c r="Z560" s="20" t="s">
        <v>495</v>
      </c>
      <c r="AA560" s="20"/>
      <c r="AB560" s="20" t="s">
        <v>496</v>
      </c>
      <c r="AC560" s="20" t="s">
        <v>496</v>
      </c>
      <c r="AD560" s="20">
        <v>21.3</v>
      </c>
      <c r="AE560" s="20"/>
      <c r="AF560" s="20"/>
      <c r="AG560" s="20"/>
      <c r="AH560" s="20"/>
      <c r="AI560" s="20"/>
      <c r="AJ560" s="20"/>
      <c r="AK560" s="20"/>
      <c r="AL560" s="20"/>
      <c r="AM560" s="20"/>
      <c r="AN560" s="20" t="s">
        <v>497</v>
      </c>
      <c r="AO560" s="20" t="s">
        <v>498</v>
      </c>
      <c r="AP560" s="20">
        <v>7</v>
      </c>
      <c r="AQ560" s="133" t="s">
        <v>374</v>
      </c>
      <c r="AR560" s="27">
        <v>49</v>
      </c>
    </row>
    <row r="561" spans="1:44" ht="16.5">
      <c r="A561" s="27">
        <v>65</v>
      </c>
      <c r="B561" s="20" t="s">
        <v>499</v>
      </c>
      <c r="C561" s="20">
        <v>55.5</v>
      </c>
      <c r="D561" s="20">
        <v>0</v>
      </c>
      <c r="E561" s="20">
        <v>6.8</v>
      </c>
      <c r="F561" s="20">
        <v>0</v>
      </c>
      <c r="G561" s="20">
        <v>0</v>
      </c>
      <c r="H561" s="20">
        <v>0</v>
      </c>
      <c r="I561" s="20">
        <v>35</v>
      </c>
      <c r="J561" s="20">
        <v>0</v>
      </c>
      <c r="K561" s="20">
        <v>0</v>
      </c>
      <c r="L561" s="20">
        <v>2.7</v>
      </c>
      <c r="M561" s="74" t="str">
        <f t="array" ref="M561">_xlfn.TEXTJOIN("-", TRUE, IF(C561:L561&gt;0, $C$2:$L$2, ""))</f>
        <v xml:space="preserve"> Ti-Zr-Nb-Sn</v>
      </c>
      <c r="N561" s="90">
        <f t="shared" si="16"/>
        <v>551</v>
      </c>
      <c r="O561" s="91">
        <f t="shared" si="17"/>
        <v>4</v>
      </c>
      <c r="P561" s="20">
        <v>1</v>
      </c>
      <c r="Q561" s="20">
        <v>1</v>
      </c>
      <c r="R561" s="20">
        <v>20</v>
      </c>
      <c r="S561" s="20">
        <v>0</v>
      </c>
      <c r="T561" s="20">
        <v>1000</v>
      </c>
      <c r="U561" s="20">
        <v>1</v>
      </c>
      <c r="V561" s="20">
        <v>1</v>
      </c>
      <c r="W561" s="20"/>
      <c r="X561" s="20"/>
      <c r="Y561" s="20"/>
      <c r="Z561" s="20"/>
      <c r="AA561" s="20">
        <v>20.100000000000001</v>
      </c>
      <c r="AB561" s="20">
        <v>54.2</v>
      </c>
      <c r="AC561" s="20"/>
      <c r="AD561" s="20">
        <v>1.04</v>
      </c>
      <c r="AE561" s="20"/>
      <c r="AF561" s="20"/>
      <c r="AG561" s="20"/>
      <c r="AH561" s="20"/>
      <c r="AI561" s="20"/>
      <c r="AJ561" s="20"/>
      <c r="AK561" s="20"/>
      <c r="AL561" s="20"/>
      <c r="AM561" s="20"/>
      <c r="AN561" s="20" t="s">
        <v>500</v>
      </c>
      <c r="AO561" s="20" t="s">
        <v>501</v>
      </c>
      <c r="AP561" s="20">
        <v>13</v>
      </c>
      <c r="AQ561" s="133" t="s">
        <v>374</v>
      </c>
      <c r="AR561" s="27">
        <v>65</v>
      </c>
    </row>
    <row r="562" spans="1:44" ht="16.5">
      <c r="A562" s="27">
        <v>66</v>
      </c>
      <c r="B562" s="20" t="s">
        <v>499</v>
      </c>
      <c r="C562" s="20">
        <v>55.5</v>
      </c>
      <c r="D562" s="20">
        <v>0</v>
      </c>
      <c r="E562" s="20">
        <v>6.8</v>
      </c>
      <c r="F562" s="20">
        <v>0</v>
      </c>
      <c r="G562" s="20">
        <v>0</v>
      </c>
      <c r="H562" s="20">
        <v>0</v>
      </c>
      <c r="I562" s="20">
        <v>35</v>
      </c>
      <c r="J562" s="20">
        <v>0</v>
      </c>
      <c r="K562" s="20">
        <v>0</v>
      </c>
      <c r="L562" s="20">
        <v>2.7</v>
      </c>
      <c r="M562" s="74" t="str">
        <f t="array" ref="M562">_xlfn.TEXTJOIN("-", TRUE, IF(C562:L562&gt;0, $C$2:$L$2, ""))</f>
        <v xml:space="preserve"> Ti-Zr-Nb-Sn</v>
      </c>
      <c r="N562" s="90">
        <f t="shared" si="16"/>
        <v>551</v>
      </c>
      <c r="O562" s="91">
        <f t="shared" si="17"/>
        <v>4</v>
      </c>
      <c r="P562" s="20">
        <v>1</v>
      </c>
      <c r="Q562" s="20">
        <v>1</v>
      </c>
      <c r="R562" s="20">
        <v>20</v>
      </c>
      <c r="S562" s="20">
        <v>50</v>
      </c>
      <c r="T562" s="20">
        <v>1000</v>
      </c>
      <c r="U562" s="20">
        <v>1</v>
      </c>
      <c r="V562" s="20">
        <v>1</v>
      </c>
      <c r="W562" s="20"/>
      <c r="X562" s="20"/>
      <c r="Y562" s="20"/>
      <c r="Z562" s="20"/>
      <c r="AA562" s="20">
        <v>51.3</v>
      </c>
      <c r="AB562" s="20">
        <v>719</v>
      </c>
      <c r="AC562" s="20"/>
      <c r="AD562" s="20">
        <v>16.8</v>
      </c>
      <c r="AE562" s="20"/>
      <c r="AF562" s="20"/>
      <c r="AG562" s="20"/>
      <c r="AH562" s="20"/>
      <c r="AI562" s="20"/>
      <c r="AJ562" s="20"/>
      <c r="AK562" s="20"/>
      <c r="AL562" s="20"/>
      <c r="AM562" s="20"/>
      <c r="AN562" s="20" t="s">
        <v>502</v>
      </c>
      <c r="AO562" s="20" t="s">
        <v>503</v>
      </c>
      <c r="AP562" s="20">
        <v>13</v>
      </c>
      <c r="AQ562" s="133" t="s">
        <v>374</v>
      </c>
      <c r="AR562" s="27">
        <v>66</v>
      </c>
    </row>
    <row r="563" spans="1:44" ht="16.5">
      <c r="A563" s="27">
        <v>67</v>
      </c>
      <c r="B563" s="20" t="s">
        <v>499</v>
      </c>
      <c r="C563" s="20">
        <v>55.5</v>
      </c>
      <c r="D563" s="20">
        <v>0</v>
      </c>
      <c r="E563" s="20">
        <v>6.8</v>
      </c>
      <c r="F563" s="20">
        <v>0</v>
      </c>
      <c r="G563" s="20">
        <v>0</v>
      </c>
      <c r="H563" s="20">
        <v>0</v>
      </c>
      <c r="I563" s="20">
        <v>35</v>
      </c>
      <c r="J563" s="20">
        <v>0</v>
      </c>
      <c r="K563" s="20">
        <v>0</v>
      </c>
      <c r="L563" s="20">
        <v>2.7</v>
      </c>
      <c r="M563" s="74" t="str">
        <f t="array" ref="M563">_xlfn.TEXTJOIN("-", TRUE, IF(C563:L563&gt;0, $C$2:$L$2, ""))</f>
        <v xml:space="preserve"> Ti-Zr-Nb-Sn</v>
      </c>
      <c r="N563" s="90">
        <f t="shared" si="16"/>
        <v>551</v>
      </c>
      <c r="O563" s="91">
        <f t="shared" si="17"/>
        <v>4</v>
      </c>
      <c r="P563" s="20">
        <v>1</v>
      </c>
      <c r="Q563" s="20">
        <v>1</v>
      </c>
      <c r="R563" s="20">
        <v>20</v>
      </c>
      <c r="S563" s="20">
        <v>90</v>
      </c>
      <c r="T563" s="20">
        <v>1000</v>
      </c>
      <c r="U563" s="20">
        <v>1</v>
      </c>
      <c r="V563" s="20">
        <v>1</v>
      </c>
      <c r="W563" s="20"/>
      <c r="X563" s="20"/>
      <c r="Y563" s="20"/>
      <c r="Z563" s="20"/>
      <c r="AA563" s="20">
        <v>47.1</v>
      </c>
      <c r="AB563" s="20">
        <v>883</v>
      </c>
      <c r="AC563" s="20"/>
      <c r="AD563" s="20">
        <v>14.9</v>
      </c>
      <c r="AE563" s="20"/>
      <c r="AF563" s="20"/>
      <c r="AG563" s="20"/>
      <c r="AH563" s="20"/>
      <c r="AI563" s="20"/>
      <c r="AJ563" s="20"/>
      <c r="AK563" s="20"/>
      <c r="AL563" s="20"/>
      <c r="AM563" s="20"/>
      <c r="AN563" s="20" t="s">
        <v>504</v>
      </c>
      <c r="AO563" s="20" t="s">
        <v>505</v>
      </c>
      <c r="AP563" s="20">
        <v>13</v>
      </c>
      <c r="AQ563" s="133" t="s">
        <v>374</v>
      </c>
      <c r="AR563" s="27">
        <v>67</v>
      </c>
    </row>
    <row r="564" spans="1:44" ht="16.5">
      <c r="A564" s="105">
        <v>250</v>
      </c>
      <c r="B564" s="111" t="s">
        <v>101</v>
      </c>
      <c r="C564" s="111">
        <v>63.96</v>
      </c>
      <c r="D564" s="111">
        <v>0</v>
      </c>
      <c r="E564" s="111">
        <v>3.76</v>
      </c>
      <c r="F564" s="111">
        <v>0</v>
      </c>
      <c r="G564" s="111">
        <v>0</v>
      </c>
      <c r="H564" s="111">
        <v>0</v>
      </c>
      <c r="I564" s="111">
        <v>24.2</v>
      </c>
      <c r="J564" s="111">
        <v>0</v>
      </c>
      <c r="K564" s="111">
        <v>0</v>
      </c>
      <c r="L564" s="111">
        <v>8.08</v>
      </c>
      <c r="M564" s="74" t="str">
        <f t="array" ref="M564">_xlfn.TEXTJOIN("-", TRUE, IF(C564:L564&gt;0, $C$2:$L$2, ""))</f>
        <v xml:space="preserve"> Ti-Zr-Nb-Sn</v>
      </c>
      <c r="N564" s="90">
        <f t="shared" si="16"/>
        <v>551</v>
      </c>
      <c r="O564" s="91">
        <f t="shared" si="17"/>
        <v>4</v>
      </c>
      <c r="P564" s="111">
        <v>1</v>
      </c>
      <c r="Q564" s="111">
        <v>0</v>
      </c>
      <c r="R564" s="111">
        <v>0</v>
      </c>
      <c r="S564" s="111">
        <v>0</v>
      </c>
      <c r="T564" s="109">
        <v>0</v>
      </c>
      <c r="U564" s="109">
        <v>0</v>
      </c>
      <c r="V564" s="112">
        <v>0</v>
      </c>
      <c r="W564" s="109">
        <v>450</v>
      </c>
      <c r="X564" s="109">
        <v>0.5</v>
      </c>
      <c r="Y564" s="113">
        <v>2</v>
      </c>
      <c r="Z564" s="18" t="s">
        <v>102</v>
      </c>
      <c r="AA564" s="18" t="s">
        <v>102</v>
      </c>
      <c r="AB564" s="111">
        <v>1091</v>
      </c>
      <c r="AC564" s="111">
        <v>1033</v>
      </c>
      <c r="AD564" s="111">
        <v>12.4</v>
      </c>
      <c r="AE564" s="18" t="s">
        <v>101</v>
      </c>
      <c r="AF564" s="18" t="s">
        <v>102</v>
      </c>
      <c r="AG564" s="18" t="s">
        <v>102</v>
      </c>
      <c r="AH564" s="18" t="s">
        <v>102</v>
      </c>
      <c r="AI564" s="18" t="s">
        <v>102</v>
      </c>
      <c r="AJ564" s="18" t="s">
        <v>102</v>
      </c>
      <c r="AK564" s="18" t="s">
        <v>102</v>
      </c>
      <c r="AL564" s="18" t="s">
        <v>102</v>
      </c>
      <c r="AM564" s="19"/>
      <c r="AN564" s="20" t="s">
        <v>101</v>
      </c>
      <c r="AO564" s="20" t="s">
        <v>103</v>
      </c>
      <c r="AP564" s="109">
        <v>250</v>
      </c>
      <c r="AQ564" s="110" t="s">
        <v>100</v>
      </c>
      <c r="AR564" s="105">
        <v>250</v>
      </c>
    </row>
    <row r="565" spans="1:44" ht="16.5">
      <c r="A565" s="105">
        <v>251</v>
      </c>
      <c r="B565" s="111" t="s">
        <v>101</v>
      </c>
      <c r="C565" s="111">
        <v>63.96</v>
      </c>
      <c r="D565" s="111">
        <v>0</v>
      </c>
      <c r="E565" s="111">
        <v>3.76</v>
      </c>
      <c r="F565" s="111">
        <v>0</v>
      </c>
      <c r="G565" s="111">
        <v>0</v>
      </c>
      <c r="H565" s="111">
        <v>0</v>
      </c>
      <c r="I565" s="111">
        <v>24.2</v>
      </c>
      <c r="J565" s="111">
        <v>0</v>
      </c>
      <c r="K565" s="111">
        <v>0</v>
      </c>
      <c r="L565" s="111">
        <v>8.08</v>
      </c>
      <c r="M565" s="74" t="str">
        <f t="array" ref="M565">_xlfn.TEXTJOIN("-", TRUE, IF(C565:L565&gt;0, $C$2:$L$2, ""))</f>
        <v xml:space="preserve"> Ti-Zr-Nb-Sn</v>
      </c>
      <c r="N565" s="90">
        <f t="shared" si="16"/>
        <v>551</v>
      </c>
      <c r="O565" s="91">
        <f t="shared" si="17"/>
        <v>4</v>
      </c>
      <c r="P565" s="111">
        <v>1</v>
      </c>
      <c r="Q565" s="111">
        <v>0</v>
      </c>
      <c r="R565" s="111">
        <v>0</v>
      </c>
      <c r="S565" s="111">
        <v>0</v>
      </c>
      <c r="T565" s="109">
        <v>0</v>
      </c>
      <c r="U565" s="109">
        <v>0</v>
      </c>
      <c r="V565" s="112">
        <v>0</v>
      </c>
      <c r="W565" s="109">
        <v>450</v>
      </c>
      <c r="X565" s="109">
        <v>1</v>
      </c>
      <c r="Y565" s="113">
        <v>2</v>
      </c>
      <c r="Z565" s="18" t="s">
        <v>102</v>
      </c>
      <c r="AA565" s="18" t="s">
        <v>102</v>
      </c>
      <c r="AB565" s="111">
        <v>1175</v>
      </c>
      <c r="AC565" s="111">
        <v>1120</v>
      </c>
      <c r="AD565" s="111">
        <v>12.2</v>
      </c>
      <c r="AE565" s="18" t="s">
        <v>101</v>
      </c>
      <c r="AF565" s="18" t="s">
        <v>102</v>
      </c>
      <c r="AG565" s="18" t="s">
        <v>102</v>
      </c>
      <c r="AH565" s="18" t="s">
        <v>102</v>
      </c>
      <c r="AI565" s="18" t="s">
        <v>102</v>
      </c>
      <c r="AJ565" s="18" t="s">
        <v>102</v>
      </c>
      <c r="AK565" s="18" t="s">
        <v>102</v>
      </c>
      <c r="AL565" s="18" t="s">
        <v>102</v>
      </c>
      <c r="AM565" s="19"/>
      <c r="AN565" s="20" t="s">
        <v>101</v>
      </c>
      <c r="AO565" s="20" t="s">
        <v>103</v>
      </c>
      <c r="AP565" s="109">
        <v>251</v>
      </c>
      <c r="AQ565" s="110" t="s">
        <v>100</v>
      </c>
      <c r="AR565" s="105">
        <v>251</v>
      </c>
    </row>
    <row r="566" spans="1:44" ht="16.5">
      <c r="A566" s="105">
        <v>252</v>
      </c>
      <c r="B566" s="111" t="s">
        <v>101</v>
      </c>
      <c r="C566" s="111">
        <v>63.96</v>
      </c>
      <c r="D566" s="111">
        <v>0</v>
      </c>
      <c r="E566" s="111">
        <v>3.76</v>
      </c>
      <c r="F566" s="111">
        <v>0</v>
      </c>
      <c r="G566" s="111">
        <v>0</v>
      </c>
      <c r="H566" s="111">
        <v>0</v>
      </c>
      <c r="I566" s="111">
        <v>24.2</v>
      </c>
      <c r="J566" s="111">
        <v>0</v>
      </c>
      <c r="K566" s="111">
        <v>0</v>
      </c>
      <c r="L566" s="111">
        <v>8.08</v>
      </c>
      <c r="M566" s="74" t="str">
        <f t="array" ref="M566">_xlfn.TEXTJOIN("-", TRUE, IF(C566:L566&gt;0, $C$2:$L$2, ""))</f>
        <v xml:space="preserve"> Ti-Zr-Nb-Sn</v>
      </c>
      <c r="N566" s="90">
        <f t="shared" si="16"/>
        <v>551</v>
      </c>
      <c r="O566" s="91">
        <f t="shared" si="17"/>
        <v>4</v>
      </c>
      <c r="P566" s="111">
        <v>1</v>
      </c>
      <c r="Q566" s="111">
        <v>0</v>
      </c>
      <c r="R566" s="111">
        <v>0</v>
      </c>
      <c r="S566" s="111">
        <v>0</v>
      </c>
      <c r="T566" s="109">
        <v>0</v>
      </c>
      <c r="U566" s="109">
        <v>0</v>
      </c>
      <c r="V566" s="112">
        <v>0</v>
      </c>
      <c r="W566" s="109">
        <v>450</v>
      </c>
      <c r="X566" s="109">
        <v>2</v>
      </c>
      <c r="Y566" s="113">
        <v>2</v>
      </c>
      <c r="Z566" s="18" t="s">
        <v>102</v>
      </c>
      <c r="AA566" s="18" t="s">
        <v>102</v>
      </c>
      <c r="AB566" s="111">
        <v>1213</v>
      </c>
      <c r="AC566" s="111">
        <v>1180</v>
      </c>
      <c r="AD566" s="111">
        <v>12.4</v>
      </c>
      <c r="AE566" s="18" t="s">
        <v>101</v>
      </c>
      <c r="AF566" s="18" t="s">
        <v>102</v>
      </c>
      <c r="AG566" s="18" t="s">
        <v>102</v>
      </c>
      <c r="AH566" s="18" t="s">
        <v>102</v>
      </c>
      <c r="AI566" s="18" t="s">
        <v>102</v>
      </c>
      <c r="AJ566" s="18" t="s">
        <v>102</v>
      </c>
      <c r="AK566" s="18" t="s">
        <v>102</v>
      </c>
      <c r="AL566" s="18" t="s">
        <v>102</v>
      </c>
      <c r="AM566" s="19"/>
      <c r="AN566" s="20" t="s">
        <v>101</v>
      </c>
      <c r="AO566" s="20" t="s">
        <v>103</v>
      </c>
      <c r="AP566" s="109">
        <v>252</v>
      </c>
      <c r="AQ566" s="110" t="s">
        <v>100</v>
      </c>
      <c r="AR566" s="105">
        <v>252</v>
      </c>
    </row>
    <row r="567" spans="1:44" ht="16.5">
      <c r="A567" s="105">
        <v>253</v>
      </c>
      <c r="B567" s="111" t="s">
        <v>101</v>
      </c>
      <c r="C567" s="111">
        <v>63.96</v>
      </c>
      <c r="D567" s="111">
        <v>0</v>
      </c>
      <c r="E567" s="111">
        <v>3.76</v>
      </c>
      <c r="F567" s="111">
        <v>0</v>
      </c>
      <c r="G567" s="111">
        <v>0</v>
      </c>
      <c r="H567" s="111">
        <v>0</v>
      </c>
      <c r="I567" s="111">
        <v>24.2</v>
      </c>
      <c r="J567" s="111">
        <v>0</v>
      </c>
      <c r="K567" s="111">
        <v>0</v>
      </c>
      <c r="L567" s="111">
        <v>8.08</v>
      </c>
      <c r="M567" s="74" t="str">
        <f t="array" ref="M567">_xlfn.TEXTJOIN("-", TRUE, IF(C567:L567&gt;0, $C$2:$L$2, ""))</f>
        <v xml:space="preserve"> Ti-Zr-Nb-Sn</v>
      </c>
      <c r="N567" s="90">
        <f t="shared" si="16"/>
        <v>551</v>
      </c>
      <c r="O567" s="91">
        <f t="shared" si="17"/>
        <v>4</v>
      </c>
      <c r="P567" s="111">
        <v>1</v>
      </c>
      <c r="Q567" s="111">
        <v>0</v>
      </c>
      <c r="R567" s="111">
        <v>0</v>
      </c>
      <c r="S567" s="111">
        <v>0</v>
      </c>
      <c r="T567" s="109">
        <v>0</v>
      </c>
      <c r="U567" s="109">
        <v>0</v>
      </c>
      <c r="V567" s="112">
        <v>0</v>
      </c>
      <c r="W567" s="109">
        <v>450</v>
      </c>
      <c r="X567" s="109">
        <v>4</v>
      </c>
      <c r="Y567" s="113">
        <v>2</v>
      </c>
      <c r="Z567" s="18" t="s">
        <v>102</v>
      </c>
      <c r="AA567" s="18" t="s">
        <v>102</v>
      </c>
      <c r="AB567" s="111">
        <v>1243</v>
      </c>
      <c r="AC567" s="111">
        <v>1192</v>
      </c>
      <c r="AD567" s="111">
        <v>12.8</v>
      </c>
      <c r="AE567" s="18" t="s">
        <v>101</v>
      </c>
      <c r="AF567" s="18" t="s">
        <v>102</v>
      </c>
      <c r="AG567" s="18" t="s">
        <v>102</v>
      </c>
      <c r="AH567" s="18" t="s">
        <v>102</v>
      </c>
      <c r="AI567" s="18" t="s">
        <v>102</v>
      </c>
      <c r="AJ567" s="18" t="s">
        <v>102</v>
      </c>
      <c r="AK567" s="18" t="s">
        <v>102</v>
      </c>
      <c r="AL567" s="18" t="s">
        <v>102</v>
      </c>
      <c r="AM567" s="19"/>
      <c r="AN567" s="20" t="s">
        <v>101</v>
      </c>
      <c r="AO567" s="20" t="s">
        <v>103</v>
      </c>
      <c r="AP567" s="109">
        <v>253</v>
      </c>
      <c r="AQ567" s="110" t="s">
        <v>100</v>
      </c>
      <c r="AR567" s="105">
        <v>253</v>
      </c>
    </row>
    <row r="568" spans="1:44" ht="16.5">
      <c r="A568" s="105">
        <v>254</v>
      </c>
      <c r="B568" s="111" t="s">
        <v>101</v>
      </c>
      <c r="C568" s="111">
        <v>63.96</v>
      </c>
      <c r="D568" s="111">
        <v>0</v>
      </c>
      <c r="E568" s="111">
        <v>3.76</v>
      </c>
      <c r="F568" s="111">
        <v>0</v>
      </c>
      <c r="G568" s="111">
        <v>0</v>
      </c>
      <c r="H568" s="111">
        <v>0</v>
      </c>
      <c r="I568" s="111">
        <v>24.2</v>
      </c>
      <c r="J568" s="111">
        <v>0</v>
      </c>
      <c r="K568" s="111">
        <v>0</v>
      </c>
      <c r="L568" s="111">
        <v>8.08</v>
      </c>
      <c r="M568" s="74" t="str">
        <f t="array" ref="M568">_xlfn.TEXTJOIN("-", TRUE, IF(C568:L568&gt;0, $C$2:$L$2, ""))</f>
        <v xml:space="preserve"> Ti-Zr-Nb-Sn</v>
      </c>
      <c r="N568" s="90">
        <f t="shared" si="16"/>
        <v>551</v>
      </c>
      <c r="O568" s="91">
        <f t="shared" si="17"/>
        <v>4</v>
      </c>
      <c r="P568" s="111">
        <v>1</v>
      </c>
      <c r="Q568" s="111">
        <v>0</v>
      </c>
      <c r="R568" s="111">
        <v>0</v>
      </c>
      <c r="S568" s="111">
        <v>0</v>
      </c>
      <c r="T568" s="109">
        <v>0</v>
      </c>
      <c r="U568" s="109">
        <v>0</v>
      </c>
      <c r="V568" s="112">
        <v>0</v>
      </c>
      <c r="W568" s="109">
        <v>475</v>
      </c>
      <c r="X568" s="109">
        <v>0.5</v>
      </c>
      <c r="Y568" s="113">
        <v>2</v>
      </c>
      <c r="Z568" s="18" t="s">
        <v>102</v>
      </c>
      <c r="AA568" s="18" t="s">
        <v>102</v>
      </c>
      <c r="AB568" s="111">
        <v>1123</v>
      </c>
      <c r="AC568" s="111">
        <v>1028</v>
      </c>
      <c r="AD568" s="111">
        <v>16.100000000000001</v>
      </c>
      <c r="AE568" s="18" t="s">
        <v>101</v>
      </c>
      <c r="AF568" s="18" t="s">
        <v>102</v>
      </c>
      <c r="AG568" s="18" t="s">
        <v>102</v>
      </c>
      <c r="AH568" s="18" t="s">
        <v>102</v>
      </c>
      <c r="AI568" s="18" t="s">
        <v>102</v>
      </c>
      <c r="AJ568" s="18" t="s">
        <v>102</v>
      </c>
      <c r="AK568" s="18" t="s">
        <v>102</v>
      </c>
      <c r="AL568" s="18" t="s">
        <v>102</v>
      </c>
      <c r="AM568" s="19"/>
      <c r="AN568" s="20" t="s">
        <v>101</v>
      </c>
      <c r="AO568" s="20" t="s">
        <v>103</v>
      </c>
      <c r="AP568" s="109">
        <v>254</v>
      </c>
      <c r="AQ568" s="110" t="s">
        <v>100</v>
      </c>
      <c r="AR568" s="105">
        <v>254</v>
      </c>
    </row>
    <row r="569" spans="1:44" ht="16.5">
      <c r="A569" s="105">
        <v>255</v>
      </c>
      <c r="B569" s="111" t="s">
        <v>101</v>
      </c>
      <c r="C569" s="111">
        <v>63.96</v>
      </c>
      <c r="D569" s="111">
        <v>0</v>
      </c>
      <c r="E569" s="111">
        <v>3.76</v>
      </c>
      <c r="F569" s="111">
        <v>0</v>
      </c>
      <c r="G569" s="111">
        <v>0</v>
      </c>
      <c r="H569" s="111">
        <v>0</v>
      </c>
      <c r="I569" s="111">
        <v>24.2</v>
      </c>
      <c r="J569" s="111">
        <v>0</v>
      </c>
      <c r="K569" s="111">
        <v>0</v>
      </c>
      <c r="L569" s="111">
        <v>8.08</v>
      </c>
      <c r="M569" s="74" t="str">
        <f t="array" ref="M569">_xlfn.TEXTJOIN("-", TRUE, IF(C569:L569&gt;0, $C$2:$L$2, ""))</f>
        <v xml:space="preserve"> Ti-Zr-Nb-Sn</v>
      </c>
      <c r="N569" s="90">
        <f t="shared" si="16"/>
        <v>551</v>
      </c>
      <c r="O569" s="91">
        <f t="shared" si="17"/>
        <v>4</v>
      </c>
      <c r="P569" s="111">
        <v>1</v>
      </c>
      <c r="Q569" s="111">
        <v>0</v>
      </c>
      <c r="R569" s="111">
        <v>0</v>
      </c>
      <c r="S569" s="111">
        <v>0</v>
      </c>
      <c r="T569" s="109">
        <v>0</v>
      </c>
      <c r="U569" s="109">
        <v>0</v>
      </c>
      <c r="V569" s="112">
        <v>0</v>
      </c>
      <c r="W569" s="109">
        <v>475</v>
      </c>
      <c r="X569" s="109">
        <v>1</v>
      </c>
      <c r="Y569" s="113">
        <v>2</v>
      </c>
      <c r="Z569" s="18" t="s">
        <v>102</v>
      </c>
      <c r="AA569" s="18" t="s">
        <v>102</v>
      </c>
      <c r="AB569" s="111">
        <v>1144</v>
      </c>
      <c r="AC569" s="111">
        <v>1108</v>
      </c>
      <c r="AD569" s="111">
        <v>12.3</v>
      </c>
      <c r="AE569" s="18" t="s">
        <v>101</v>
      </c>
      <c r="AF569" s="18" t="s">
        <v>102</v>
      </c>
      <c r="AG569" s="18" t="s">
        <v>102</v>
      </c>
      <c r="AH569" s="18" t="s">
        <v>102</v>
      </c>
      <c r="AI569" s="18" t="s">
        <v>102</v>
      </c>
      <c r="AJ569" s="18" t="s">
        <v>102</v>
      </c>
      <c r="AK569" s="18" t="s">
        <v>102</v>
      </c>
      <c r="AL569" s="18" t="s">
        <v>102</v>
      </c>
      <c r="AM569" s="19"/>
      <c r="AN569" s="20" t="s">
        <v>101</v>
      </c>
      <c r="AO569" s="20" t="s">
        <v>103</v>
      </c>
      <c r="AP569" s="109">
        <v>255</v>
      </c>
      <c r="AQ569" s="110" t="s">
        <v>100</v>
      </c>
      <c r="AR569" s="105">
        <v>255</v>
      </c>
    </row>
    <row r="570" spans="1:44" ht="16.5">
      <c r="A570" s="105">
        <v>256</v>
      </c>
      <c r="B570" s="111" t="s">
        <v>101</v>
      </c>
      <c r="C570" s="111">
        <v>63.96</v>
      </c>
      <c r="D570" s="111">
        <v>0</v>
      </c>
      <c r="E570" s="111">
        <v>3.76</v>
      </c>
      <c r="F570" s="111">
        <v>0</v>
      </c>
      <c r="G570" s="111">
        <v>0</v>
      </c>
      <c r="H570" s="111">
        <v>0</v>
      </c>
      <c r="I570" s="111">
        <v>24.2</v>
      </c>
      <c r="J570" s="111">
        <v>0</v>
      </c>
      <c r="K570" s="111">
        <v>0</v>
      </c>
      <c r="L570" s="111">
        <v>8.08</v>
      </c>
      <c r="M570" s="74" t="str">
        <f t="array" ref="M570">_xlfn.TEXTJOIN("-", TRUE, IF(C570:L570&gt;0, $C$2:$L$2, ""))</f>
        <v xml:space="preserve"> Ti-Zr-Nb-Sn</v>
      </c>
      <c r="N570" s="90">
        <f t="shared" si="16"/>
        <v>551</v>
      </c>
      <c r="O570" s="91">
        <f t="shared" si="17"/>
        <v>4</v>
      </c>
      <c r="P570" s="111">
        <v>1</v>
      </c>
      <c r="Q570" s="111">
        <v>0</v>
      </c>
      <c r="R570" s="111">
        <v>0</v>
      </c>
      <c r="S570" s="111">
        <v>0</v>
      </c>
      <c r="T570" s="109">
        <v>0</v>
      </c>
      <c r="U570" s="109">
        <v>0</v>
      </c>
      <c r="V570" s="112">
        <v>0</v>
      </c>
      <c r="W570" s="109">
        <v>475</v>
      </c>
      <c r="X570" s="109">
        <v>2</v>
      </c>
      <c r="Y570" s="113">
        <v>2</v>
      </c>
      <c r="Z570" s="18" t="s">
        <v>102</v>
      </c>
      <c r="AA570" s="18" t="s">
        <v>102</v>
      </c>
      <c r="AB570" s="111">
        <v>1212</v>
      </c>
      <c r="AC570" s="111">
        <v>1174</v>
      </c>
      <c r="AD570" s="111">
        <v>10.5</v>
      </c>
      <c r="AE570" s="18" t="s">
        <v>101</v>
      </c>
      <c r="AF570" s="18" t="s">
        <v>102</v>
      </c>
      <c r="AG570" s="18" t="s">
        <v>102</v>
      </c>
      <c r="AH570" s="18" t="s">
        <v>102</v>
      </c>
      <c r="AI570" s="18" t="s">
        <v>102</v>
      </c>
      <c r="AJ570" s="18" t="s">
        <v>102</v>
      </c>
      <c r="AK570" s="18" t="s">
        <v>102</v>
      </c>
      <c r="AL570" s="18" t="s">
        <v>102</v>
      </c>
      <c r="AM570" s="19"/>
      <c r="AN570" s="20" t="s">
        <v>101</v>
      </c>
      <c r="AO570" s="20" t="s">
        <v>103</v>
      </c>
      <c r="AP570" s="109">
        <v>256</v>
      </c>
      <c r="AQ570" s="110" t="s">
        <v>100</v>
      </c>
      <c r="AR570" s="105">
        <v>256</v>
      </c>
    </row>
    <row r="571" spans="1:44" ht="16.5">
      <c r="A571" s="105">
        <v>257</v>
      </c>
      <c r="B571" s="111" t="s">
        <v>101</v>
      </c>
      <c r="C571" s="111">
        <v>63.96</v>
      </c>
      <c r="D571" s="111">
        <v>0</v>
      </c>
      <c r="E571" s="111">
        <v>3.76</v>
      </c>
      <c r="F571" s="111">
        <v>0</v>
      </c>
      <c r="G571" s="111">
        <v>0</v>
      </c>
      <c r="H571" s="111">
        <v>0</v>
      </c>
      <c r="I571" s="111">
        <v>24.2</v>
      </c>
      <c r="J571" s="111">
        <v>0</v>
      </c>
      <c r="K571" s="111">
        <v>0</v>
      </c>
      <c r="L571" s="111">
        <v>8.08</v>
      </c>
      <c r="M571" s="74" t="str">
        <f t="array" ref="M571">_xlfn.TEXTJOIN("-", TRUE, IF(C571:L571&gt;0, $C$2:$L$2, ""))</f>
        <v xml:space="preserve"> Ti-Zr-Nb-Sn</v>
      </c>
      <c r="N571" s="90">
        <f t="shared" si="16"/>
        <v>551</v>
      </c>
      <c r="O571" s="91">
        <f t="shared" si="17"/>
        <v>4</v>
      </c>
      <c r="P571" s="111">
        <v>1</v>
      </c>
      <c r="Q571" s="111">
        <v>0</v>
      </c>
      <c r="R571" s="111">
        <v>0</v>
      </c>
      <c r="S571" s="111">
        <v>0</v>
      </c>
      <c r="T571" s="109">
        <v>0</v>
      </c>
      <c r="U571" s="109">
        <v>0</v>
      </c>
      <c r="V571" s="112">
        <v>0</v>
      </c>
      <c r="W571" s="109">
        <v>475</v>
      </c>
      <c r="X571" s="109">
        <v>4</v>
      </c>
      <c r="Y571" s="113">
        <v>2</v>
      </c>
      <c r="Z571" s="18" t="s">
        <v>102</v>
      </c>
      <c r="AA571" s="18" t="s">
        <v>102</v>
      </c>
      <c r="AB571" s="111">
        <v>1169</v>
      </c>
      <c r="AC571" s="111">
        <v>1109</v>
      </c>
      <c r="AD571" s="111">
        <v>14.1</v>
      </c>
      <c r="AE571" s="18" t="s">
        <v>101</v>
      </c>
      <c r="AF571" s="18" t="s">
        <v>102</v>
      </c>
      <c r="AG571" s="18" t="s">
        <v>102</v>
      </c>
      <c r="AH571" s="18" t="s">
        <v>102</v>
      </c>
      <c r="AI571" s="18" t="s">
        <v>102</v>
      </c>
      <c r="AJ571" s="18" t="s">
        <v>102</v>
      </c>
      <c r="AK571" s="18" t="s">
        <v>102</v>
      </c>
      <c r="AL571" s="18" t="s">
        <v>102</v>
      </c>
      <c r="AM571" s="19"/>
      <c r="AN571" s="20" t="s">
        <v>101</v>
      </c>
      <c r="AO571" s="20" t="s">
        <v>103</v>
      </c>
      <c r="AP571" s="109">
        <v>257</v>
      </c>
      <c r="AQ571" s="110" t="s">
        <v>100</v>
      </c>
      <c r="AR571" s="105">
        <v>257</v>
      </c>
    </row>
    <row r="572" spans="1:44" ht="16.5">
      <c r="A572" s="105">
        <v>258</v>
      </c>
      <c r="B572" s="111" t="s">
        <v>101</v>
      </c>
      <c r="C572" s="111">
        <v>63.96</v>
      </c>
      <c r="D572" s="111">
        <v>0</v>
      </c>
      <c r="E572" s="111">
        <v>3.76</v>
      </c>
      <c r="F572" s="111">
        <v>0</v>
      </c>
      <c r="G572" s="111">
        <v>0</v>
      </c>
      <c r="H572" s="111">
        <v>0</v>
      </c>
      <c r="I572" s="111">
        <v>24.2</v>
      </c>
      <c r="J572" s="111">
        <v>0</v>
      </c>
      <c r="K572" s="111">
        <v>0</v>
      </c>
      <c r="L572" s="111">
        <v>8.08</v>
      </c>
      <c r="M572" s="74" t="str">
        <f t="array" ref="M572">_xlfn.TEXTJOIN("-", TRUE, IF(C572:L572&gt;0, $C$2:$L$2, ""))</f>
        <v xml:space="preserve"> Ti-Zr-Nb-Sn</v>
      </c>
      <c r="N572" s="90">
        <f t="shared" si="16"/>
        <v>551</v>
      </c>
      <c r="O572" s="91">
        <f t="shared" si="17"/>
        <v>4</v>
      </c>
      <c r="P572" s="111">
        <v>1</v>
      </c>
      <c r="Q572" s="111">
        <v>0</v>
      </c>
      <c r="R572" s="111">
        <v>0</v>
      </c>
      <c r="S572" s="111">
        <v>0</v>
      </c>
      <c r="T572" s="109">
        <v>0</v>
      </c>
      <c r="U572" s="109">
        <v>0</v>
      </c>
      <c r="V572" s="112">
        <v>0</v>
      </c>
      <c r="W572" s="109">
        <v>500</v>
      </c>
      <c r="X572" s="109">
        <v>0.5</v>
      </c>
      <c r="Y572" s="113">
        <v>2</v>
      </c>
      <c r="Z572" s="18" t="s">
        <v>102</v>
      </c>
      <c r="AA572" s="18" t="s">
        <v>102</v>
      </c>
      <c r="AB572" s="111">
        <v>1105</v>
      </c>
      <c r="AC572" s="111">
        <v>1048</v>
      </c>
      <c r="AD572" s="111">
        <v>13.4</v>
      </c>
      <c r="AE572" s="18" t="s">
        <v>101</v>
      </c>
      <c r="AF572" s="18" t="s">
        <v>102</v>
      </c>
      <c r="AG572" s="18" t="s">
        <v>102</v>
      </c>
      <c r="AH572" s="18" t="s">
        <v>102</v>
      </c>
      <c r="AI572" s="18" t="s">
        <v>102</v>
      </c>
      <c r="AJ572" s="18" t="s">
        <v>102</v>
      </c>
      <c r="AK572" s="18" t="s">
        <v>102</v>
      </c>
      <c r="AL572" s="18" t="s">
        <v>102</v>
      </c>
      <c r="AM572" s="19"/>
      <c r="AN572" s="20" t="s">
        <v>101</v>
      </c>
      <c r="AO572" s="20" t="s">
        <v>103</v>
      </c>
      <c r="AP572" s="109">
        <v>258</v>
      </c>
      <c r="AQ572" s="110" t="s">
        <v>100</v>
      </c>
      <c r="AR572" s="105">
        <v>258</v>
      </c>
    </row>
    <row r="573" spans="1:44" ht="16.5">
      <c r="A573" s="105">
        <v>259</v>
      </c>
      <c r="B573" s="111" t="s">
        <v>101</v>
      </c>
      <c r="C573" s="111">
        <v>63.96</v>
      </c>
      <c r="D573" s="111">
        <v>0</v>
      </c>
      <c r="E573" s="111">
        <v>3.76</v>
      </c>
      <c r="F573" s="111">
        <v>0</v>
      </c>
      <c r="G573" s="111">
        <v>0</v>
      </c>
      <c r="H573" s="111">
        <v>0</v>
      </c>
      <c r="I573" s="111">
        <v>24.2</v>
      </c>
      <c r="J573" s="111">
        <v>0</v>
      </c>
      <c r="K573" s="111">
        <v>0</v>
      </c>
      <c r="L573" s="111">
        <v>8.08</v>
      </c>
      <c r="M573" s="74" t="str">
        <f t="array" ref="M573">_xlfn.TEXTJOIN("-", TRUE, IF(C573:L573&gt;0, $C$2:$L$2, ""))</f>
        <v xml:space="preserve"> Ti-Zr-Nb-Sn</v>
      </c>
      <c r="N573" s="90">
        <f t="shared" si="16"/>
        <v>551</v>
      </c>
      <c r="O573" s="91">
        <f t="shared" si="17"/>
        <v>4</v>
      </c>
      <c r="P573" s="111">
        <v>1</v>
      </c>
      <c r="Q573" s="111">
        <v>0</v>
      </c>
      <c r="R573" s="111">
        <v>0</v>
      </c>
      <c r="S573" s="111">
        <v>0</v>
      </c>
      <c r="T573" s="109">
        <v>0</v>
      </c>
      <c r="U573" s="109">
        <v>0</v>
      </c>
      <c r="V573" s="112">
        <v>0</v>
      </c>
      <c r="W573" s="109">
        <v>500</v>
      </c>
      <c r="X573" s="109">
        <v>1</v>
      </c>
      <c r="Y573" s="113">
        <v>2</v>
      </c>
      <c r="Z573" s="18" t="s">
        <v>102</v>
      </c>
      <c r="AA573" s="18" t="s">
        <v>102</v>
      </c>
      <c r="AB573" s="111">
        <v>1085</v>
      </c>
      <c r="AC573" s="111">
        <v>1039</v>
      </c>
      <c r="AD573" s="111">
        <v>15.1</v>
      </c>
      <c r="AE573" s="18" t="s">
        <v>101</v>
      </c>
      <c r="AF573" s="18" t="s">
        <v>102</v>
      </c>
      <c r="AG573" s="18" t="s">
        <v>102</v>
      </c>
      <c r="AH573" s="18" t="s">
        <v>102</v>
      </c>
      <c r="AI573" s="18" t="s">
        <v>102</v>
      </c>
      <c r="AJ573" s="18" t="s">
        <v>102</v>
      </c>
      <c r="AK573" s="18" t="s">
        <v>102</v>
      </c>
      <c r="AL573" s="18" t="s">
        <v>102</v>
      </c>
      <c r="AM573" s="19"/>
      <c r="AN573" s="20" t="s">
        <v>101</v>
      </c>
      <c r="AO573" s="20" t="s">
        <v>103</v>
      </c>
      <c r="AP573" s="109">
        <v>259</v>
      </c>
      <c r="AQ573" s="110" t="s">
        <v>100</v>
      </c>
      <c r="AR573" s="105">
        <v>259</v>
      </c>
    </row>
    <row r="574" spans="1:44" ht="16.5">
      <c r="A574" s="105">
        <v>260</v>
      </c>
      <c r="B574" s="111" t="s">
        <v>101</v>
      </c>
      <c r="C574" s="111">
        <v>63.96</v>
      </c>
      <c r="D574" s="111">
        <v>0</v>
      </c>
      <c r="E574" s="111">
        <v>3.76</v>
      </c>
      <c r="F574" s="111">
        <v>0</v>
      </c>
      <c r="G574" s="111">
        <v>0</v>
      </c>
      <c r="H574" s="111">
        <v>0</v>
      </c>
      <c r="I574" s="111">
        <v>24.2</v>
      </c>
      <c r="J574" s="111">
        <v>0</v>
      </c>
      <c r="K574" s="111">
        <v>0</v>
      </c>
      <c r="L574" s="111">
        <v>8.08</v>
      </c>
      <c r="M574" s="74" t="str">
        <f t="array" ref="M574">_xlfn.TEXTJOIN("-", TRUE, IF(C574:L574&gt;0, $C$2:$L$2, ""))</f>
        <v xml:space="preserve"> Ti-Zr-Nb-Sn</v>
      </c>
      <c r="N574" s="90">
        <f t="shared" si="16"/>
        <v>551</v>
      </c>
      <c r="O574" s="91">
        <f t="shared" si="17"/>
        <v>4</v>
      </c>
      <c r="P574" s="111">
        <v>1</v>
      </c>
      <c r="Q574" s="111">
        <v>0</v>
      </c>
      <c r="R574" s="111">
        <v>0</v>
      </c>
      <c r="S574" s="111">
        <v>0</v>
      </c>
      <c r="T574" s="109">
        <v>0</v>
      </c>
      <c r="U574" s="109">
        <v>0</v>
      </c>
      <c r="V574" s="112">
        <v>0</v>
      </c>
      <c r="W574" s="109">
        <v>500</v>
      </c>
      <c r="X574" s="109">
        <v>2</v>
      </c>
      <c r="Y574" s="113">
        <v>2</v>
      </c>
      <c r="Z574" s="18" t="s">
        <v>102</v>
      </c>
      <c r="AA574" s="18" t="s">
        <v>102</v>
      </c>
      <c r="AB574" s="111">
        <v>1104</v>
      </c>
      <c r="AC574" s="111">
        <v>1069</v>
      </c>
      <c r="AD574" s="111">
        <v>14.7</v>
      </c>
      <c r="AE574" s="18" t="s">
        <v>101</v>
      </c>
      <c r="AF574" s="18" t="s">
        <v>102</v>
      </c>
      <c r="AG574" s="18" t="s">
        <v>102</v>
      </c>
      <c r="AH574" s="18" t="s">
        <v>102</v>
      </c>
      <c r="AI574" s="18" t="s">
        <v>102</v>
      </c>
      <c r="AJ574" s="18" t="s">
        <v>102</v>
      </c>
      <c r="AK574" s="18" t="s">
        <v>102</v>
      </c>
      <c r="AL574" s="18" t="s">
        <v>102</v>
      </c>
      <c r="AM574" s="19"/>
      <c r="AN574" s="20" t="s">
        <v>101</v>
      </c>
      <c r="AO574" s="20" t="s">
        <v>103</v>
      </c>
      <c r="AP574" s="109">
        <v>260</v>
      </c>
      <c r="AQ574" s="110" t="s">
        <v>100</v>
      </c>
      <c r="AR574" s="105">
        <v>260</v>
      </c>
    </row>
    <row r="575" spans="1:44" ht="16.5">
      <c r="A575" s="105">
        <v>261</v>
      </c>
      <c r="B575" s="111" t="s">
        <v>101</v>
      </c>
      <c r="C575" s="111">
        <v>63.96</v>
      </c>
      <c r="D575" s="111">
        <v>0</v>
      </c>
      <c r="E575" s="111">
        <v>3.76</v>
      </c>
      <c r="F575" s="111">
        <v>0</v>
      </c>
      <c r="G575" s="111">
        <v>0</v>
      </c>
      <c r="H575" s="111">
        <v>0</v>
      </c>
      <c r="I575" s="111">
        <v>24.2</v>
      </c>
      <c r="J575" s="111">
        <v>0</v>
      </c>
      <c r="K575" s="111">
        <v>0</v>
      </c>
      <c r="L575" s="111">
        <v>8.08</v>
      </c>
      <c r="M575" s="74" t="str">
        <f t="array" ref="M575">_xlfn.TEXTJOIN("-", TRUE, IF(C575:L575&gt;0, $C$2:$L$2, ""))</f>
        <v xml:space="preserve"> Ti-Zr-Nb-Sn</v>
      </c>
      <c r="N575" s="90">
        <f t="shared" si="16"/>
        <v>551</v>
      </c>
      <c r="O575" s="91">
        <f t="shared" si="17"/>
        <v>4</v>
      </c>
      <c r="P575" s="111">
        <v>1</v>
      </c>
      <c r="Q575" s="111">
        <v>0</v>
      </c>
      <c r="R575" s="111">
        <v>0</v>
      </c>
      <c r="S575" s="111">
        <v>0</v>
      </c>
      <c r="T575" s="109">
        <v>0</v>
      </c>
      <c r="U575" s="109">
        <v>0</v>
      </c>
      <c r="V575" s="112">
        <v>0</v>
      </c>
      <c r="W575" s="109">
        <v>500</v>
      </c>
      <c r="X575" s="109">
        <v>4</v>
      </c>
      <c r="Y575" s="113">
        <v>2</v>
      </c>
      <c r="Z575" s="18" t="s">
        <v>102</v>
      </c>
      <c r="AA575" s="18" t="s">
        <v>102</v>
      </c>
      <c r="AB575" s="111">
        <v>1148</v>
      </c>
      <c r="AC575" s="111">
        <v>1111</v>
      </c>
      <c r="AD575" s="111">
        <v>15.5</v>
      </c>
      <c r="AE575" s="18" t="s">
        <v>101</v>
      </c>
      <c r="AF575" s="18" t="s">
        <v>102</v>
      </c>
      <c r="AG575" s="18" t="s">
        <v>102</v>
      </c>
      <c r="AH575" s="18" t="s">
        <v>102</v>
      </c>
      <c r="AI575" s="18" t="s">
        <v>102</v>
      </c>
      <c r="AJ575" s="18" t="s">
        <v>102</v>
      </c>
      <c r="AK575" s="18" t="s">
        <v>102</v>
      </c>
      <c r="AL575" s="18" t="s">
        <v>102</v>
      </c>
      <c r="AM575" s="19"/>
      <c r="AN575" s="20" t="s">
        <v>101</v>
      </c>
      <c r="AO575" s="20" t="s">
        <v>103</v>
      </c>
      <c r="AP575" s="109">
        <v>261</v>
      </c>
      <c r="AQ575" s="110" t="s">
        <v>100</v>
      </c>
      <c r="AR575" s="105">
        <v>261</v>
      </c>
    </row>
    <row r="576" spans="1:44" ht="16.5">
      <c r="A576" s="105">
        <v>262</v>
      </c>
      <c r="B576" s="111" t="s">
        <v>101</v>
      </c>
      <c r="C576" s="111">
        <v>63.96</v>
      </c>
      <c r="D576" s="111">
        <v>0</v>
      </c>
      <c r="E576" s="111">
        <v>3.76</v>
      </c>
      <c r="F576" s="111">
        <v>0</v>
      </c>
      <c r="G576" s="111">
        <v>0</v>
      </c>
      <c r="H576" s="111">
        <v>0</v>
      </c>
      <c r="I576" s="111">
        <v>24.2</v>
      </c>
      <c r="J576" s="111">
        <v>0</v>
      </c>
      <c r="K576" s="111">
        <v>0</v>
      </c>
      <c r="L576" s="111">
        <v>8.08</v>
      </c>
      <c r="M576" s="74" t="str">
        <f t="array" ref="M576">_xlfn.TEXTJOIN("-", TRUE, IF(C576:L576&gt;0, $C$2:$L$2, ""))</f>
        <v xml:space="preserve"> Ti-Zr-Nb-Sn</v>
      </c>
      <c r="N576" s="90">
        <f t="shared" si="16"/>
        <v>551</v>
      </c>
      <c r="O576" s="91">
        <f t="shared" si="17"/>
        <v>4</v>
      </c>
      <c r="P576" s="111">
        <v>1</v>
      </c>
      <c r="Q576" s="111">
        <v>0</v>
      </c>
      <c r="R576" s="111">
        <v>0</v>
      </c>
      <c r="S576" s="111">
        <v>0</v>
      </c>
      <c r="T576" s="109">
        <v>0</v>
      </c>
      <c r="U576" s="109">
        <v>0</v>
      </c>
      <c r="V576" s="112">
        <v>0</v>
      </c>
      <c r="W576" s="109">
        <v>525</v>
      </c>
      <c r="X576" s="109">
        <v>0.5</v>
      </c>
      <c r="Y576" s="113">
        <v>2</v>
      </c>
      <c r="Z576" s="18" t="s">
        <v>102</v>
      </c>
      <c r="AA576" s="18" t="s">
        <v>102</v>
      </c>
      <c r="AB576" s="111">
        <v>1043</v>
      </c>
      <c r="AC576" s="111">
        <v>996</v>
      </c>
      <c r="AD576" s="111">
        <v>15.4</v>
      </c>
      <c r="AE576" s="18" t="s">
        <v>101</v>
      </c>
      <c r="AF576" s="18" t="s">
        <v>102</v>
      </c>
      <c r="AG576" s="18" t="s">
        <v>102</v>
      </c>
      <c r="AH576" s="18" t="s">
        <v>102</v>
      </c>
      <c r="AI576" s="18" t="s">
        <v>102</v>
      </c>
      <c r="AJ576" s="18" t="s">
        <v>102</v>
      </c>
      <c r="AK576" s="18" t="s">
        <v>102</v>
      </c>
      <c r="AL576" s="18" t="s">
        <v>102</v>
      </c>
      <c r="AM576" s="19"/>
      <c r="AN576" s="20" t="s">
        <v>101</v>
      </c>
      <c r="AO576" s="20" t="s">
        <v>103</v>
      </c>
      <c r="AP576" s="109">
        <v>262</v>
      </c>
      <c r="AQ576" s="110" t="s">
        <v>100</v>
      </c>
      <c r="AR576" s="105">
        <v>262</v>
      </c>
    </row>
    <row r="577" spans="1:44" ht="16.5">
      <c r="A577" s="105">
        <v>263</v>
      </c>
      <c r="B577" s="111" t="s">
        <v>101</v>
      </c>
      <c r="C577" s="111">
        <v>63.96</v>
      </c>
      <c r="D577" s="111">
        <v>0</v>
      </c>
      <c r="E577" s="111">
        <v>3.76</v>
      </c>
      <c r="F577" s="111">
        <v>0</v>
      </c>
      <c r="G577" s="111">
        <v>0</v>
      </c>
      <c r="H577" s="111">
        <v>0</v>
      </c>
      <c r="I577" s="111">
        <v>24.2</v>
      </c>
      <c r="J577" s="111">
        <v>0</v>
      </c>
      <c r="K577" s="111">
        <v>0</v>
      </c>
      <c r="L577" s="111">
        <v>8.08</v>
      </c>
      <c r="M577" s="74" t="str">
        <f t="array" ref="M577">_xlfn.TEXTJOIN("-", TRUE, IF(C577:L577&gt;0, $C$2:$L$2, ""))</f>
        <v xml:space="preserve"> Ti-Zr-Nb-Sn</v>
      </c>
      <c r="N577" s="90">
        <f t="shared" si="16"/>
        <v>551</v>
      </c>
      <c r="O577" s="91">
        <f t="shared" si="17"/>
        <v>4</v>
      </c>
      <c r="P577" s="111">
        <v>1</v>
      </c>
      <c r="Q577" s="111">
        <v>0</v>
      </c>
      <c r="R577" s="111">
        <v>0</v>
      </c>
      <c r="S577" s="111">
        <v>0</v>
      </c>
      <c r="T577" s="109">
        <v>0</v>
      </c>
      <c r="U577" s="109">
        <v>0</v>
      </c>
      <c r="V577" s="112">
        <v>0</v>
      </c>
      <c r="W577" s="109">
        <v>525</v>
      </c>
      <c r="X577" s="109">
        <v>1</v>
      </c>
      <c r="Y577" s="113">
        <v>2</v>
      </c>
      <c r="Z577" s="18" t="s">
        <v>102</v>
      </c>
      <c r="AA577" s="18" t="s">
        <v>102</v>
      </c>
      <c r="AB577" s="111">
        <v>1017</v>
      </c>
      <c r="AC577" s="111">
        <v>969</v>
      </c>
      <c r="AD577" s="111">
        <v>15.6</v>
      </c>
      <c r="AE577" s="18" t="s">
        <v>101</v>
      </c>
      <c r="AF577" s="18" t="s">
        <v>102</v>
      </c>
      <c r="AG577" s="18" t="s">
        <v>102</v>
      </c>
      <c r="AH577" s="18" t="s">
        <v>102</v>
      </c>
      <c r="AI577" s="18" t="s">
        <v>102</v>
      </c>
      <c r="AJ577" s="18" t="s">
        <v>102</v>
      </c>
      <c r="AK577" s="18" t="s">
        <v>102</v>
      </c>
      <c r="AL577" s="18" t="s">
        <v>102</v>
      </c>
      <c r="AM577" s="19"/>
      <c r="AN577" s="20" t="s">
        <v>101</v>
      </c>
      <c r="AO577" s="20" t="s">
        <v>103</v>
      </c>
      <c r="AP577" s="109">
        <v>263</v>
      </c>
      <c r="AQ577" s="110" t="s">
        <v>100</v>
      </c>
      <c r="AR577" s="105">
        <v>263</v>
      </c>
    </row>
    <row r="578" spans="1:44" ht="16.5">
      <c r="A578" s="105">
        <v>264</v>
      </c>
      <c r="B578" s="111" t="s">
        <v>101</v>
      </c>
      <c r="C578" s="111">
        <v>63.96</v>
      </c>
      <c r="D578" s="111">
        <v>0</v>
      </c>
      <c r="E578" s="111">
        <v>3.76</v>
      </c>
      <c r="F578" s="111">
        <v>0</v>
      </c>
      <c r="G578" s="111">
        <v>0</v>
      </c>
      <c r="H578" s="111">
        <v>0</v>
      </c>
      <c r="I578" s="111">
        <v>24.2</v>
      </c>
      <c r="J578" s="111">
        <v>0</v>
      </c>
      <c r="K578" s="111">
        <v>0</v>
      </c>
      <c r="L578" s="111">
        <v>8.08</v>
      </c>
      <c r="M578" s="74" t="str">
        <f t="array" ref="M578">_xlfn.TEXTJOIN("-", TRUE, IF(C578:L578&gt;0, $C$2:$L$2, ""))</f>
        <v xml:space="preserve"> Ti-Zr-Nb-Sn</v>
      </c>
      <c r="N578" s="90">
        <f t="shared" si="16"/>
        <v>551</v>
      </c>
      <c r="O578" s="91">
        <f t="shared" si="17"/>
        <v>4</v>
      </c>
      <c r="P578" s="111">
        <v>1</v>
      </c>
      <c r="Q578" s="111">
        <v>0</v>
      </c>
      <c r="R578" s="111">
        <v>0</v>
      </c>
      <c r="S578" s="111">
        <v>0</v>
      </c>
      <c r="T578" s="109">
        <v>0</v>
      </c>
      <c r="U578" s="109">
        <v>0</v>
      </c>
      <c r="V578" s="112">
        <v>0</v>
      </c>
      <c r="W578" s="109">
        <v>525</v>
      </c>
      <c r="X578" s="109">
        <v>2</v>
      </c>
      <c r="Y578" s="113">
        <v>2</v>
      </c>
      <c r="Z578" s="18" t="s">
        <v>102</v>
      </c>
      <c r="AA578" s="18" t="s">
        <v>102</v>
      </c>
      <c r="AB578" s="111">
        <v>1024</v>
      </c>
      <c r="AC578" s="111">
        <v>976</v>
      </c>
      <c r="AD578" s="111">
        <v>16.399999999999999</v>
      </c>
      <c r="AE578" s="18" t="s">
        <v>101</v>
      </c>
      <c r="AF578" s="18" t="s">
        <v>102</v>
      </c>
      <c r="AG578" s="18" t="s">
        <v>102</v>
      </c>
      <c r="AH578" s="18" t="s">
        <v>102</v>
      </c>
      <c r="AI578" s="18" t="s">
        <v>102</v>
      </c>
      <c r="AJ578" s="18" t="s">
        <v>102</v>
      </c>
      <c r="AK578" s="18" t="s">
        <v>102</v>
      </c>
      <c r="AL578" s="18" t="s">
        <v>102</v>
      </c>
      <c r="AM578" s="19"/>
      <c r="AN578" s="20" t="s">
        <v>101</v>
      </c>
      <c r="AO578" s="20" t="s">
        <v>149</v>
      </c>
      <c r="AP578" s="109">
        <v>264</v>
      </c>
      <c r="AQ578" s="110" t="s">
        <v>100</v>
      </c>
      <c r="AR578" s="105">
        <v>264</v>
      </c>
    </row>
    <row r="579" spans="1:44" ht="16.5">
      <c r="A579" s="105">
        <v>265</v>
      </c>
      <c r="B579" s="111" t="s">
        <v>101</v>
      </c>
      <c r="C579" s="111">
        <v>63.96</v>
      </c>
      <c r="D579" s="111">
        <v>0</v>
      </c>
      <c r="E579" s="111">
        <v>3.76</v>
      </c>
      <c r="F579" s="111">
        <v>0</v>
      </c>
      <c r="G579" s="111">
        <v>0</v>
      </c>
      <c r="H579" s="111">
        <v>0</v>
      </c>
      <c r="I579" s="111">
        <v>24.2</v>
      </c>
      <c r="J579" s="111">
        <v>0</v>
      </c>
      <c r="K579" s="111">
        <v>0</v>
      </c>
      <c r="L579" s="111">
        <v>8.08</v>
      </c>
      <c r="M579" s="74" t="str">
        <f t="array" ref="M579">_xlfn.TEXTJOIN("-", TRUE, IF(C579:L579&gt;0, $C$2:$L$2, ""))</f>
        <v xml:space="preserve"> Ti-Zr-Nb-Sn</v>
      </c>
      <c r="N579" s="90">
        <f t="shared" ref="N579:N642" si="18">IF(COUNTIF(M$3:M$1206, M579)&gt;1, MATCH(M579, M:M, 0), "")</f>
        <v>551</v>
      </c>
      <c r="O579" s="91">
        <f t="shared" ref="O579:O642" si="19">COUNTIF(C579:L579, "&lt;&gt;0")</f>
        <v>4</v>
      </c>
      <c r="P579" s="111">
        <v>1</v>
      </c>
      <c r="Q579" s="111">
        <v>0</v>
      </c>
      <c r="R579" s="111">
        <v>0</v>
      </c>
      <c r="S579" s="111">
        <v>0</v>
      </c>
      <c r="T579" s="109">
        <v>0</v>
      </c>
      <c r="U579" s="109">
        <v>0</v>
      </c>
      <c r="V579" s="112">
        <v>0</v>
      </c>
      <c r="W579" s="109">
        <v>525</v>
      </c>
      <c r="X579" s="109">
        <v>4</v>
      </c>
      <c r="Y579" s="113">
        <v>2</v>
      </c>
      <c r="Z579" s="18" t="s">
        <v>102</v>
      </c>
      <c r="AA579" s="18" t="s">
        <v>102</v>
      </c>
      <c r="AB579" s="111">
        <v>1059</v>
      </c>
      <c r="AC579" s="111">
        <v>1026</v>
      </c>
      <c r="AD579" s="111">
        <v>15.9</v>
      </c>
      <c r="AE579" s="18" t="s">
        <v>101</v>
      </c>
      <c r="AF579" s="18" t="s">
        <v>102</v>
      </c>
      <c r="AG579" s="18" t="s">
        <v>102</v>
      </c>
      <c r="AH579" s="18" t="s">
        <v>102</v>
      </c>
      <c r="AI579" s="18" t="s">
        <v>102</v>
      </c>
      <c r="AJ579" s="18" t="s">
        <v>102</v>
      </c>
      <c r="AK579" s="18" t="s">
        <v>102</v>
      </c>
      <c r="AL579" s="18" t="s">
        <v>102</v>
      </c>
      <c r="AM579" s="19"/>
      <c r="AN579" s="20" t="s">
        <v>101</v>
      </c>
      <c r="AO579" s="20" t="s">
        <v>103</v>
      </c>
      <c r="AP579" s="109">
        <v>265</v>
      </c>
      <c r="AQ579" s="110" t="s">
        <v>100</v>
      </c>
      <c r="AR579" s="105">
        <v>265</v>
      </c>
    </row>
    <row r="580" spans="1:44" ht="16.5">
      <c r="A580" s="105">
        <v>373</v>
      </c>
      <c r="B580" s="111" t="s">
        <v>113</v>
      </c>
      <c r="C580" s="109">
        <v>73.05</v>
      </c>
      <c r="D580" s="109">
        <v>0</v>
      </c>
      <c r="E580" s="109">
        <v>4.49</v>
      </c>
      <c r="F580" s="109">
        <v>0</v>
      </c>
      <c r="G580" s="109">
        <v>0</v>
      </c>
      <c r="H580" s="109">
        <v>0</v>
      </c>
      <c r="I580" s="109">
        <v>21.09</v>
      </c>
      <c r="J580" s="109">
        <v>0</v>
      </c>
      <c r="K580" s="109">
        <v>0</v>
      </c>
      <c r="L580" s="109">
        <v>1.37</v>
      </c>
      <c r="M580" s="74" t="str">
        <f t="array" ref="M580">_xlfn.TEXTJOIN("-", TRUE, IF(C580:L580&gt;0, $C$2:$L$2, ""))</f>
        <v xml:space="preserve"> Ti-Zr-Nb-Sn</v>
      </c>
      <c r="N580" s="90">
        <f t="shared" si="18"/>
        <v>551</v>
      </c>
      <c r="O580" s="91">
        <f t="shared" si="19"/>
        <v>4</v>
      </c>
      <c r="P580" s="109">
        <v>1</v>
      </c>
      <c r="Q580" s="109">
        <v>1</v>
      </c>
      <c r="R580" s="111" t="s">
        <v>113</v>
      </c>
      <c r="S580" s="111" t="s">
        <v>113</v>
      </c>
      <c r="T580" s="111" t="s">
        <v>113</v>
      </c>
      <c r="U580" s="111" t="s">
        <v>113</v>
      </c>
      <c r="V580" s="111">
        <v>1</v>
      </c>
      <c r="W580" s="111" t="s">
        <v>113</v>
      </c>
      <c r="X580" s="111" t="s">
        <v>113</v>
      </c>
      <c r="Y580" s="111" t="s">
        <v>113</v>
      </c>
      <c r="Z580" s="109">
        <v>66.900000000000006</v>
      </c>
      <c r="AA580" s="111" t="s">
        <v>113</v>
      </c>
      <c r="AB580" s="111" t="s">
        <v>113</v>
      </c>
      <c r="AC580" s="109">
        <v>806</v>
      </c>
      <c r="AD580" s="111" t="s">
        <v>113</v>
      </c>
      <c r="AE580" s="111" t="s">
        <v>113</v>
      </c>
      <c r="AF580" s="111" t="s">
        <v>113</v>
      </c>
      <c r="AG580" s="111" t="s">
        <v>113</v>
      </c>
      <c r="AH580" s="111" t="s">
        <v>113</v>
      </c>
      <c r="AI580" s="111" t="s">
        <v>113</v>
      </c>
      <c r="AJ580" s="111" t="s">
        <v>113</v>
      </c>
      <c r="AK580" s="111" t="s">
        <v>113</v>
      </c>
      <c r="AL580" s="111" t="s">
        <v>113</v>
      </c>
      <c r="AM580" s="111"/>
      <c r="AN580" s="111" t="s">
        <v>113</v>
      </c>
      <c r="AO580" s="111" t="s">
        <v>232</v>
      </c>
      <c r="AP580" s="109">
        <v>373</v>
      </c>
      <c r="AQ580" s="110" t="s">
        <v>100</v>
      </c>
      <c r="AR580" s="105">
        <v>373</v>
      </c>
    </row>
    <row r="581" spans="1:44" ht="16.5">
      <c r="A581" s="105">
        <v>453</v>
      </c>
      <c r="B581" s="111" t="s">
        <v>113</v>
      </c>
      <c r="C581" s="109">
        <v>73.05</v>
      </c>
      <c r="D581" s="109">
        <v>0</v>
      </c>
      <c r="E581" s="109">
        <v>4.49</v>
      </c>
      <c r="F581" s="109">
        <v>0</v>
      </c>
      <c r="G581" s="109">
        <v>0</v>
      </c>
      <c r="H581" s="109">
        <v>0</v>
      </c>
      <c r="I581" s="109">
        <v>21.09</v>
      </c>
      <c r="J581" s="109">
        <v>0</v>
      </c>
      <c r="K581" s="109">
        <v>0</v>
      </c>
      <c r="L581" s="109">
        <v>1.37</v>
      </c>
      <c r="M581" s="74" t="str">
        <f t="array" ref="M581">_xlfn.TEXTJOIN("-", TRUE, IF(C581:L581&gt;0, $C$2:$L$2, ""))</f>
        <v xml:space="preserve"> Ti-Zr-Nb-Sn</v>
      </c>
      <c r="N581" s="90">
        <f t="shared" si="18"/>
        <v>551</v>
      </c>
      <c r="O581" s="91">
        <f t="shared" si="19"/>
        <v>4</v>
      </c>
      <c r="P581" s="109">
        <v>1</v>
      </c>
      <c r="Q581" s="109">
        <v>1</v>
      </c>
      <c r="R581" s="111" t="s">
        <v>113</v>
      </c>
      <c r="S581" s="111" t="s">
        <v>113</v>
      </c>
      <c r="T581" s="111" t="s">
        <v>113</v>
      </c>
      <c r="U581" s="111" t="s">
        <v>113</v>
      </c>
      <c r="V581" s="111">
        <v>1</v>
      </c>
      <c r="W581" s="111" t="s">
        <v>113</v>
      </c>
      <c r="X581" s="111" t="s">
        <v>113</v>
      </c>
      <c r="Y581" s="111" t="s">
        <v>113</v>
      </c>
      <c r="Z581" s="109">
        <v>54.2</v>
      </c>
      <c r="AA581" s="111" t="s">
        <v>113</v>
      </c>
      <c r="AB581" s="111" t="s">
        <v>113</v>
      </c>
      <c r="AC581" s="109">
        <v>380</v>
      </c>
      <c r="AD581" s="111" t="s">
        <v>113</v>
      </c>
      <c r="AE581" s="111" t="s">
        <v>113</v>
      </c>
      <c r="AF581" s="111" t="s">
        <v>113</v>
      </c>
      <c r="AG581" s="111" t="s">
        <v>113</v>
      </c>
      <c r="AH581" s="111" t="s">
        <v>113</v>
      </c>
      <c r="AI581" s="111" t="s">
        <v>113</v>
      </c>
      <c r="AJ581" s="111" t="s">
        <v>113</v>
      </c>
      <c r="AK581" s="111" t="s">
        <v>113</v>
      </c>
      <c r="AL581" s="111" t="s">
        <v>113</v>
      </c>
      <c r="AM581" s="111"/>
      <c r="AN581" s="111" t="s">
        <v>113</v>
      </c>
      <c r="AO581" s="111" t="s">
        <v>232</v>
      </c>
      <c r="AP581" s="109">
        <v>453</v>
      </c>
      <c r="AQ581" s="110" t="s">
        <v>100</v>
      </c>
      <c r="AR581" s="105">
        <v>453</v>
      </c>
    </row>
    <row r="582" spans="1:44" ht="16.5">
      <c r="A582" s="105">
        <v>460</v>
      </c>
      <c r="B582" s="111" t="s">
        <v>113</v>
      </c>
      <c r="C582" s="109">
        <v>78.430000000000007</v>
      </c>
      <c r="D582" s="109">
        <v>0</v>
      </c>
      <c r="E582" s="109">
        <v>2.52</v>
      </c>
      <c r="F582" s="109">
        <v>0</v>
      </c>
      <c r="G582" s="109">
        <v>0</v>
      </c>
      <c r="H582" s="109">
        <v>0</v>
      </c>
      <c r="I582" s="109">
        <v>15.190000000000001</v>
      </c>
      <c r="J582" s="109">
        <v>0</v>
      </c>
      <c r="K582" s="109">
        <v>0</v>
      </c>
      <c r="L582" s="109">
        <v>3.8699999999999997</v>
      </c>
      <c r="M582" s="74" t="str">
        <f t="array" ref="M582">_xlfn.TEXTJOIN("-", TRUE, IF(C582:L582&gt;0, $C$2:$L$2, ""))</f>
        <v xml:space="preserve"> Ti-Zr-Nb-Sn</v>
      </c>
      <c r="N582" s="90">
        <f t="shared" si="18"/>
        <v>551</v>
      </c>
      <c r="O582" s="91">
        <f t="shared" si="19"/>
        <v>4</v>
      </c>
      <c r="P582" s="109">
        <v>1</v>
      </c>
      <c r="Q582" s="109">
        <v>1</v>
      </c>
      <c r="R582" s="111" t="s">
        <v>113</v>
      </c>
      <c r="S582" s="111" t="s">
        <v>113</v>
      </c>
      <c r="T582" s="111" t="s">
        <v>113</v>
      </c>
      <c r="U582" s="111" t="s">
        <v>113</v>
      </c>
      <c r="V582" s="109">
        <v>2</v>
      </c>
      <c r="W582" s="111" t="s">
        <v>113</v>
      </c>
      <c r="X582" s="111" t="s">
        <v>113</v>
      </c>
      <c r="Y582" s="111" t="s">
        <v>113</v>
      </c>
      <c r="Z582" s="109">
        <v>50</v>
      </c>
      <c r="AA582" s="111" t="s">
        <v>113</v>
      </c>
      <c r="AB582" s="111" t="s">
        <v>113</v>
      </c>
      <c r="AC582" s="109">
        <v>350</v>
      </c>
      <c r="AD582" s="111" t="s">
        <v>113</v>
      </c>
      <c r="AE582" s="111" t="s">
        <v>113</v>
      </c>
      <c r="AF582" s="111" t="s">
        <v>113</v>
      </c>
      <c r="AG582" s="111" t="s">
        <v>113</v>
      </c>
      <c r="AH582" s="111" t="s">
        <v>113</v>
      </c>
      <c r="AI582" s="111" t="s">
        <v>113</v>
      </c>
      <c r="AJ582" s="111" t="s">
        <v>113</v>
      </c>
      <c r="AK582" s="111" t="s">
        <v>113</v>
      </c>
      <c r="AL582" s="111" t="s">
        <v>113</v>
      </c>
      <c r="AM582" s="111"/>
      <c r="AN582" s="111" t="s">
        <v>113</v>
      </c>
      <c r="AO582" s="111" t="s">
        <v>232</v>
      </c>
      <c r="AP582" s="109">
        <v>460</v>
      </c>
      <c r="AQ582" s="110" t="s">
        <v>100</v>
      </c>
      <c r="AR582" s="105">
        <v>460</v>
      </c>
    </row>
    <row r="583" spans="1:44" ht="16.5">
      <c r="A583" s="105">
        <v>461</v>
      </c>
      <c r="B583" s="111" t="s">
        <v>113</v>
      </c>
      <c r="C583" s="109">
        <v>78.83</v>
      </c>
      <c r="D583" s="109">
        <v>0</v>
      </c>
      <c r="E583" s="109">
        <v>2.4299999999999997</v>
      </c>
      <c r="F583" s="109">
        <v>0</v>
      </c>
      <c r="G583" s="109">
        <v>0</v>
      </c>
      <c r="H583" s="109">
        <v>0</v>
      </c>
      <c r="I583" s="109">
        <v>15</v>
      </c>
      <c r="J583" s="109">
        <v>0</v>
      </c>
      <c r="K583" s="109">
        <v>0</v>
      </c>
      <c r="L583" s="109">
        <v>3.74</v>
      </c>
      <c r="M583" s="74" t="str">
        <f t="array" ref="M583">_xlfn.TEXTJOIN("-", TRUE, IF(C583:L583&gt;0, $C$2:$L$2, ""))</f>
        <v xml:space="preserve"> Ti-Zr-Nb-Sn</v>
      </c>
      <c r="N583" s="90">
        <f t="shared" si="18"/>
        <v>551</v>
      </c>
      <c r="O583" s="91">
        <f t="shared" si="19"/>
        <v>4</v>
      </c>
      <c r="P583" s="109">
        <v>1</v>
      </c>
      <c r="Q583" s="109">
        <v>1</v>
      </c>
      <c r="R583" s="111" t="s">
        <v>113</v>
      </c>
      <c r="S583" s="111" t="s">
        <v>113</v>
      </c>
      <c r="T583" s="111" t="s">
        <v>113</v>
      </c>
      <c r="U583" s="111" t="s">
        <v>113</v>
      </c>
      <c r="V583" s="109">
        <v>2</v>
      </c>
      <c r="W583" s="111" t="s">
        <v>113</v>
      </c>
      <c r="X583" s="111" t="s">
        <v>113</v>
      </c>
      <c r="Y583" s="111" t="s">
        <v>113</v>
      </c>
      <c r="Z583" s="109">
        <v>59.2</v>
      </c>
      <c r="AA583" s="111" t="s">
        <v>113</v>
      </c>
      <c r="AB583" s="111" t="s">
        <v>113</v>
      </c>
      <c r="AC583" s="109">
        <v>282</v>
      </c>
      <c r="AD583" s="111" t="s">
        <v>113</v>
      </c>
      <c r="AE583" s="111" t="s">
        <v>113</v>
      </c>
      <c r="AF583" s="111" t="s">
        <v>113</v>
      </c>
      <c r="AG583" s="111" t="s">
        <v>113</v>
      </c>
      <c r="AH583" s="111" t="s">
        <v>113</v>
      </c>
      <c r="AI583" s="111" t="s">
        <v>113</v>
      </c>
      <c r="AJ583" s="111" t="s">
        <v>113</v>
      </c>
      <c r="AK583" s="111" t="s">
        <v>113</v>
      </c>
      <c r="AL583" s="111" t="s">
        <v>113</v>
      </c>
      <c r="AM583" s="111"/>
      <c r="AN583" s="111" t="s">
        <v>113</v>
      </c>
      <c r="AO583" s="111" t="s">
        <v>232</v>
      </c>
      <c r="AP583" s="109">
        <v>461</v>
      </c>
      <c r="AQ583" s="110" t="s">
        <v>100</v>
      </c>
      <c r="AR583" s="105">
        <v>461</v>
      </c>
    </row>
    <row r="584" spans="1:44" ht="16.5">
      <c r="A584" s="105">
        <v>462</v>
      </c>
      <c r="B584" s="111" t="s">
        <v>113</v>
      </c>
      <c r="C584" s="109">
        <v>78.23</v>
      </c>
      <c r="D584" s="109">
        <v>0</v>
      </c>
      <c r="E584" s="109">
        <v>2.5700000000000003</v>
      </c>
      <c r="F584" s="109">
        <v>0</v>
      </c>
      <c r="G584" s="109">
        <v>0</v>
      </c>
      <c r="H584" s="109">
        <v>0</v>
      </c>
      <c r="I584" s="109">
        <v>15.22</v>
      </c>
      <c r="J584" s="109">
        <v>0</v>
      </c>
      <c r="K584" s="109">
        <v>0</v>
      </c>
      <c r="L584" s="109">
        <v>3.9800000000000004</v>
      </c>
      <c r="M584" s="74" t="str">
        <f t="array" ref="M584">_xlfn.TEXTJOIN("-", TRUE, IF(C584:L584&gt;0, $C$2:$L$2, ""))</f>
        <v xml:space="preserve"> Ti-Zr-Nb-Sn</v>
      </c>
      <c r="N584" s="90">
        <f t="shared" si="18"/>
        <v>551</v>
      </c>
      <c r="O584" s="91">
        <f t="shared" si="19"/>
        <v>4</v>
      </c>
      <c r="P584" s="109">
        <v>1</v>
      </c>
      <c r="Q584" s="109">
        <v>1</v>
      </c>
      <c r="R584" s="111" t="s">
        <v>113</v>
      </c>
      <c r="S584" s="111" t="s">
        <v>113</v>
      </c>
      <c r="T584" s="111" t="s">
        <v>113</v>
      </c>
      <c r="U584" s="111" t="s">
        <v>113</v>
      </c>
      <c r="V584" s="109">
        <v>2</v>
      </c>
      <c r="W584" s="111" t="s">
        <v>113</v>
      </c>
      <c r="X584" s="111" t="s">
        <v>113</v>
      </c>
      <c r="Y584" s="111" t="s">
        <v>113</v>
      </c>
      <c r="Z584" s="109">
        <v>61.6</v>
      </c>
      <c r="AA584" s="111" t="s">
        <v>113</v>
      </c>
      <c r="AB584" s="111" t="s">
        <v>113</v>
      </c>
      <c r="AC584" s="109">
        <v>380</v>
      </c>
      <c r="AD584" s="111" t="s">
        <v>113</v>
      </c>
      <c r="AE584" s="111" t="s">
        <v>113</v>
      </c>
      <c r="AF584" s="111" t="s">
        <v>113</v>
      </c>
      <c r="AG584" s="111" t="s">
        <v>113</v>
      </c>
      <c r="AH584" s="111" t="s">
        <v>113</v>
      </c>
      <c r="AI584" s="111" t="s">
        <v>113</v>
      </c>
      <c r="AJ584" s="111" t="s">
        <v>113</v>
      </c>
      <c r="AK584" s="111" t="s">
        <v>113</v>
      </c>
      <c r="AL584" s="111" t="s">
        <v>113</v>
      </c>
      <c r="AM584" s="111"/>
      <c r="AN584" s="111" t="s">
        <v>113</v>
      </c>
      <c r="AO584" s="111" t="s">
        <v>232</v>
      </c>
      <c r="AP584" s="109">
        <v>462</v>
      </c>
      <c r="AQ584" s="110" t="s">
        <v>100</v>
      </c>
      <c r="AR584" s="105">
        <v>462</v>
      </c>
    </row>
    <row r="585" spans="1:44" ht="16.5">
      <c r="A585" s="105">
        <v>463</v>
      </c>
      <c r="B585" s="111" t="s">
        <v>113</v>
      </c>
      <c r="C585" s="109">
        <v>78.180000000000007</v>
      </c>
      <c r="D585" s="109">
        <v>0</v>
      </c>
      <c r="E585" s="109">
        <v>2.59</v>
      </c>
      <c r="F585" s="109">
        <v>0</v>
      </c>
      <c r="G585" s="109">
        <v>0</v>
      </c>
      <c r="H585" s="109">
        <v>0</v>
      </c>
      <c r="I585" s="109">
        <v>15.28</v>
      </c>
      <c r="J585" s="109">
        <v>0</v>
      </c>
      <c r="K585" s="109">
        <v>0</v>
      </c>
      <c r="L585" s="109">
        <v>3.94</v>
      </c>
      <c r="M585" s="74" t="str">
        <f t="array" ref="M585">_xlfn.TEXTJOIN("-", TRUE, IF(C585:L585&gt;0, $C$2:$L$2, ""))</f>
        <v xml:space="preserve"> Ti-Zr-Nb-Sn</v>
      </c>
      <c r="N585" s="90">
        <f t="shared" si="18"/>
        <v>551</v>
      </c>
      <c r="O585" s="91">
        <f t="shared" si="19"/>
        <v>4</v>
      </c>
      <c r="P585" s="109">
        <v>1</v>
      </c>
      <c r="Q585" s="109">
        <v>1</v>
      </c>
      <c r="R585" s="111" t="s">
        <v>113</v>
      </c>
      <c r="S585" s="111" t="s">
        <v>113</v>
      </c>
      <c r="T585" s="111" t="s">
        <v>113</v>
      </c>
      <c r="U585" s="111" t="s">
        <v>113</v>
      </c>
      <c r="V585" s="109">
        <v>2</v>
      </c>
      <c r="W585" s="111" t="s">
        <v>113</v>
      </c>
      <c r="X585" s="111" t="s">
        <v>113</v>
      </c>
      <c r="Y585" s="111" t="s">
        <v>113</v>
      </c>
      <c r="Z585" s="109">
        <v>47.8</v>
      </c>
      <c r="AA585" s="111" t="s">
        <v>113</v>
      </c>
      <c r="AB585" s="111" t="s">
        <v>113</v>
      </c>
      <c r="AC585" s="109">
        <v>515</v>
      </c>
      <c r="AD585" s="111" t="s">
        <v>113</v>
      </c>
      <c r="AE585" s="111" t="s">
        <v>113</v>
      </c>
      <c r="AF585" s="111" t="s">
        <v>113</v>
      </c>
      <c r="AG585" s="111" t="s">
        <v>113</v>
      </c>
      <c r="AH585" s="111" t="s">
        <v>113</v>
      </c>
      <c r="AI585" s="111" t="s">
        <v>113</v>
      </c>
      <c r="AJ585" s="111" t="s">
        <v>113</v>
      </c>
      <c r="AK585" s="111" t="s">
        <v>113</v>
      </c>
      <c r="AL585" s="111" t="s">
        <v>113</v>
      </c>
      <c r="AM585" s="111"/>
      <c r="AN585" s="111" t="s">
        <v>113</v>
      </c>
      <c r="AO585" s="111" t="s">
        <v>232</v>
      </c>
      <c r="AP585" s="109">
        <v>463</v>
      </c>
      <c r="AQ585" s="110" t="s">
        <v>100</v>
      </c>
      <c r="AR585" s="105">
        <v>463</v>
      </c>
    </row>
    <row r="586" spans="1:44" ht="16.5">
      <c r="A586" s="105">
        <v>464</v>
      </c>
      <c r="B586" s="111" t="s">
        <v>113</v>
      </c>
      <c r="C586" s="109">
        <v>78.61</v>
      </c>
      <c r="D586" s="109">
        <v>0</v>
      </c>
      <c r="E586" s="109">
        <v>2.4</v>
      </c>
      <c r="F586" s="109">
        <v>0</v>
      </c>
      <c r="G586" s="109">
        <v>0</v>
      </c>
      <c r="H586" s="109">
        <v>0</v>
      </c>
      <c r="I586" s="109">
        <v>15.040000000000001</v>
      </c>
      <c r="J586" s="109">
        <v>0</v>
      </c>
      <c r="K586" s="109">
        <v>0</v>
      </c>
      <c r="L586" s="109">
        <v>3.95</v>
      </c>
      <c r="M586" s="74" t="str">
        <f t="array" ref="M586">_xlfn.TEXTJOIN("-", TRUE, IF(C586:L586&gt;0, $C$2:$L$2, ""))</f>
        <v xml:space="preserve"> Ti-Zr-Nb-Sn</v>
      </c>
      <c r="N586" s="90">
        <f t="shared" si="18"/>
        <v>551</v>
      </c>
      <c r="O586" s="91">
        <f t="shared" si="19"/>
        <v>4</v>
      </c>
      <c r="P586" s="109">
        <v>1</v>
      </c>
      <c r="Q586" s="109">
        <v>1</v>
      </c>
      <c r="R586" s="111" t="s">
        <v>113</v>
      </c>
      <c r="S586" s="111" t="s">
        <v>113</v>
      </c>
      <c r="T586" s="111" t="s">
        <v>113</v>
      </c>
      <c r="U586" s="111" t="s">
        <v>113</v>
      </c>
      <c r="V586" s="109">
        <v>2</v>
      </c>
      <c r="W586" s="111" t="s">
        <v>113</v>
      </c>
      <c r="X586" s="111" t="s">
        <v>113</v>
      </c>
      <c r="Y586" s="111" t="s">
        <v>113</v>
      </c>
      <c r="Z586" s="109">
        <v>53.2</v>
      </c>
      <c r="AA586" s="111" t="s">
        <v>113</v>
      </c>
      <c r="AB586" s="111" t="s">
        <v>113</v>
      </c>
      <c r="AC586" s="109">
        <v>649</v>
      </c>
      <c r="AD586" s="111" t="s">
        <v>113</v>
      </c>
      <c r="AE586" s="111" t="s">
        <v>113</v>
      </c>
      <c r="AF586" s="111" t="s">
        <v>113</v>
      </c>
      <c r="AG586" s="111" t="s">
        <v>113</v>
      </c>
      <c r="AH586" s="111" t="s">
        <v>113</v>
      </c>
      <c r="AI586" s="111" t="s">
        <v>113</v>
      </c>
      <c r="AJ586" s="111" t="s">
        <v>113</v>
      </c>
      <c r="AK586" s="111" t="s">
        <v>113</v>
      </c>
      <c r="AL586" s="111" t="s">
        <v>113</v>
      </c>
      <c r="AM586" s="111"/>
      <c r="AN586" s="111" t="s">
        <v>113</v>
      </c>
      <c r="AO586" s="111" t="s">
        <v>232</v>
      </c>
      <c r="AP586" s="109">
        <v>464</v>
      </c>
      <c r="AQ586" s="110" t="s">
        <v>100</v>
      </c>
      <c r="AR586" s="105">
        <v>464</v>
      </c>
    </row>
    <row r="587" spans="1:44" ht="16.5">
      <c r="A587" s="105">
        <v>503</v>
      </c>
      <c r="B587" s="111" t="s">
        <v>113</v>
      </c>
      <c r="C587" s="109">
        <v>83.84</v>
      </c>
      <c r="D587" s="109">
        <v>0</v>
      </c>
      <c r="E587" s="109">
        <v>1.51</v>
      </c>
      <c r="F587" s="109">
        <v>0</v>
      </c>
      <c r="G587" s="109">
        <v>0</v>
      </c>
      <c r="H587" s="109">
        <v>0</v>
      </c>
      <c r="I587" s="109">
        <v>14.04</v>
      </c>
      <c r="J587" s="109">
        <v>0</v>
      </c>
      <c r="K587" s="109">
        <v>0</v>
      </c>
      <c r="L587" s="109">
        <v>0.61</v>
      </c>
      <c r="M587" s="74" t="str">
        <f t="array" ref="M587">_xlfn.TEXTJOIN("-", TRUE, IF(C587:L587&gt;0, $C$2:$L$2, ""))</f>
        <v xml:space="preserve"> Ti-Zr-Nb-Sn</v>
      </c>
      <c r="N587" s="90">
        <f t="shared" si="18"/>
        <v>551</v>
      </c>
      <c r="O587" s="91">
        <f t="shared" si="19"/>
        <v>4</v>
      </c>
      <c r="P587" s="109">
        <v>1</v>
      </c>
      <c r="Q587" s="109">
        <v>1</v>
      </c>
      <c r="R587" s="111" t="s">
        <v>113</v>
      </c>
      <c r="S587" s="111" t="s">
        <v>113</v>
      </c>
      <c r="T587" s="111" t="s">
        <v>113</v>
      </c>
      <c r="U587" s="111" t="s">
        <v>113</v>
      </c>
      <c r="V587" s="109">
        <v>1</v>
      </c>
      <c r="W587" s="111" t="s">
        <v>113</v>
      </c>
      <c r="X587" s="111" t="s">
        <v>113</v>
      </c>
      <c r="Y587" s="111" t="s">
        <v>113</v>
      </c>
      <c r="Z587" s="109">
        <v>75</v>
      </c>
      <c r="AA587" s="111" t="s">
        <v>113</v>
      </c>
      <c r="AB587" s="111" t="s">
        <v>113</v>
      </c>
      <c r="AC587" s="109">
        <v>499</v>
      </c>
      <c r="AD587" s="111" t="s">
        <v>113</v>
      </c>
      <c r="AE587" s="111" t="s">
        <v>113</v>
      </c>
      <c r="AF587" s="111" t="s">
        <v>113</v>
      </c>
      <c r="AG587" s="111" t="s">
        <v>113</v>
      </c>
      <c r="AH587" s="111" t="s">
        <v>113</v>
      </c>
      <c r="AI587" s="111" t="s">
        <v>113</v>
      </c>
      <c r="AJ587" s="111" t="s">
        <v>113</v>
      </c>
      <c r="AK587" s="111" t="s">
        <v>113</v>
      </c>
      <c r="AL587" s="111" t="s">
        <v>113</v>
      </c>
      <c r="AM587" s="111"/>
      <c r="AN587" s="111" t="s">
        <v>113</v>
      </c>
      <c r="AO587" s="111" t="s">
        <v>232</v>
      </c>
      <c r="AP587" s="109">
        <v>503</v>
      </c>
      <c r="AQ587" s="110" t="s">
        <v>100</v>
      </c>
      <c r="AR587" s="105">
        <v>503</v>
      </c>
    </row>
    <row r="588" spans="1:44" ht="16.5">
      <c r="A588" s="29">
        <v>34</v>
      </c>
      <c r="B588" s="19"/>
      <c r="C588" s="18">
        <v>61</v>
      </c>
      <c r="D588" s="19">
        <v>0</v>
      </c>
      <c r="E588" s="18">
        <v>9</v>
      </c>
      <c r="F588" s="18">
        <v>0</v>
      </c>
      <c r="G588" s="18">
        <v>0</v>
      </c>
      <c r="H588" s="18">
        <v>0</v>
      </c>
      <c r="I588" s="18">
        <v>18.3</v>
      </c>
      <c r="J588" s="18">
        <v>0</v>
      </c>
      <c r="K588" s="18">
        <v>0</v>
      </c>
      <c r="L588" s="18">
        <v>11.7</v>
      </c>
      <c r="M588" s="74" t="str">
        <f t="array" ref="M588">_xlfn.TEXTJOIN("-", TRUE, IF(C588:L588&gt;0, $C$2:$L$2, ""))</f>
        <v xml:space="preserve"> Ti-Zr-Nb-Sn</v>
      </c>
      <c r="N588" s="90">
        <f t="shared" si="18"/>
        <v>551</v>
      </c>
      <c r="O588" s="91">
        <f t="shared" si="19"/>
        <v>4</v>
      </c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8">
        <v>56</v>
      </c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10" t="s">
        <v>382</v>
      </c>
      <c r="AR588" s="32"/>
    </row>
    <row r="589" spans="1:44" ht="16.5">
      <c r="A589" s="29">
        <v>35</v>
      </c>
      <c r="B589" s="19"/>
      <c r="C589" s="18">
        <v>54</v>
      </c>
      <c r="D589" s="19">
        <v>0</v>
      </c>
      <c r="E589" s="18">
        <v>17.2</v>
      </c>
      <c r="F589" s="18">
        <v>0</v>
      </c>
      <c r="G589" s="18">
        <v>0</v>
      </c>
      <c r="H589" s="18">
        <v>0</v>
      </c>
      <c r="I589" s="18">
        <v>17.600000000000001</v>
      </c>
      <c r="J589" s="18">
        <v>0</v>
      </c>
      <c r="K589" s="18">
        <v>0</v>
      </c>
      <c r="L589" s="18">
        <v>11.2</v>
      </c>
      <c r="M589" s="74" t="str">
        <f t="array" ref="M589">_xlfn.TEXTJOIN("-", TRUE, IF(C589:L589&gt;0, $C$2:$L$2, ""))</f>
        <v xml:space="preserve"> Ti-Zr-Nb-Sn</v>
      </c>
      <c r="N589" s="90">
        <f t="shared" si="18"/>
        <v>551</v>
      </c>
      <c r="O589" s="91">
        <f t="shared" si="19"/>
        <v>4</v>
      </c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8">
        <v>63</v>
      </c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10" t="s">
        <v>382</v>
      </c>
      <c r="AR589" s="32"/>
    </row>
    <row r="590" spans="1:44" ht="16.5">
      <c r="A590" s="29">
        <v>42</v>
      </c>
      <c r="B590" s="19"/>
      <c r="C590" s="18">
        <v>56.1</v>
      </c>
      <c r="D590" s="19">
        <v>0</v>
      </c>
      <c r="E590" s="18">
        <v>8.1</v>
      </c>
      <c r="F590" s="18">
        <v>0</v>
      </c>
      <c r="G590" s="18">
        <v>0</v>
      </c>
      <c r="H590" s="18">
        <v>0</v>
      </c>
      <c r="I590" s="18">
        <v>25.2</v>
      </c>
      <c r="J590" s="18">
        <v>0</v>
      </c>
      <c r="K590" s="18">
        <v>0</v>
      </c>
      <c r="L590" s="18">
        <v>10.6</v>
      </c>
      <c r="M590" s="74" t="str">
        <f t="array" ref="M590">_xlfn.TEXTJOIN("-", TRUE, IF(C590:L590&gt;0, $C$2:$L$2, ""))</f>
        <v xml:space="preserve"> Ti-Zr-Nb-Sn</v>
      </c>
      <c r="N590" s="90">
        <f t="shared" si="18"/>
        <v>551</v>
      </c>
      <c r="O590" s="91">
        <f t="shared" si="19"/>
        <v>4</v>
      </c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8">
        <v>59</v>
      </c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10" t="s">
        <v>382</v>
      </c>
      <c r="AR590" s="32"/>
    </row>
    <row r="591" spans="1:44" ht="16.5">
      <c r="A591" s="29">
        <v>43</v>
      </c>
      <c r="B591" s="19"/>
      <c r="C591" s="18">
        <v>49.8</v>
      </c>
      <c r="D591" s="19">
        <v>0</v>
      </c>
      <c r="E591" s="18">
        <v>15.8</v>
      </c>
      <c r="F591" s="18">
        <v>0</v>
      </c>
      <c r="G591" s="18">
        <v>0</v>
      </c>
      <c r="H591" s="18">
        <v>0</v>
      </c>
      <c r="I591" s="18">
        <v>24.2</v>
      </c>
      <c r="J591" s="18">
        <v>0</v>
      </c>
      <c r="K591" s="18">
        <v>0</v>
      </c>
      <c r="L591" s="18">
        <v>10.199999999999999</v>
      </c>
      <c r="M591" s="74" t="str">
        <f t="array" ref="M591">_xlfn.TEXTJOIN("-", TRUE, IF(C591:L591&gt;0, $C$2:$L$2, ""))</f>
        <v xml:space="preserve"> Ti-Zr-Nb-Sn</v>
      </c>
      <c r="N591" s="90">
        <f t="shared" si="18"/>
        <v>551</v>
      </c>
      <c r="O591" s="91">
        <f t="shared" si="19"/>
        <v>4</v>
      </c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8">
        <v>64</v>
      </c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10" t="s">
        <v>382</v>
      </c>
      <c r="AR591" s="32"/>
    </row>
    <row r="592" spans="1:44" ht="16.5">
      <c r="A592" s="29">
        <v>73</v>
      </c>
      <c r="B592" s="19"/>
      <c r="C592" s="18">
        <v>78.16</v>
      </c>
      <c r="D592" s="19">
        <v>0</v>
      </c>
      <c r="E592" s="18">
        <v>15.38</v>
      </c>
      <c r="F592" s="18">
        <v>0</v>
      </c>
      <c r="G592" s="18">
        <v>0</v>
      </c>
      <c r="H592" s="18">
        <v>0</v>
      </c>
      <c r="I592" s="18">
        <v>2.52</v>
      </c>
      <c r="J592" s="18">
        <v>0</v>
      </c>
      <c r="K592" s="18">
        <v>0</v>
      </c>
      <c r="L592" s="18">
        <v>3.94</v>
      </c>
      <c r="M592" s="74" t="str">
        <f t="array" ref="M592">_xlfn.TEXTJOIN("-", TRUE, IF(C592:L592&gt;0, $C$2:$L$2, ""))</f>
        <v xml:space="preserve"> Ti-Zr-Nb-Sn</v>
      </c>
      <c r="N592" s="90">
        <f t="shared" si="18"/>
        <v>551</v>
      </c>
      <c r="O592" s="91">
        <f t="shared" si="19"/>
        <v>4</v>
      </c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8">
        <v>53</v>
      </c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10" t="s">
        <v>382</v>
      </c>
      <c r="AR592" s="32"/>
    </row>
    <row r="593" spans="1:44" ht="16.5">
      <c r="A593" s="29">
        <v>140</v>
      </c>
      <c r="B593" s="19"/>
      <c r="C593" s="18">
        <v>73.05</v>
      </c>
      <c r="D593" s="19">
        <v>0</v>
      </c>
      <c r="E593" s="18">
        <v>4.49</v>
      </c>
      <c r="F593" s="18">
        <v>0</v>
      </c>
      <c r="G593" s="18">
        <v>0</v>
      </c>
      <c r="H593" s="18">
        <v>0</v>
      </c>
      <c r="I593" s="18">
        <v>21.09</v>
      </c>
      <c r="J593" s="18">
        <v>0</v>
      </c>
      <c r="K593" s="18">
        <v>0</v>
      </c>
      <c r="L593" s="18">
        <v>1.37</v>
      </c>
      <c r="M593" s="74" t="str">
        <f t="array" ref="M593">_xlfn.TEXTJOIN("-", TRUE, IF(C593:L593&gt;0, $C$2:$L$2, ""))</f>
        <v xml:space="preserve"> Ti-Zr-Nb-Sn</v>
      </c>
      <c r="N593" s="90">
        <f t="shared" si="18"/>
        <v>551</v>
      </c>
      <c r="O593" s="91">
        <f t="shared" si="19"/>
        <v>4</v>
      </c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8">
        <v>54.2</v>
      </c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10" t="s">
        <v>382</v>
      </c>
      <c r="AR593" s="32"/>
    </row>
    <row r="594" spans="1:44" ht="16.5">
      <c r="A594" s="29">
        <v>161</v>
      </c>
      <c r="B594" s="19"/>
      <c r="C594" s="18">
        <v>76.47</v>
      </c>
      <c r="D594" s="19">
        <v>0</v>
      </c>
      <c r="E594" s="18">
        <v>5.88</v>
      </c>
      <c r="F594" s="18">
        <v>0</v>
      </c>
      <c r="G594" s="18">
        <v>0</v>
      </c>
      <c r="H594" s="18">
        <v>0</v>
      </c>
      <c r="I594" s="18">
        <v>11.78</v>
      </c>
      <c r="J594" s="18">
        <v>0</v>
      </c>
      <c r="K594" s="18">
        <v>0</v>
      </c>
      <c r="L594" s="18">
        <v>5.87</v>
      </c>
      <c r="M594" s="74" t="str">
        <f t="array" ref="M594">_xlfn.TEXTJOIN("-", TRUE, IF(C594:L594&gt;0, $C$2:$L$2, ""))</f>
        <v xml:space="preserve"> Ti-Zr-Nb-Sn</v>
      </c>
      <c r="N594" s="90">
        <f t="shared" si="18"/>
        <v>551</v>
      </c>
      <c r="O594" s="91">
        <f t="shared" si="19"/>
        <v>4</v>
      </c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8">
        <v>56</v>
      </c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10" t="s">
        <v>382</v>
      </c>
      <c r="AR594" s="32"/>
    </row>
    <row r="595" spans="1:44" ht="16.5">
      <c r="A595" s="29">
        <v>163</v>
      </c>
      <c r="B595" s="19"/>
      <c r="C595" s="18">
        <v>72.22</v>
      </c>
      <c r="D595" s="19">
        <v>0</v>
      </c>
      <c r="E595" s="18">
        <v>5.56</v>
      </c>
      <c r="F595" s="18">
        <v>0</v>
      </c>
      <c r="G595" s="18">
        <v>0</v>
      </c>
      <c r="H595" s="18">
        <v>0</v>
      </c>
      <c r="I595" s="18">
        <v>16.66</v>
      </c>
      <c r="J595" s="18">
        <v>0</v>
      </c>
      <c r="K595" s="18">
        <v>0</v>
      </c>
      <c r="L595" s="18">
        <v>5.56</v>
      </c>
      <c r="M595" s="74" t="str">
        <f t="array" ref="M595">_xlfn.TEXTJOIN("-", TRUE, IF(C595:L595&gt;0, $C$2:$L$2, ""))</f>
        <v xml:space="preserve"> Ti-Zr-Nb-Sn</v>
      </c>
      <c r="N595" s="90">
        <f t="shared" si="18"/>
        <v>551</v>
      </c>
      <c r="O595" s="91">
        <f t="shared" si="19"/>
        <v>4</v>
      </c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8">
        <v>59</v>
      </c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10" t="s">
        <v>382</v>
      </c>
      <c r="AR595" s="32"/>
    </row>
    <row r="596" spans="1:44" ht="16.5">
      <c r="A596" s="30">
        <v>164</v>
      </c>
      <c r="B596" s="24"/>
      <c r="C596" s="23">
        <v>66.67</v>
      </c>
      <c r="D596" s="24">
        <v>0</v>
      </c>
      <c r="E596" s="23">
        <v>11.11</v>
      </c>
      <c r="F596" s="23">
        <v>0</v>
      </c>
      <c r="G596" s="23">
        <v>0</v>
      </c>
      <c r="H596" s="23">
        <v>0</v>
      </c>
      <c r="I596" s="23">
        <v>16.66</v>
      </c>
      <c r="J596" s="23">
        <v>0</v>
      </c>
      <c r="K596" s="23">
        <v>0</v>
      </c>
      <c r="L596" s="23">
        <v>5.56</v>
      </c>
      <c r="M596" s="74" t="str">
        <f t="array" ref="M596">_xlfn.TEXTJOIN("-", TRUE, IF(C596:L596&gt;0, $C$2:$L$2, ""))</f>
        <v xml:space="preserve"> Ti-Zr-Nb-Sn</v>
      </c>
      <c r="N596" s="90">
        <f t="shared" si="18"/>
        <v>551</v>
      </c>
      <c r="O596" s="91">
        <f t="shared" si="19"/>
        <v>4</v>
      </c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3">
        <v>64</v>
      </c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77"/>
      <c r="AQ596" s="110" t="s">
        <v>382</v>
      </c>
      <c r="AR596" s="134"/>
    </row>
    <row r="597" spans="1:44" ht="16.5">
      <c r="A597" s="29">
        <v>167</v>
      </c>
      <c r="B597" s="24"/>
      <c r="C597" s="23">
        <v>72.22</v>
      </c>
      <c r="D597" s="24">
        <v>0</v>
      </c>
      <c r="E597" s="23">
        <v>5.56</v>
      </c>
      <c r="F597" s="23">
        <v>0</v>
      </c>
      <c r="G597" s="23">
        <v>0</v>
      </c>
      <c r="H597" s="23">
        <v>0</v>
      </c>
      <c r="I597" s="23">
        <v>16.66</v>
      </c>
      <c r="J597" s="23">
        <v>0</v>
      </c>
      <c r="K597" s="23">
        <v>0</v>
      </c>
      <c r="L597" s="23">
        <v>5.56</v>
      </c>
      <c r="M597" s="74" t="str">
        <f t="array" ref="M597">_xlfn.TEXTJOIN("-", TRUE, IF(C597:L597&gt;0, $C$2:$L$2, ""))</f>
        <v xml:space="preserve"> Ti-Zr-Nb-Sn</v>
      </c>
      <c r="N597" s="90">
        <f t="shared" si="18"/>
        <v>551</v>
      </c>
      <c r="O597" s="91">
        <f t="shared" si="19"/>
        <v>4</v>
      </c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3">
        <v>59</v>
      </c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19"/>
      <c r="AQ597" s="110" t="s">
        <v>382</v>
      </c>
      <c r="AR597" s="32"/>
    </row>
    <row r="598" spans="1:44" ht="16.5">
      <c r="A598" s="29">
        <v>168</v>
      </c>
      <c r="B598" s="24"/>
      <c r="C598" s="23">
        <v>66.67</v>
      </c>
      <c r="D598" s="24">
        <v>0</v>
      </c>
      <c r="E598" s="23">
        <v>11.11</v>
      </c>
      <c r="F598" s="23">
        <v>0</v>
      </c>
      <c r="G598" s="23">
        <v>0</v>
      </c>
      <c r="H598" s="23">
        <v>0</v>
      </c>
      <c r="I598" s="23">
        <v>16.66</v>
      </c>
      <c r="J598" s="23">
        <v>0</v>
      </c>
      <c r="K598" s="23">
        <v>0</v>
      </c>
      <c r="L598" s="23">
        <v>5.56</v>
      </c>
      <c r="M598" s="74" t="str">
        <f t="array" ref="M598">_xlfn.TEXTJOIN("-", TRUE, IF(C598:L598&gt;0, $C$2:$L$2, ""))</f>
        <v xml:space="preserve"> Ti-Zr-Nb-Sn</v>
      </c>
      <c r="N598" s="90">
        <f t="shared" si="18"/>
        <v>551</v>
      </c>
      <c r="O598" s="91">
        <f t="shared" si="19"/>
        <v>4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3">
        <v>64</v>
      </c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19"/>
      <c r="AQ598" s="119" t="s">
        <v>382</v>
      </c>
      <c r="AR598" s="32"/>
    </row>
    <row r="599" spans="1:44" ht="16.5">
      <c r="A599" s="29">
        <v>169</v>
      </c>
      <c r="B599" s="24"/>
      <c r="C599" s="23">
        <v>72.22</v>
      </c>
      <c r="D599" s="24">
        <v>0</v>
      </c>
      <c r="E599" s="23">
        <v>5.56</v>
      </c>
      <c r="F599" s="23">
        <v>0</v>
      </c>
      <c r="G599" s="23">
        <v>0</v>
      </c>
      <c r="H599" s="23">
        <v>0</v>
      </c>
      <c r="I599" s="23">
        <v>16.66</v>
      </c>
      <c r="J599" s="23">
        <v>0</v>
      </c>
      <c r="K599" s="23">
        <v>0</v>
      </c>
      <c r="L599" s="23">
        <v>5.56</v>
      </c>
      <c r="M599" s="74" t="str">
        <f t="array" ref="M599">_xlfn.TEXTJOIN("-", TRUE, IF(C599:L599&gt;0, $C$2:$L$2, ""))</f>
        <v xml:space="preserve"> Ti-Zr-Nb-Sn</v>
      </c>
      <c r="N599" s="90">
        <f t="shared" si="18"/>
        <v>551</v>
      </c>
      <c r="O599" s="91">
        <f t="shared" si="19"/>
        <v>4</v>
      </c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3">
        <v>59</v>
      </c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19"/>
      <c r="AQ599" s="110" t="s">
        <v>382</v>
      </c>
      <c r="AR599" s="32"/>
    </row>
    <row r="600" spans="1:44" ht="16.5">
      <c r="A600" s="29">
        <v>177</v>
      </c>
      <c r="B600" s="24"/>
      <c r="C600" s="23">
        <v>66.67</v>
      </c>
      <c r="D600" s="24">
        <v>0</v>
      </c>
      <c r="E600" s="23">
        <v>11.11</v>
      </c>
      <c r="F600" s="23">
        <v>0</v>
      </c>
      <c r="G600" s="23">
        <v>0</v>
      </c>
      <c r="H600" s="23">
        <v>0</v>
      </c>
      <c r="I600" s="23">
        <v>16.66</v>
      </c>
      <c r="J600" s="23">
        <v>0</v>
      </c>
      <c r="K600" s="23">
        <v>0</v>
      </c>
      <c r="L600" s="23">
        <v>5.56</v>
      </c>
      <c r="M600" s="74" t="str">
        <f t="array" ref="M600">_xlfn.TEXTJOIN("-", TRUE, IF(C600:L600&gt;0, $C$2:$L$2, ""))</f>
        <v xml:space="preserve"> Ti-Zr-Nb-Sn</v>
      </c>
      <c r="N600" s="90">
        <f t="shared" si="18"/>
        <v>551</v>
      </c>
      <c r="O600" s="91">
        <f t="shared" si="19"/>
        <v>4</v>
      </c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3">
        <v>64</v>
      </c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19"/>
      <c r="AQ600" s="110" t="s">
        <v>382</v>
      </c>
      <c r="AR600" s="32"/>
    </row>
    <row r="601" spans="1:44" ht="16.5">
      <c r="A601" s="29">
        <v>190</v>
      </c>
      <c r="B601" s="24"/>
      <c r="C601" s="23">
        <v>76</v>
      </c>
      <c r="D601" s="24">
        <v>0</v>
      </c>
      <c r="E601" s="23">
        <v>2.64</v>
      </c>
      <c r="F601" s="23">
        <v>0</v>
      </c>
      <c r="G601" s="23">
        <v>0</v>
      </c>
      <c r="H601" s="23">
        <v>0</v>
      </c>
      <c r="I601" s="23">
        <v>15.53</v>
      </c>
      <c r="J601" s="23">
        <v>0</v>
      </c>
      <c r="K601" s="23">
        <v>0</v>
      </c>
      <c r="L601" s="23">
        <v>5.83</v>
      </c>
      <c r="M601" s="74" t="str">
        <f t="array" ref="M601">_xlfn.TEXTJOIN("-", TRUE, IF(C601:L601&gt;0, $C$2:$L$2, ""))</f>
        <v xml:space="preserve"> Ti-Zr-Nb-Sn</v>
      </c>
      <c r="N601" s="90">
        <f t="shared" si="18"/>
        <v>551</v>
      </c>
      <c r="O601" s="91">
        <f t="shared" si="19"/>
        <v>4</v>
      </c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3">
        <v>88</v>
      </c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19"/>
      <c r="AQ601" s="110" t="s">
        <v>382</v>
      </c>
      <c r="AR601" s="32"/>
    </row>
    <row r="602" spans="1:44" ht="16.5">
      <c r="A602" s="29">
        <v>191</v>
      </c>
      <c r="B602" s="24"/>
      <c r="C602" s="23">
        <v>75.540000000000006</v>
      </c>
      <c r="D602" s="24">
        <v>0</v>
      </c>
      <c r="E602" s="23">
        <v>5.24</v>
      </c>
      <c r="F602" s="23">
        <v>0</v>
      </c>
      <c r="G602" s="23">
        <v>0</v>
      </c>
      <c r="H602" s="23">
        <v>0</v>
      </c>
      <c r="I602" s="23">
        <v>15.44</v>
      </c>
      <c r="J602" s="23">
        <v>0</v>
      </c>
      <c r="K602" s="23">
        <v>0</v>
      </c>
      <c r="L602" s="23">
        <v>3.78</v>
      </c>
      <c r="M602" s="74" t="str">
        <f t="array" ref="M602">_xlfn.TEXTJOIN("-", TRUE, IF(C602:L602&gt;0, $C$2:$L$2, ""))</f>
        <v xml:space="preserve"> Ti-Zr-Nb-Sn</v>
      </c>
      <c r="N602" s="90">
        <f t="shared" si="18"/>
        <v>551</v>
      </c>
      <c r="O602" s="91">
        <f t="shared" si="19"/>
        <v>4</v>
      </c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3">
        <v>79</v>
      </c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19"/>
      <c r="AQ602" s="110" t="s">
        <v>382</v>
      </c>
      <c r="AR602" s="32"/>
    </row>
    <row r="603" spans="1:44" ht="16.5">
      <c r="A603" s="30">
        <v>192</v>
      </c>
      <c r="B603" s="24"/>
      <c r="C603" s="23">
        <v>77.14</v>
      </c>
      <c r="D603" s="24">
        <v>0</v>
      </c>
      <c r="E603" s="23">
        <v>2.59</v>
      </c>
      <c r="F603" s="23">
        <v>0</v>
      </c>
      <c r="G603" s="23">
        <v>0</v>
      </c>
      <c r="H603" s="23">
        <v>0</v>
      </c>
      <c r="I603" s="23">
        <v>16.53</v>
      </c>
      <c r="J603" s="23">
        <v>0</v>
      </c>
      <c r="K603" s="23">
        <v>0</v>
      </c>
      <c r="L603" s="23">
        <v>3.74</v>
      </c>
      <c r="M603" s="74" t="str">
        <f t="array" ref="M603">_xlfn.TEXTJOIN("-", TRUE, IF(C603:L603&gt;0, $C$2:$L$2, ""))</f>
        <v xml:space="preserve"> Ti-Zr-Nb-Sn</v>
      </c>
      <c r="N603" s="90">
        <f t="shared" si="18"/>
        <v>551</v>
      </c>
      <c r="O603" s="91">
        <f t="shared" si="19"/>
        <v>4</v>
      </c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3">
        <v>61</v>
      </c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77"/>
      <c r="AQ603" s="119" t="s">
        <v>382</v>
      </c>
      <c r="AR603" s="134"/>
    </row>
    <row r="604" spans="1:44" ht="16.5">
      <c r="A604" s="29">
        <v>193</v>
      </c>
      <c r="B604" s="19"/>
      <c r="C604" s="18">
        <v>74.400000000000006</v>
      </c>
      <c r="D604" s="19">
        <v>0</v>
      </c>
      <c r="E604" s="18">
        <v>2.66</v>
      </c>
      <c r="F604" s="18">
        <v>0</v>
      </c>
      <c r="G604" s="18">
        <v>0</v>
      </c>
      <c r="H604" s="18">
        <v>0</v>
      </c>
      <c r="I604" s="18">
        <v>17.04</v>
      </c>
      <c r="J604" s="18">
        <v>0</v>
      </c>
      <c r="K604" s="18">
        <v>0</v>
      </c>
      <c r="L604" s="18">
        <v>5.9</v>
      </c>
      <c r="M604" s="74" t="str">
        <f t="array" ref="M604">_xlfn.TEXTJOIN("-", TRUE, IF(C604:L604&gt;0, $C$2:$L$2, ""))</f>
        <v xml:space="preserve"> Ti-Zr-Nb-Sn</v>
      </c>
      <c r="N604" s="90">
        <f t="shared" si="18"/>
        <v>551</v>
      </c>
      <c r="O604" s="91">
        <f t="shared" si="19"/>
        <v>4</v>
      </c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8">
        <v>54</v>
      </c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10" t="s">
        <v>382</v>
      </c>
      <c r="AR604" s="32"/>
    </row>
    <row r="605" spans="1:44" ht="16.5">
      <c r="A605" s="29">
        <v>194</v>
      </c>
      <c r="B605" s="19"/>
      <c r="C605" s="18">
        <v>79.099999999999994</v>
      </c>
      <c r="D605" s="19">
        <v>0</v>
      </c>
      <c r="E605" s="18">
        <v>2.57</v>
      </c>
      <c r="F605" s="18">
        <v>0</v>
      </c>
      <c r="G605" s="18">
        <v>0</v>
      </c>
      <c r="H605" s="18">
        <v>0</v>
      </c>
      <c r="I605" s="18">
        <v>12.64</v>
      </c>
      <c r="J605" s="18">
        <v>0</v>
      </c>
      <c r="K605" s="18">
        <v>0</v>
      </c>
      <c r="L605" s="18">
        <v>5.69</v>
      </c>
      <c r="M605" s="74" t="str">
        <f t="array" ref="M605">_xlfn.TEXTJOIN("-", TRUE, IF(C605:L605&gt;0, $C$2:$L$2, ""))</f>
        <v xml:space="preserve"> Ti-Zr-Nb-Sn</v>
      </c>
      <c r="N605" s="90">
        <f t="shared" si="18"/>
        <v>551</v>
      </c>
      <c r="O605" s="91">
        <f t="shared" si="19"/>
        <v>4</v>
      </c>
      <c r="P605" s="19"/>
      <c r="Q605" s="19"/>
      <c r="S605" s="19"/>
      <c r="T605" s="19"/>
      <c r="U605" s="19"/>
      <c r="V605" s="19"/>
      <c r="W605" s="19"/>
      <c r="X605" s="19"/>
      <c r="Y605" s="19"/>
      <c r="Z605" s="18">
        <v>77</v>
      </c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10" t="s">
        <v>382</v>
      </c>
      <c r="AR605" s="32"/>
    </row>
    <row r="606" spans="1:44" ht="16.5">
      <c r="A606" s="29">
        <v>195</v>
      </c>
      <c r="B606" s="19"/>
      <c r="C606" s="18">
        <v>80.16</v>
      </c>
      <c r="D606" s="19">
        <v>0</v>
      </c>
      <c r="E606" s="18">
        <v>2.5299999999999998</v>
      </c>
      <c r="F606" s="18">
        <v>0</v>
      </c>
      <c r="G606" s="18">
        <v>0</v>
      </c>
      <c r="H606" s="18">
        <v>0</v>
      </c>
      <c r="I606" s="18">
        <v>13.66</v>
      </c>
      <c r="J606" s="18">
        <v>0</v>
      </c>
      <c r="K606" s="18">
        <v>0</v>
      </c>
      <c r="L606" s="18">
        <v>3.65</v>
      </c>
      <c r="M606" s="74" t="str">
        <f t="array" ref="M606">_xlfn.TEXTJOIN("-", TRUE, IF(C606:L606&gt;0, $C$2:$L$2, ""))</f>
        <v xml:space="preserve"> Ti-Zr-Nb-Sn</v>
      </c>
      <c r="N606" s="90">
        <f t="shared" si="18"/>
        <v>551</v>
      </c>
      <c r="O606" s="91">
        <f t="shared" si="19"/>
        <v>4</v>
      </c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8">
        <v>61</v>
      </c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10" t="s">
        <v>382</v>
      </c>
      <c r="AR606" s="32"/>
    </row>
    <row r="607" spans="1:44" ht="16.5">
      <c r="A607" s="29">
        <v>196</v>
      </c>
      <c r="B607" s="19"/>
      <c r="C607" s="18">
        <v>79.73</v>
      </c>
      <c r="D607" s="19">
        <v>0</v>
      </c>
      <c r="E607" s="18">
        <v>2.52</v>
      </c>
      <c r="F607" s="18">
        <v>0</v>
      </c>
      <c r="G607" s="18">
        <v>0</v>
      </c>
      <c r="H607" s="18">
        <v>0</v>
      </c>
      <c r="I607" s="18">
        <v>16.059999999999999</v>
      </c>
      <c r="J607" s="18">
        <v>0</v>
      </c>
      <c r="K607" s="18">
        <v>0</v>
      </c>
      <c r="L607" s="18">
        <v>1.69</v>
      </c>
      <c r="M607" s="74" t="str">
        <f t="array" ref="M607">_xlfn.TEXTJOIN("-", TRUE, IF(C607:L607&gt;0, $C$2:$L$2, ""))</f>
        <v xml:space="preserve"> Ti-Zr-Nb-Sn</v>
      </c>
      <c r="N607" s="90">
        <f t="shared" si="18"/>
        <v>551</v>
      </c>
      <c r="O607" s="91">
        <f t="shared" si="19"/>
        <v>4</v>
      </c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8">
        <v>69</v>
      </c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10" t="s">
        <v>382</v>
      </c>
      <c r="AR607" s="32"/>
    </row>
    <row r="608" spans="1:44" ht="16.5">
      <c r="A608" s="29">
        <v>197</v>
      </c>
      <c r="B608" s="19"/>
      <c r="C608" s="18">
        <v>81.62</v>
      </c>
      <c r="D608" s="19">
        <v>0</v>
      </c>
      <c r="E608" s="18">
        <v>2.5</v>
      </c>
      <c r="F608" s="18">
        <v>0</v>
      </c>
      <c r="G608" s="18">
        <v>0</v>
      </c>
      <c r="H608" s="18">
        <v>0</v>
      </c>
      <c r="I608" s="18">
        <v>12.28</v>
      </c>
      <c r="J608" s="18">
        <v>0</v>
      </c>
      <c r="K608" s="18">
        <v>0</v>
      </c>
      <c r="L608" s="18">
        <v>3.6</v>
      </c>
      <c r="M608" s="74" t="str">
        <f t="array" ref="M608">_xlfn.TEXTJOIN("-", TRUE, IF(C608:L608&gt;0, $C$2:$L$2, ""))</f>
        <v xml:space="preserve"> Ti-Zr-Nb-Sn</v>
      </c>
      <c r="N608" s="90">
        <f t="shared" si="18"/>
        <v>551</v>
      </c>
      <c r="O608" s="91">
        <f t="shared" si="19"/>
        <v>4</v>
      </c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8">
        <v>73</v>
      </c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10" t="s">
        <v>382</v>
      </c>
      <c r="AR608" s="32"/>
    </row>
    <row r="609" spans="1:61" ht="16.5">
      <c r="A609" s="125">
        <v>138</v>
      </c>
      <c r="B609" s="126"/>
      <c r="C609" s="112">
        <v>58</v>
      </c>
      <c r="D609" s="112">
        <v>0</v>
      </c>
      <c r="E609" s="112">
        <v>6</v>
      </c>
      <c r="F609" s="112">
        <v>5</v>
      </c>
      <c r="G609" s="112">
        <v>0</v>
      </c>
      <c r="H609" s="112">
        <v>0</v>
      </c>
      <c r="I609" s="112">
        <v>31</v>
      </c>
      <c r="J609" s="112">
        <v>0</v>
      </c>
      <c r="K609" s="112">
        <v>0</v>
      </c>
      <c r="L609" s="112">
        <v>0</v>
      </c>
      <c r="M609" s="74" t="str">
        <f t="array" ref="M609">_xlfn.TEXTJOIN("-", TRUE, IF(C609:L609&gt;0, $C$2:$L$2, ""))</f>
        <v xml:space="preserve"> Ti-Zr-Mo-Nb</v>
      </c>
      <c r="N609" s="90">
        <f t="shared" si="18"/>
        <v>609</v>
      </c>
      <c r="O609" s="91">
        <f t="shared" si="19"/>
        <v>4</v>
      </c>
      <c r="P609" s="112">
        <v>1</v>
      </c>
      <c r="Q609" s="112">
        <v>1</v>
      </c>
      <c r="R609" s="112">
        <v>600</v>
      </c>
      <c r="S609" s="112">
        <v>75</v>
      </c>
      <c r="T609" s="112">
        <v>0</v>
      </c>
      <c r="U609" s="112">
        <v>0</v>
      </c>
      <c r="V609" s="112">
        <v>0</v>
      </c>
      <c r="W609" s="112">
        <v>0</v>
      </c>
      <c r="X609" s="112">
        <v>0</v>
      </c>
      <c r="Y609" s="112">
        <v>0</v>
      </c>
      <c r="Z609" s="126"/>
      <c r="AA609" s="126"/>
      <c r="AB609" s="112">
        <v>672</v>
      </c>
      <c r="AC609" s="112"/>
      <c r="AD609" s="112">
        <v>26.7</v>
      </c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 t="s">
        <v>158</v>
      </c>
      <c r="AO609" s="126" t="s">
        <v>159</v>
      </c>
      <c r="AP609" s="126">
        <v>23</v>
      </c>
      <c r="AQ609" s="124" t="s">
        <v>54</v>
      </c>
      <c r="AR609" s="125">
        <v>138</v>
      </c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</row>
    <row r="610" spans="1:61" ht="16.5">
      <c r="A610" s="125">
        <v>139</v>
      </c>
      <c r="B610" s="126"/>
      <c r="C610" s="112">
        <v>58</v>
      </c>
      <c r="D610" s="112">
        <v>0</v>
      </c>
      <c r="E610" s="112">
        <v>6</v>
      </c>
      <c r="F610" s="112">
        <v>5</v>
      </c>
      <c r="G610" s="112">
        <v>0</v>
      </c>
      <c r="H610" s="112">
        <v>0</v>
      </c>
      <c r="I610" s="112">
        <v>31</v>
      </c>
      <c r="J610" s="112">
        <v>0</v>
      </c>
      <c r="K610" s="112">
        <v>0</v>
      </c>
      <c r="L610" s="112">
        <v>0</v>
      </c>
      <c r="M610" s="74" t="str">
        <f t="array" ref="M610">_xlfn.TEXTJOIN("-", TRUE, IF(C610:L610&gt;0, $C$2:$L$2, ""))</f>
        <v xml:space="preserve"> Ti-Zr-Mo-Nb</v>
      </c>
      <c r="N610" s="90">
        <f t="shared" si="18"/>
        <v>609</v>
      </c>
      <c r="O610" s="91">
        <f t="shared" si="19"/>
        <v>4</v>
      </c>
      <c r="P610" s="112">
        <v>1</v>
      </c>
      <c r="Q610" s="112">
        <v>1</v>
      </c>
      <c r="R610" s="112">
        <v>600</v>
      </c>
      <c r="S610" s="112">
        <v>75</v>
      </c>
      <c r="T610" s="112">
        <v>800</v>
      </c>
      <c r="U610" s="112">
        <v>0.5</v>
      </c>
      <c r="V610" s="112">
        <v>1</v>
      </c>
      <c r="W610" s="112">
        <v>300</v>
      </c>
      <c r="X610" s="112">
        <v>2</v>
      </c>
      <c r="Y610" s="112">
        <v>1</v>
      </c>
      <c r="Z610" s="126"/>
      <c r="AA610" s="126"/>
      <c r="AB610" s="112">
        <v>747</v>
      </c>
      <c r="AC610" s="112"/>
      <c r="AD610" s="112">
        <v>20.6</v>
      </c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 t="s">
        <v>158</v>
      </c>
      <c r="AO610" s="126" t="s">
        <v>159</v>
      </c>
      <c r="AP610" s="126">
        <v>23</v>
      </c>
      <c r="AQ610" s="124" t="s">
        <v>54</v>
      </c>
      <c r="AR610" s="125">
        <v>139</v>
      </c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</row>
    <row r="611" spans="1:61" ht="16.5">
      <c r="A611" s="135">
        <v>63</v>
      </c>
      <c r="B611" s="108"/>
      <c r="C611" s="108">
        <v>60</v>
      </c>
      <c r="D611" s="108">
        <v>0</v>
      </c>
      <c r="E611" s="108">
        <v>4</v>
      </c>
      <c r="F611" s="108">
        <v>5</v>
      </c>
      <c r="G611" s="108">
        <v>0</v>
      </c>
      <c r="H611" s="108">
        <v>0</v>
      </c>
      <c r="I611" s="108">
        <v>31</v>
      </c>
      <c r="J611" s="108">
        <v>0</v>
      </c>
      <c r="K611" s="108">
        <v>0</v>
      </c>
      <c r="L611" s="108">
        <v>0</v>
      </c>
      <c r="M611" s="74" t="str">
        <f t="array" ref="M611">_xlfn.TEXTJOIN("-", TRUE, IF(C611:L611&gt;0, $C$2:$L$2, ""))</f>
        <v xml:space="preserve"> Ti-Zr-Mo-Nb</v>
      </c>
      <c r="N611" s="90">
        <f t="shared" si="18"/>
        <v>609</v>
      </c>
      <c r="O611" s="91">
        <f t="shared" si="19"/>
        <v>4</v>
      </c>
      <c r="P611" s="108">
        <v>1</v>
      </c>
      <c r="Q611" s="108">
        <v>1</v>
      </c>
      <c r="R611" s="108">
        <v>600</v>
      </c>
      <c r="S611" s="108">
        <v>75</v>
      </c>
      <c r="T611" s="108">
        <v>0</v>
      </c>
      <c r="U611" s="108">
        <v>0</v>
      </c>
      <c r="V611" s="108"/>
      <c r="W611" s="108">
        <v>0</v>
      </c>
      <c r="X611" s="108">
        <v>0</v>
      </c>
      <c r="Y611" s="108"/>
      <c r="Z611" s="108"/>
      <c r="AA611" s="108"/>
      <c r="AB611" s="108">
        <v>672</v>
      </c>
      <c r="AC611" s="108"/>
      <c r="AD611" s="108">
        <v>26.7</v>
      </c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8" t="s">
        <v>506</v>
      </c>
      <c r="AO611" s="108" t="s">
        <v>507</v>
      </c>
      <c r="AP611" s="136">
        <v>12</v>
      </c>
      <c r="AQ611" s="133" t="s">
        <v>374</v>
      </c>
      <c r="AR611" s="135">
        <v>63</v>
      </c>
    </row>
    <row r="612" spans="1:61" ht="16.5">
      <c r="A612" s="135">
        <v>64</v>
      </c>
      <c r="B612" s="108"/>
      <c r="C612" s="108">
        <v>60</v>
      </c>
      <c r="D612" s="108">
        <v>0</v>
      </c>
      <c r="E612" s="108">
        <v>4</v>
      </c>
      <c r="F612" s="108">
        <v>5</v>
      </c>
      <c r="G612" s="108">
        <v>0</v>
      </c>
      <c r="H612" s="108">
        <v>0</v>
      </c>
      <c r="I612" s="108">
        <v>31</v>
      </c>
      <c r="J612" s="108">
        <v>0</v>
      </c>
      <c r="K612" s="108">
        <v>0</v>
      </c>
      <c r="L612" s="108">
        <v>0</v>
      </c>
      <c r="M612" s="74" t="str">
        <f t="array" ref="M612">_xlfn.TEXTJOIN("-", TRUE, IF(C612:L612&gt;0, $C$2:$L$2, ""))</f>
        <v xml:space="preserve"> Ti-Zr-Mo-Nb</v>
      </c>
      <c r="N612" s="90">
        <f t="shared" si="18"/>
        <v>609</v>
      </c>
      <c r="O612" s="91">
        <f t="shared" si="19"/>
        <v>4</v>
      </c>
      <c r="P612" s="108">
        <v>1</v>
      </c>
      <c r="Q612" s="108">
        <v>1</v>
      </c>
      <c r="R612" s="108">
        <v>600</v>
      </c>
      <c r="S612" s="108">
        <v>75</v>
      </c>
      <c r="T612" s="108">
        <v>800</v>
      </c>
      <c r="U612" s="108">
        <v>0.5</v>
      </c>
      <c r="V612" s="108">
        <v>1</v>
      </c>
      <c r="W612" s="108">
        <v>300</v>
      </c>
      <c r="X612" s="108">
        <v>2</v>
      </c>
      <c r="Y612" s="108">
        <v>2</v>
      </c>
      <c r="Z612" s="108"/>
      <c r="AA612" s="108"/>
      <c r="AB612" s="108">
        <v>747</v>
      </c>
      <c r="AC612" s="108"/>
      <c r="AD612" s="108">
        <v>20.6</v>
      </c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8" t="s">
        <v>508</v>
      </c>
      <c r="AO612" s="108" t="s">
        <v>509</v>
      </c>
      <c r="AP612" s="136">
        <v>12</v>
      </c>
      <c r="AQ612" s="133" t="s">
        <v>374</v>
      </c>
      <c r="AR612" s="135">
        <v>64</v>
      </c>
    </row>
    <row r="613" spans="1:61" ht="16.5">
      <c r="A613" s="105">
        <v>367</v>
      </c>
      <c r="B613" s="21" t="s">
        <v>113</v>
      </c>
      <c r="C613" s="22">
        <v>69.510000000000005</v>
      </c>
      <c r="D613" s="22">
        <v>0</v>
      </c>
      <c r="E613" s="22">
        <v>8.1100000000000012</v>
      </c>
      <c r="F613" s="22">
        <v>5.1400000000000006</v>
      </c>
      <c r="G613" s="22">
        <v>0</v>
      </c>
      <c r="H613" s="22">
        <v>0</v>
      </c>
      <c r="I613" s="22">
        <v>17.239999999999998</v>
      </c>
      <c r="J613" s="22">
        <v>0</v>
      </c>
      <c r="K613" s="22">
        <v>0</v>
      </c>
      <c r="L613" s="22">
        <v>0</v>
      </c>
      <c r="M613" s="74" t="str">
        <f t="array" ref="M613">_xlfn.TEXTJOIN("-", TRUE, IF(C613:L613&gt;0, $C$2:$L$2, ""))</f>
        <v xml:space="preserve"> Ti-Zr-Mo-Nb</v>
      </c>
      <c r="N613" s="90">
        <f t="shared" si="18"/>
        <v>609</v>
      </c>
      <c r="O613" s="91">
        <f t="shared" si="19"/>
        <v>4</v>
      </c>
      <c r="P613" s="22">
        <v>1</v>
      </c>
      <c r="Q613" s="22">
        <v>1</v>
      </c>
      <c r="R613" s="21" t="s">
        <v>113</v>
      </c>
      <c r="S613" s="21" t="s">
        <v>113</v>
      </c>
      <c r="T613" s="21" t="s">
        <v>113</v>
      </c>
      <c r="U613" s="21" t="s">
        <v>113</v>
      </c>
      <c r="V613" s="21">
        <v>1</v>
      </c>
      <c r="W613" s="21" t="s">
        <v>113</v>
      </c>
      <c r="X613" s="21" t="s">
        <v>113</v>
      </c>
      <c r="Y613" s="21" t="s">
        <v>113</v>
      </c>
      <c r="Z613" s="22">
        <v>66.599999999999994</v>
      </c>
      <c r="AA613" s="21" t="s">
        <v>113</v>
      </c>
      <c r="AB613" s="21" t="s">
        <v>113</v>
      </c>
      <c r="AC613" s="22">
        <v>754.7</v>
      </c>
      <c r="AD613" s="21" t="s">
        <v>113</v>
      </c>
      <c r="AE613" s="21" t="s">
        <v>113</v>
      </c>
      <c r="AF613" s="21" t="s">
        <v>113</v>
      </c>
      <c r="AG613" s="21" t="s">
        <v>113</v>
      </c>
      <c r="AH613" s="21" t="s">
        <v>113</v>
      </c>
      <c r="AI613" s="21" t="s">
        <v>113</v>
      </c>
      <c r="AJ613" s="21" t="s">
        <v>113</v>
      </c>
      <c r="AK613" s="21" t="s">
        <v>113</v>
      </c>
      <c r="AL613" s="21" t="s">
        <v>113</v>
      </c>
      <c r="AM613" s="21"/>
      <c r="AN613" s="21" t="s">
        <v>113</v>
      </c>
      <c r="AO613" s="21" t="s">
        <v>174</v>
      </c>
      <c r="AP613" s="109">
        <v>367</v>
      </c>
      <c r="AQ613" s="110" t="s">
        <v>100</v>
      </c>
      <c r="AR613" s="105">
        <v>367</v>
      </c>
    </row>
    <row r="614" spans="1:61" ht="16.5">
      <c r="A614" s="105">
        <v>477</v>
      </c>
      <c r="B614" s="21" t="s">
        <v>113</v>
      </c>
      <c r="C614" s="22">
        <v>51.71</v>
      </c>
      <c r="D614" s="22">
        <v>0</v>
      </c>
      <c r="E614" s="22">
        <v>29.080000000000002</v>
      </c>
      <c r="F614" s="22">
        <v>1.46</v>
      </c>
      <c r="G614" s="22">
        <v>0</v>
      </c>
      <c r="H614" s="22">
        <v>0</v>
      </c>
      <c r="I614" s="22">
        <v>17.760000000000002</v>
      </c>
      <c r="J614" s="22">
        <v>0</v>
      </c>
      <c r="K614" s="22">
        <v>0</v>
      </c>
      <c r="L614" s="22">
        <v>0</v>
      </c>
      <c r="M614" s="74" t="str">
        <f t="array" ref="M614">_xlfn.TEXTJOIN("-", TRUE, IF(C614:L614&gt;0, $C$2:$L$2, ""))</f>
        <v xml:space="preserve"> Ti-Zr-Mo-Nb</v>
      </c>
      <c r="N614" s="90">
        <f t="shared" si="18"/>
        <v>609</v>
      </c>
      <c r="O614" s="91">
        <f t="shared" si="19"/>
        <v>4</v>
      </c>
      <c r="P614" s="22">
        <v>1</v>
      </c>
      <c r="Q614" s="22">
        <v>1</v>
      </c>
      <c r="R614" s="21" t="s">
        <v>113</v>
      </c>
      <c r="S614" s="21" t="s">
        <v>113</v>
      </c>
      <c r="T614" s="21" t="s">
        <v>113</v>
      </c>
      <c r="U614" s="21" t="s">
        <v>113</v>
      </c>
      <c r="V614" s="22">
        <v>1</v>
      </c>
      <c r="W614" s="21" t="s">
        <v>113</v>
      </c>
      <c r="X614" s="21" t="s">
        <v>113</v>
      </c>
      <c r="Y614" s="21" t="s">
        <v>113</v>
      </c>
      <c r="Z614" s="22">
        <v>64.2</v>
      </c>
      <c r="AA614" s="21" t="s">
        <v>113</v>
      </c>
      <c r="AB614" s="21" t="s">
        <v>113</v>
      </c>
      <c r="AC614" s="22">
        <v>714</v>
      </c>
      <c r="AD614" s="21" t="s">
        <v>113</v>
      </c>
      <c r="AE614" s="21" t="s">
        <v>113</v>
      </c>
      <c r="AF614" s="21" t="s">
        <v>113</v>
      </c>
      <c r="AG614" s="21" t="s">
        <v>113</v>
      </c>
      <c r="AH614" s="21" t="s">
        <v>113</v>
      </c>
      <c r="AI614" s="21" t="s">
        <v>113</v>
      </c>
      <c r="AJ614" s="21" t="s">
        <v>113</v>
      </c>
      <c r="AK614" s="21" t="s">
        <v>113</v>
      </c>
      <c r="AL614" s="21" t="s">
        <v>113</v>
      </c>
      <c r="AM614" s="21"/>
      <c r="AN614" s="21" t="s">
        <v>113</v>
      </c>
      <c r="AO614" s="21" t="s">
        <v>174</v>
      </c>
      <c r="AP614" s="109">
        <v>477</v>
      </c>
      <c r="AQ614" s="119" t="s">
        <v>100</v>
      </c>
      <c r="AR614" s="105">
        <v>477</v>
      </c>
    </row>
    <row r="615" spans="1:61" ht="16.5">
      <c r="A615" s="105">
        <v>485</v>
      </c>
      <c r="B615" s="21" t="s">
        <v>113</v>
      </c>
      <c r="C615" s="22">
        <v>82.13000000000001</v>
      </c>
      <c r="D615" s="22">
        <v>0</v>
      </c>
      <c r="E615" s="22">
        <v>3.9600000000000004</v>
      </c>
      <c r="F615" s="22">
        <v>7.9799999999999995</v>
      </c>
      <c r="G615" s="22">
        <v>0</v>
      </c>
      <c r="H615" s="22">
        <v>0</v>
      </c>
      <c r="I615" s="22">
        <v>5.93</v>
      </c>
      <c r="J615" s="22">
        <v>0</v>
      </c>
      <c r="K615" s="22">
        <v>0</v>
      </c>
      <c r="L615" s="22">
        <v>0</v>
      </c>
      <c r="M615" s="74" t="str">
        <f t="array" ref="M615">_xlfn.TEXTJOIN("-", TRUE, IF(C615:L615&gt;0, $C$2:$L$2, ""))</f>
        <v xml:space="preserve"> Ti-Zr-Mo-Nb</v>
      </c>
      <c r="N615" s="90">
        <f t="shared" si="18"/>
        <v>609</v>
      </c>
      <c r="O615" s="91">
        <f t="shared" si="19"/>
        <v>4</v>
      </c>
      <c r="P615" s="22">
        <v>1</v>
      </c>
      <c r="Q615" s="22">
        <v>1</v>
      </c>
      <c r="R615" s="21" t="s">
        <v>113</v>
      </c>
      <c r="S615" s="21" t="s">
        <v>113</v>
      </c>
      <c r="T615" s="21" t="s">
        <v>113</v>
      </c>
      <c r="U615" s="21" t="s">
        <v>113</v>
      </c>
      <c r="V615" s="22">
        <v>1</v>
      </c>
      <c r="W615" s="21" t="s">
        <v>113</v>
      </c>
      <c r="X615" s="21" t="s">
        <v>113</v>
      </c>
      <c r="Y615" s="21" t="s">
        <v>113</v>
      </c>
      <c r="Z615" s="22">
        <v>72</v>
      </c>
      <c r="AA615" s="21" t="s">
        <v>113</v>
      </c>
      <c r="AB615" s="21" t="s">
        <v>113</v>
      </c>
      <c r="AC615" s="22">
        <v>899</v>
      </c>
      <c r="AD615" s="21" t="s">
        <v>113</v>
      </c>
      <c r="AE615" s="21" t="s">
        <v>113</v>
      </c>
      <c r="AF615" s="21" t="s">
        <v>113</v>
      </c>
      <c r="AG615" s="21" t="s">
        <v>113</v>
      </c>
      <c r="AH615" s="21" t="s">
        <v>113</v>
      </c>
      <c r="AI615" s="21" t="s">
        <v>113</v>
      </c>
      <c r="AJ615" s="21" t="s">
        <v>113</v>
      </c>
      <c r="AK615" s="21" t="s">
        <v>113</v>
      </c>
      <c r="AL615" s="21" t="s">
        <v>113</v>
      </c>
      <c r="AM615" s="21"/>
      <c r="AN615" s="21" t="s">
        <v>113</v>
      </c>
      <c r="AO615" s="21" t="s">
        <v>174</v>
      </c>
      <c r="AP615" s="109">
        <v>485</v>
      </c>
      <c r="AQ615" s="110" t="s">
        <v>100</v>
      </c>
      <c r="AR615" s="105">
        <v>485</v>
      </c>
    </row>
    <row r="616" spans="1:61" ht="16.5">
      <c r="A616" s="105">
        <v>486</v>
      </c>
      <c r="B616" s="21" t="s">
        <v>113</v>
      </c>
      <c r="C616" s="22">
        <v>84.11</v>
      </c>
      <c r="D616" s="22">
        <v>0</v>
      </c>
      <c r="E616" s="22">
        <v>2.97</v>
      </c>
      <c r="F616" s="22">
        <v>7.9799999999999995</v>
      </c>
      <c r="G616" s="22">
        <v>0</v>
      </c>
      <c r="H616" s="22">
        <v>0</v>
      </c>
      <c r="I616" s="22">
        <v>4.9399999999999995</v>
      </c>
      <c r="J616" s="22">
        <v>0</v>
      </c>
      <c r="K616" s="22">
        <v>0</v>
      </c>
      <c r="L616" s="22">
        <v>0</v>
      </c>
      <c r="M616" s="74" t="str">
        <f t="array" ref="M616">_xlfn.TEXTJOIN("-", TRUE, IF(C616:L616&gt;0, $C$2:$L$2, ""))</f>
        <v xml:space="preserve"> Ti-Zr-Mo-Nb</v>
      </c>
      <c r="N616" s="90">
        <f t="shared" si="18"/>
        <v>609</v>
      </c>
      <c r="O616" s="91">
        <f t="shared" si="19"/>
        <v>4</v>
      </c>
      <c r="P616" s="22">
        <v>1</v>
      </c>
      <c r="Q616" s="22">
        <v>1</v>
      </c>
      <c r="R616" s="21" t="s">
        <v>113</v>
      </c>
      <c r="S616" s="21" t="s">
        <v>113</v>
      </c>
      <c r="T616" s="21" t="s">
        <v>113</v>
      </c>
      <c r="U616" s="21" t="s">
        <v>113</v>
      </c>
      <c r="V616" s="22">
        <v>1</v>
      </c>
      <c r="W616" s="21" t="s">
        <v>113</v>
      </c>
      <c r="X616" s="21" t="s">
        <v>113</v>
      </c>
      <c r="Y616" s="21" t="s">
        <v>113</v>
      </c>
      <c r="Z616" s="22">
        <v>69</v>
      </c>
      <c r="AA616" s="21" t="s">
        <v>113</v>
      </c>
      <c r="AB616" s="21" t="s">
        <v>113</v>
      </c>
      <c r="AC616" s="22">
        <v>947</v>
      </c>
      <c r="AD616" s="21" t="s">
        <v>113</v>
      </c>
      <c r="AE616" s="21" t="s">
        <v>113</v>
      </c>
      <c r="AF616" s="21" t="s">
        <v>113</v>
      </c>
      <c r="AG616" s="21" t="s">
        <v>113</v>
      </c>
      <c r="AH616" s="21" t="s">
        <v>113</v>
      </c>
      <c r="AI616" s="21" t="s">
        <v>113</v>
      </c>
      <c r="AJ616" s="21" t="s">
        <v>113</v>
      </c>
      <c r="AK616" s="21" t="s">
        <v>113</v>
      </c>
      <c r="AL616" s="21" t="s">
        <v>113</v>
      </c>
      <c r="AM616" s="21"/>
      <c r="AN616" s="21" t="s">
        <v>113</v>
      </c>
      <c r="AO616" s="21" t="s">
        <v>174</v>
      </c>
      <c r="AP616" s="109">
        <v>486</v>
      </c>
      <c r="AQ616" s="110" t="s">
        <v>100</v>
      </c>
      <c r="AR616" s="105">
        <v>486</v>
      </c>
    </row>
    <row r="617" spans="1:61" ht="16.5">
      <c r="A617" s="105">
        <v>487</v>
      </c>
      <c r="B617" s="21" t="s">
        <v>113</v>
      </c>
      <c r="C617" s="22">
        <v>84.04</v>
      </c>
      <c r="D617" s="22">
        <v>0</v>
      </c>
      <c r="E617" s="22">
        <v>5.0200000000000005</v>
      </c>
      <c r="F617" s="22">
        <v>7.9799999999999995</v>
      </c>
      <c r="G617" s="22">
        <v>0</v>
      </c>
      <c r="H617" s="22">
        <v>0</v>
      </c>
      <c r="I617" s="22">
        <v>2.96</v>
      </c>
      <c r="J617" s="22">
        <v>0</v>
      </c>
      <c r="K617" s="22">
        <v>0</v>
      </c>
      <c r="L617" s="22">
        <v>0</v>
      </c>
      <c r="M617" s="74" t="str">
        <f t="array" ref="M617">_xlfn.TEXTJOIN("-", TRUE, IF(C617:L617&gt;0, $C$2:$L$2, ""))</f>
        <v xml:space="preserve"> Ti-Zr-Mo-Nb</v>
      </c>
      <c r="N617" s="90">
        <f t="shared" si="18"/>
        <v>609</v>
      </c>
      <c r="O617" s="91">
        <f t="shared" si="19"/>
        <v>4</v>
      </c>
      <c r="P617" s="22">
        <v>1</v>
      </c>
      <c r="Q617" s="22">
        <v>1</v>
      </c>
      <c r="R617" s="21" t="s">
        <v>113</v>
      </c>
      <c r="S617" s="21" t="s">
        <v>113</v>
      </c>
      <c r="T617" s="21" t="s">
        <v>113</v>
      </c>
      <c r="U617" s="21" t="s">
        <v>113</v>
      </c>
      <c r="V617" s="22">
        <v>1</v>
      </c>
      <c r="W617" s="21" t="s">
        <v>113</v>
      </c>
      <c r="X617" s="21" t="s">
        <v>113</v>
      </c>
      <c r="Y617" s="21" t="s">
        <v>113</v>
      </c>
      <c r="Z617" s="22">
        <v>52</v>
      </c>
      <c r="AA617" s="21" t="s">
        <v>113</v>
      </c>
      <c r="AB617" s="21" t="s">
        <v>113</v>
      </c>
      <c r="AC617" s="22">
        <v>483</v>
      </c>
      <c r="AD617" s="21" t="s">
        <v>113</v>
      </c>
      <c r="AE617" s="21" t="s">
        <v>113</v>
      </c>
      <c r="AF617" s="21" t="s">
        <v>113</v>
      </c>
      <c r="AG617" s="21" t="s">
        <v>113</v>
      </c>
      <c r="AH617" s="21" t="s">
        <v>113</v>
      </c>
      <c r="AI617" s="21" t="s">
        <v>113</v>
      </c>
      <c r="AJ617" s="21" t="s">
        <v>113</v>
      </c>
      <c r="AK617" s="21" t="s">
        <v>113</v>
      </c>
      <c r="AL617" s="21" t="s">
        <v>113</v>
      </c>
      <c r="AM617" s="21"/>
      <c r="AN617" s="21" t="s">
        <v>113</v>
      </c>
      <c r="AO617" s="21" t="s">
        <v>174</v>
      </c>
      <c r="AP617" s="109">
        <v>487</v>
      </c>
      <c r="AQ617" s="110" t="s">
        <v>100</v>
      </c>
      <c r="AR617" s="105">
        <v>487</v>
      </c>
    </row>
    <row r="618" spans="1:61" ht="16.5">
      <c r="A618" s="29">
        <v>6</v>
      </c>
      <c r="B618" s="24"/>
      <c r="C618" s="23">
        <v>81.099999999999994</v>
      </c>
      <c r="D618" s="24">
        <v>0</v>
      </c>
      <c r="E618" s="23">
        <v>6.3</v>
      </c>
      <c r="F618" s="23">
        <v>6.3</v>
      </c>
      <c r="G618" s="23">
        <v>0</v>
      </c>
      <c r="H618" s="23">
        <v>0</v>
      </c>
      <c r="I618" s="23">
        <v>6.3</v>
      </c>
      <c r="J618" s="23">
        <v>0</v>
      </c>
      <c r="K618" s="23">
        <v>0</v>
      </c>
      <c r="L618" s="23">
        <v>0</v>
      </c>
      <c r="M618" s="74" t="str">
        <f t="array" ref="M618">_xlfn.TEXTJOIN("-", TRUE, IF(C618:L618&gt;0, $C$2:$L$2, ""))</f>
        <v xml:space="preserve"> Ti-Zr-Mo-Nb</v>
      </c>
      <c r="N618" s="90">
        <f t="shared" si="18"/>
        <v>609</v>
      </c>
      <c r="O618" s="91">
        <f t="shared" si="19"/>
        <v>4</v>
      </c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3">
        <v>75</v>
      </c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19"/>
      <c r="AQ618" s="110" t="s">
        <v>382</v>
      </c>
      <c r="AR618" s="32"/>
    </row>
    <row r="619" spans="1:61" ht="16.5">
      <c r="A619" s="30">
        <v>7</v>
      </c>
      <c r="B619" s="24"/>
      <c r="C619" s="23">
        <v>74.900000000000006</v>
      </c>
      <c r="D619" s="24">
        <v>0</v>
      </c>
      <c r="E619" s="23">
        <v>12.5</v>
      </c>
      <c r="F619" s="23">
        <v>6.3</v>
      </c>
      <c r="G619" s="23">
        <v>0</v>
      </c>
      <c r="H619" s="23">
        <v>0</v>
      </c>
      <c r="I619" s="23">
        <v>6.3</v>
      </c>
      <c r="J619" s="23">
        <v>0</v>
      </c>
      <c r="K619" s="23">
        <v>0</v>
      </c>
      <c r="L619" s="23">
        <v>0</v>
      </c>
      <c r="M619" s="74" t="str">
        <f t="array" ref="M619">_xlfn.TEXTJOIN("-", TRUE, IF(C619:L619&gt;0, $C$2:$L$2, ""))</f>
        <v xml:space="preserve"> Ti-Zr-Mo-Nb</v>
      </c>
      <c r="N619" s="90">
        <f t="shared" si="18"/>
        <v>609</v>
      </c>
      <c r="O619" s="91">
        <f t="shared" si="19"/>
        <v>4</v>
      </c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3">
        <v>68</v>
      </c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77"/>
      <c r="AQ619" s="110" t="s">
        <v>382</v>
      </c>
      <c r="AR619" s="134"/>
    </row>
    <row r="620" spans="1:61" ht="16.5">
      <c r="A620" s="29">
        <v>8</v>
      </c>
      <c r="B620" s="24"/>
      <c r="C620" s="23">
        <v>68.7</v>
      </c>
      <c r="D620" s="24">
        <v>0</v>
      </c>
      <c r="E620" s="23">
        <v>18.7</v>
      </c>
      <c r="F620" s="23">
        <v>6.3</v>
      </c>
      <c r="G620" s="23">
        <v>0</v>
      </c>
      <c r="H620" s="23">
        <v>0</v>
      </c>
      <c r="I620" s="23">
        <v>6.3</v>
      </c>
      <c r="J620" s="23">
        <v>0</v>
      </c>
      <c r="K620" s="23">
        <v>0</v>
      </c>
      <c r="L620" s="23">
        <v>0</v>
      </c>
      <c r="M620" s="74" t="str">
        <f t="array" ref="M620">_xlfn.TEXTJOIN("-", TRUE, IF(C620:L620&gt;0, $C$2:$L$2, ""))</f>
        <v xml:space="preserve"> Ti-Zr-Mo-Nb</v>
      </c>
      <c r="N620" s="90">
        <f t="shared" si="18"/>
        <v>609</v>
      </c>
      <c r="O620" s="91">
        <f t="shared" si="19"/>
        <v>4</v>
      </c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3">
        <v>79</v>
      </c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19"/>
      <c r="AQ620" s="119" t="s">
        <v>382</v>
      </c>
      <c r="AR620" s="32"/>
    </row>
    <row r="621" spans="1:61" ht="16.5">
      <c r="A621" s="29">
        <v>25</v>
      </c>
      <c r="B621" s="24"/>
      <c r="C621" s="23">
        <v>69</v>
      </c>
      <c r="D621" s="24">
        <v>0</v>
      </c>
      <c r="E621" s="23">
        <v>10.1</v>
      </c>
      <c r="F621" s="23">
        <v>10.6</v>
      </c>
      <c r="G621" s="23">
        <v>0</v>
      </c>
      <c r="H621" s="23">
        <v>0</v>
      </c>
      <c r="I621" s="23">
        <v>10.3</v>
      </c>
      <c r="J621" s="23">
        <v>0</v>
      </c>
      <c r="K621" s="23">
        <v>0</v>
      </c>
      <c r="L621" s="23">
        <v>0</v>
      </c>
      <c r="M621" s="74" t="str">
        <f t="array" ref="M621">_xlfn.TEXTJOIN("-", TRUE, IF(C621:L621&gt;0, $C$2:$L$2, ""))</f>
        <v xml:space="preserve"> Ti-Zr-Mo-Nb</v>
      </c>
      <c r="N621" s="90">
        <f t="shared" si="18"/>
        <v>609</v>
      </c>
      <c r="O621" s="91">
        <f t="shared" si="19"/>
        <v>4</v>
      </c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3">
        <v>75</v>
      </c>
      <c r="AA621" s="24"/>
      <c r="AB621" s="24"/>
      <c r="AC621" s="23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19"/>
      <c r="AQ621" s="110" t="s">
        <v>382</v>
      </c>
      <c r="AR621" s="32"/>
    </row>
    <row r="622" spans="1:61" ht="16.5">
      <c r="A622" s="29">
        <v>26</v>
      </c>
      <c r="B622" s="24"/>
      <c r="C622" s="23">
        <v>60.8</v>
      </c>
      <c r="D622" s="24">
        <v>0</v>
      </c>
      <c r="E622" s="23">
        <v>19.3</v>
      </c>
      <c r="F622" s="23">
        <v>10.1</v>
      </c>
      <c r="G622" s="23">
        <v>0</v>
      </c>
      <c r="H622" s="23">
        <v>0</v>
      </c>
      <c r="I622" s="23">
        <v>9.8000000000000007</v>
      </c>
      <c r="J622" s="23">
        <v>0</v>
      </c>
      <c r="K622" s="23">
        <v>0</v>
      </c>
      <c r="L622" s="23">
        <v>0</v>
      </c>
      <c r="M622" s="74" t="str">
        <f t="array" ref="M622">_xlfn.TEXTJOIN("-", TRUE, IF(C622:L622&gt;0, $C$2:$L$2, ""))</f>
        <v xml:space="preserve"> Ti-Zr-Mo-Nb</v>
      </c>
      <c r="N622" s="90">
        <f t="shared" si="18"/>
        <v>609</v>
      </c>
      <c r="O622" s="91">
        <f t="shared" si="19"/>
        <v>4</v>
      </c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3">
        <v>68</v>
      </c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19"/>
      <c r="AQ622" s="110" t="s">
        <v>382</v>
      </c>
      <c r="AR622" s="32"/>
    </row>
    <row r="623" spans="1:61" ht="16.5">
      <c r="A623" s="29">
        <v>27</v>
      </c>
      <c r="B623" s="24"/>
      <c r="C623" s="23">
        <v>63.3</v>
      </c>
      <c r="D623" s="24">
        <v>0</v>
      </c>
      <c r="E623" s="23">
        <v>17.7</v>
      </c>
      <c r="F623" s="23">
        <v>9.6</v>
      </c>
      <c r="G623" s="23">
        <v>0</v>
      </c>
      <c r="H623" s="23">
        <v>0</v>
      </c>
      <c r="I623" s="23">
        <v>9.4</v>
      </c>
      <c r="J623" s="23">
        <v>0</v>
      </c>
      <c r="K623" s="23">
        <v>0</v>
      </c>
      <c r="L623" s="23">
        <v>0</v>
      </c>
      <c r="M623" s="74" t="str">
        <f t="array" ref="M623">_xlfn.TEXTJOIN("-", TRUE, IF(C623:L623&gt;0, $C$2:$L$2, ""))</f>
        <v xml:space="preserve"> Ti-Zr-Mo-Nb</v>
      </c>
      <c r="N623" s="90">
        <f t="shared" si="18"/>
        <v>609</v>
      </c>
      <c r="O623" s="91">
        <f t="shared" si="19"/>
        <v>4</v>
      </c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3">
        <v>79</v>
      </c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19"/>
      <c r="AQ623" s="119" t="s">
        <v>382</v>
      </c>
      <c r="AR623" s="32"/>
    </row>
    <row r="624" spans="1:61" ht="16.5">
      <c r="A624" s="29">
        <v>32</v>
      </c>
      <c r="B624" s="24"/>
      <c r="C624" s="23">
        <v>62.5</v>
      </c>
      <c r="D624" s="24">
        <v>0</v>
      </c>
      <c r="E624" s="23">
        <v>9.1999999999999993</v>
      </c>
      <c r="F624" s="23">
        <v>9.6</v>
      </c>
      <c r="G624" s="23">
        <v>0</v>
      </c>
      <c r="H624" s="23">
        <v>0</v>
      </c>
      <c r="I624" s="23">
        <v>18.7</v>
      </c>
      <c r="J624" s="23">
        <v>0</v>
      </c>
      <c r="K624" s="23">
        <v>0</v>
      </c>
      <c r="L624" s="23">
        <v>0</v>
      </c>
      <c r="M624" s="74" t="str">
        <f t="array" ref="M624">_xlfn.TEXTJOIN("-", TRUE, IF(C624:L624&gt;0, $C$2:$L$2, ""))</f>
        <v xml:space="preserve"> Ti-Zr-Mo-Nb</v>
      </c>
      <c r="N624" s="90">
        <f t="shared" si="18"/>
        <v>609</v>
      </c>
      <c r="O624" s="91">
        <f t="shared" si="19"/>
        <v>4</v>
      </c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3">
        <v>72</v>
      </c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19"/>
      <c r="AQ624" s="110" t="s">
        <v>382</v>
      </c>
      <c r="AR624" s="32"/>
    </row>
    <row r="625" spans="1:61" ht="16.5">
      <c r="A625" s="29">
        <v>33</v>
      </c>
      <c r="B625" s="24"/>
      <c r="C625" s="23">
        <v>55.3</v>
      </c>
      <c r="D625" s="24">
        <v>0</v>
      </c>
      <c r="E625" s="23">
        <v>17.600000000000001</v>
      </c>
      <c r="F625" s="23">
        <v>9.1999999999999993</v>
      </c>
      <c r="G625" s="23">
        <v>0</v>
      </c>
      <c r="H625" s="23">
        <v>0</v>
      </c>
      <c r="I625" s="23">
        <v>17.899999999999999</v>
      </c>
      <c r="J625" s="23">
        <v>0</v>
      </c>
      <c r="K625" s="23">
        <v>0</v>
      </c>
      <c r="L625" s="23">
        <v>0</v>
      </c>
      <c r="M625" s="74" t="str">
        <f t="array" ref="M625">_xlfn.TEXTJOIN("-", TRUE, IF(C625:L625&gt;0, $C$2:$L$2, ""))</f>
        <v xml:space="preserve"> Ti-Zr-Mo-Nb</v>
      </c>
      <c r="N625" s="90">
        <f t="shared" si="18"/>
        <v>609</v>
      </c>
      <c r="O625" s="91">
        <f t="shared" si="19"/>
        <v>4</v>
      </c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3">
        <v>70</v>
      </c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19"/>
      <c r="AQ625" s="110" t="s">
        <v>382</v>
      </c>
      <c r="AR625" s="32"/>
    </row>
    <row r="626" spans="1:61" ht="16.5">
      <c r="A626" s="29">
        <v>40</v>
      </c>
      <c r="B626" s="24"/>
      <c r="C626" s="23">
        <v>57.2</v>
      </c>
      <c r="D626" s="24">
        <v>0</v>
      </c>
      <c r="E626" s="23">
        <v>8.4</v>
      </c>
      <c r="F626" s="23">
        <v>8.8000000000000007</v>
      </c>
      <c r="G626" s="23">
        <v>0</v>
      </c>
      <c r="H626" s="23">
        <v>0</v>
      </c>
      <c r="I626" s="23">
        <v>25.6</v>
      </c>
      <c r="J626" s="23">
        <v>0</v>
      </c>
      <c r="K626" s="23">
        <v>0</v>
      </c>
      <c r="L626" s="23">
        <v>0</v>
      </c>
      <c r="M626" s="74" t="str">
        <f t="array" ref="M626">_xlfn.TEXTJOIN("-", TRUE, IF(C626:L626&gt;0, $C$2:$L$2, ""))</f>
        <v xml:space="preserve"> Ti-Zr-Mo-Nb</v>
      </c>
      <c r="N626" s="90">
        <f t="shared" si="18"/>
        <v>609</v>
      </c>
      <c r="O626" s="91">
        <f t="shared" si="19"/>
        <v>4</v>
      </c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3">
        <v>70</v>
      </c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19"/>
      <c r="AQ626" s="110" t="s">
        <v>382</v>
      </c>
      <c r="AR626" s="32"/>
    </row>
    <row r="627" spans="1:61" ht="16.5">
      <c r="A627" s="29">
        <v>41</v>
      </c>
      <c r="B627" s="24"/>
      <c r="C627" s="23">
        <v>50.8</v>
      </c>
      <c r="D627" s="24">
        <v>0</v>
      </c>
      <c r="E627" s="23">
        <v>16.100000000000001</v>
      </c>
      <c r="F627" s="23">
        <v>8.5</v>
      </c>
      <c r="G627" s="23">
        <v>0</v>
      </c>
      <c r="H627" s="23">
        <v>0</v>
      </c>
      <c r="I627" s="23">
        <v>24.6</v>
      </c>
      <c r="J627" s="23">
        <v>0</v>
      </c>
      <c r="K627" s="23">
        <v>0</v>
      </c>
      <c r="L627" s="23">
        <v>0</v>
      </c>
      <c r="M627" s="74" t="str">
        <f t="array" ref="M627">_xlfn.TEXTJOIN("-", TRUE, IF(C627:L627&gt;0, $C$2:$L$2, ""))</f>
        <v xml:space="preserve"> Ti-Zr-Mo-Nb</v>
      </c>
      <c r="N627" s="90">
        <f t="shared" si="18"/>
        <v>609</v>
      </c>
      <c r="O627" s="91">
        <f t="shared" si="19"/>
        <v>4</v>
      </c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3">
        <v>69</v>
      </c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19"/>
      <c r="AQ627" s="110" t="s">
        <v>382</v>
      </c>
      <c r="AR627" s="32"/>
    </row>
    <row r="628" spans="1:61" ht="16.5">
      <c r="A628" s="30">
        <v>131</v>
      </c>
      <c r="B628" s="24"/>
      <c r="C628" s="23">
        <v>38.5</v>
      </c>
      <c r="D628" s="24">
        <v>0</v>
      </c>
      <c r="E628" s="23">
        <v>38.5</v>
      </c>
      <c r="F628" s="23">
        <v>8</v>
      </c>
      <c r="G628" s="23">
        <v>0</v>
      </c>
      <c r="H628" s="23">
        <v>0</v>
      </c>
      <c r="I628" s="23">
        <v>15</v>
      </c>
      <c r="J628" s="23">
        <v>0</v>
      </c>
      <c r="K628" s="23">
        <v>0</v>
      </c>
      <c r="L628" s="23">
        <v>0</v>
      </c>
      <c r="M628" s="74" t="str">
        <f t="array" ref="M628">_xlfn.TEXTJOIN("-", TRUE, IF(C628:L628&gt;0, $C$2:$L$2, ""))</f>
        <v xml:space="preserve"> Ti-Zr-Mo-Nb</v>
      </c>
      <c r="N628" s="90">
        <f t="shared" si="18"/>
        <v>609</v>
      </c>
      <c r="O628" s="91">
        <f t="shared" si="19"/>
        <v>4</v>
      </c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3">
        <v>96</v>
      </c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77"/>
      <c r="AQ628" s="110" t="s">
        <v>382</v>
      </c>
      <c r="AR628" s="134"/>
    </row>
    <row r="629" spans="1:61" ht="16.5">
      <c r="A629" s="29">
        <v>132</v>
      </c>
      <c r="B629" s="24"/>
      <c r="C629" s="23">
        <v>37.5</v>
      </c>
      <c r="D629" s="24">
        <v>0</v>
      </c>
      <c r="E629" s="23">
        <v>37.5</v>
      </c>
      <c r="F629" s="23">
        <v>10</v>
      </c>
      <c r="G629" s="23">
        <v>0</v>
      </c>
      <c r="H629" s="23">
        <v>0</v>
      </c>
      <c r="I629" s="23">
        <v>15</v>
      </c>
      <c r="J629" s="23">
        <v>0</v>
      </c>
      <c r="K629" s="23">
        <v>0</v>
      </c>
      <c r="L629" s="23">
        <v>0</v>
      </c>
      <c r="M629" s="74" t="str">
        <f t="array" ref="M629">_xlfn.TEXTJOIN("-", TRUE, IF(C629:L629&gt;0, $C$2:$L$2, ""))</f>
        <v xml:space="preserve"> Ti-Zr-Mo-Nb</v>
      </c>
      <c r="N629" s="90">
        <f t="shared" si="18"/>
        <v>609</v>
      </c>
      <c r="O629" s="91">
        <f t="shared" si="19"/>
        <v>4</v>
      </c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3">
        <v>97</v>
      </c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19"/>
      <c r="AQ629" s="110" t="s">
        <v>382</v>
      </c>
      <c r="AR629" s="32"/>
    </row>
    <row r="630" spans="1:61" ht="16.5">
      <c r="A630" s="29">
        <v>133</v>
      </c>
      <c r="B630" s="24"/>
      <c r="C630" s="23">
        <v>36</v>
      </c>
      <c r="D630" s="24">
        <v>0</v>
      </c>
      <c r="E630" s="23">
        <v>36</v>
      </c>
      <c r="F630" s="23">
        <v>13</v>
      </c>
      <c r="G630" s="23">
        <v>0</v>
      </c>
      <c r="H630" s="23">
        <v>0</v>
      </c>
      <c r="I630" s="23">
        <v>15</v>
      </c>
      <c r="J630" s="23">
        <v>0</v>
      </c>
      <c r="K630" s="23">
        <v>0</v>
      </c>
      <c r="L630" s="23">
        <v>0</v>
      </c>
      <c r="M630" s="74" t="str">
        <f t="array" ref="M630">_xlfn.TEXTJOIN("-", TRUE, IF(C630:L630&gt;0, $C$2:$L$2, ""))</f>
        <v xml:space="preserve"> Ti-Zr-Mo-Nb</v>
      </c>
      <c r="N630" s="90">
        <f t="shared" si="18"/>
        <v>609</v>
      </c>
      <c r="O630" s="91">
        <f t="shared" si="19"/>
        <v>4</v>
      </c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3">
        <v>104</v>
      </c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19"/>
      <c r="AQ630" s="119" t="s">
        <v>382</v>
      </c>
      <c r="AR630" s="32"/>
    </row>
    <row r="631" spans="1:61" ht="16.5">
      <c r="A631" s="29">
        <v>134</v>
      </c>
      <c r="B631" s="24"/>
      <c r="C631" s="23">
        <v>35</v>
      </c>
      <c r="D631" s="24">
        <v>0</v>
      </c>
      <c r="E631" s="23">
        <v>35</v>
      </c>
      <c r="F631" s="23">
        <v>15</v>
      </c>
      <c r="G631" s="23">
        <v>0</v>
      </c>
      <c r="H631" s="23">
        <v>0</v>
      </c>
      <c r="I631" s="23">
        <v>15</v>
      </c>
      <c r="J631" s="23">
        <v>0</v>
      </c>
      <c r="K631" s="23">
        <v>0</v>
      </c>
      <c r="L631" s="23">
        <v>0</v>
      </c>
      <c r="M631" s="74" t="str">
        <f t="array" ref="M631">_xlfn.TEXTJOIN("-", TRUE, IF(C631:L631&gt;0, $C$2:$L$2, ""))</f>
        <v xml:space="preserve"> Ti-Zr-Mo-Nb</v>
      </c>
      <c r="N631" s="90">
        <f t="shared" si="18"/>
        <v>609</v>
      </c>
      <c r="O631" s="91">
        <f t="shared" si="19"/>
        <v>4</v>
      </c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3">
        <v>105</v>
      </c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19"/>
      <c r="AQ631" s="110" t="s">
        <v>382</v>
      </c>
      <c r="AR631" s="32"/>
    </row>
    <row r="632" spans="1:61" ht="16.5">
      <c r="A632" s="30">
        <v>203</v>
      </c>
      <c r="B632" s="24"/>
      <c r="C632" s="23">
        <v>71.930000000000007</v>
      </c>
      <c r="D632" s="24">
        <v>0</v>
      </c>
      <c r="E632" s="23">
        <v>9.93</v>
      </c>
      <c r="F632" s="23">
        <v>1.89</v>
      </c>
      <c r="G632" s="23">
        <v>0</v>
      </c>
      <c r="H632" s="23">
        <v>0</v>
      </c>
      <c r="I632" s="23">
        <v>16.25</v>
      </c>
      <c r="J632" s="23">
        <v>0</v>
      </c>
      <c r="K632" s="23">
        <v>0</v>
      </c>
      <c r="L632" s="23">
        <v>0</v>
      </c>
      <c r="M632" s="74" t="str">
        <f t="array" ref="M632">_xlfn.TEXTJOIN("-", TRUE, IF(C632:L632&gt;0, $C$2:$L$2, ""))</f>
        <v xml:space="preserve"> Ti-Zr-Mo-Nb</v>
      </c>
      <c r="N632" s="90">
        <f t="shared" si="18"/>
        <v>609</v>
      </c>
      <c r="O632" s="91">
        <f t="shared" si="19"/>
        <v>4</v>
      </c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3">
        <v>75</v>
      </c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77"/>
      <c r="AQ632" s="110" t="s">
        <v>382</v>
      </c>
      <c r="AR632" s="134"/>
    </row>
    <row r="633" spans="1:61" ht="16.5">
      <c r="A633" s="29">
        <v>206</v>
      </c>
      <c r="B633" s="24"/>
      <c r="C633" s="23">
        <v>84.72</v>
      </c>
      <c r="D633" s="24">
        <v>0</v>
      </c>
      <c r="E633" s="23">
        <v>3</v>
      </c>
      <c r="F633" s="23">
        <v>3.43</v>
      </c>
      <c r="G633" s="23">
        <v>0</v>
      </c>
      <c r="H633" s="23">
        <v>0</v>
      </c>
      <c r="I633" s="23">
        <v>8.85</v>
      </c>
      <c r="J633" s="23">
        <v>0</v>
      </c>
      <c r="K633" s="23">
        <v>0</v>
      </c>
      <c r="L633" s="23">
        <v>0</v>
      </c>
      <c r="M633" s="74" t="str">
        <f t="array" ref="M633">_xlfn.TEXTJOIN("-", TRUE, IF(C633:L633&gt;0, $C$2:$L$2, ""))</f>
        <v xml:space="preserve"> Ti-Zr-Mo-Nb</v>
      </c>
      <c r="N633" s="90">
        <f t="shared" si="18"/>
        <v>609</v>
      </c>
      <c r="O633" s="91">
        <f t="shared" si="19"/>
        <v>4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3">
        <v>84</v>
      </c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19"/>
      <c r="AQ633" s="110" t="s">
        <v>382</v>
      </c>
      <c r="AR633" s="32"/>
    </row>
    <row r="634" spans="1:61" ht="16.5">
      <c r="A634" s="29">
        <v>207</v>
      </c>
      <c r="B634" s="24"/>
      <c r="C634" s="23">
        <v>79.760000000000005</v>
      </c>
      <c r="D634" s="24">
        <v>0</v>
      </c>
      <c r="E634" s="23">
        <v>3.13</v>
      </c>
      <c r="F634" s="23">
        <v>1.78</v>
      </c>
      <c r="G634" s="23">
        <v>0</v>
      </c>
      <c r="H634" s="23">
        <v>0</v>
      </c>
      <c r="I634" s="23">
        <v>15.33</v>
      </c>
      <c r="J634" s="23">
        <v>0</v>
      </c>
      <c r="K634" s="23">
        <v>0</v>
      </c>
      <c r="L634" s="23">
        <v>0</v>
      </c>
      <c r="M634" s="74" t="str">
        <f t="array" ref="M634">_xlfn.TEXTJOIN("-", TRUE, IF(C634:L634&gt;0, $C$2:$L$2, ""))</f>
        <v xml:space="preserve"> Ti-Zr-Mo-Nb</v>
      </c>
      <c r="N634" s="90">
        <f t="shared" si="18"/>
        <v>609</v>
      </c>
      <c r="O634" s="91">
        <f t="shared" si="19"/>
        <v>4</v>
      </c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3">
        <v>67</v>
      </c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19"/>
      <c r="AQ634" s="119" t="s">
        <v>382</v>
      </c>
      <c r="AR634" s="32"/>
    </row>
    <row r="635" spans="1:61" ht="16.5">
      <c r="A635" s="120">
        <v>140</v>
      </c>
      <c r="B635" s="121"/>
      <c r="C635" s="106">
        <v>69</v>
      </c>
      <c r="D635" s="106">
        <v>0</v>
      </c>
      <c r="E635" s="106">
        <v>0</v>
      </c>
      <c r="F635" s="106">
        <v>2</v>
      </c>
      <c r="G635" s="106">
        <v>0</v>
      </c>
      <c r="H635" s="106">
        <v>0</v>
      </c>
      <c r="I635" s="106">
        <v>25</v>
      </c>
      <c r="J635" s="106">
        <v>0</v>
      </c>
      <c r="K635" s="106">
        <v>0</v>
      </c>
      <c r="L635" s="106">
        <v>4</v>
      </c>
      <c r="M635" s="74" t="str">
        <f t="array" ref="M635">_xlfn.TEXTJOIN("-", TRUE, IF(C635:L635&gt;0, $C$2:$L$2, ""))</f>
        <v xml:space="preserve"> Ti-Mo-Nb-Sn</v>
      </c>
      <c r="N635" s="90">
        <f t="shared" si="18"/>
        <v>635</v>
      </c>
      <c r="O635" s="91">
        <f t="shared" si="19"/>
        <v>4</v>
      </c>
      <c r="P635" s="106">
        <v>1</v>
      </c>
      <c r="Q635" s="106">
        <v>1</v>
      </c>
      <c r="R635" s="106">
        <v>20</v>
      </c>
      <c r="S635" s="106">
        <v>70</v>
      </c>
      <c r="T635" s="106">
        <v>0</v>
      </c>
      <c r="U635" s="106">
        <v>0</v>
      </c>
      <c r="V635" s="106">
        <v>0</v>
      </c>
      <c r="W635" s="106">
        <v>0</v>
      </c>
      <c r="X635" s="106">
        <v>0</v>
      </c>
      <c r="Y635" s="106">
        <v>0</v>
      </c>
      <c r="Z635" s="121"/>
      <c r="AA635" s="121"/>
      <c r="AB635" s="106">
        <v>813</v>
      </c>
      <c r="AC635" s="106"/>
      <c r="AD635" s="106">
        <v>5.22</v>
      </c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 t="s">
        <v>161</v>
      </c>
      <c r="AO635" s="121" t="s">
        <v>162</v>
      </c>
      <c r="AP635" s="123">
        <v>24</v>
      </c>
      <c r="AQ635" s="124" t="s">
        <v>54</v>
      </c>
      <c r="AR635" s="120">
        <v>140</v>
      </c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</row>
    <row r="636" spans="1:61" ht="16.5">
      <c r="A636" s="125">
        <v>141</v>
      </c>
      <c r="B636" s="121"/>
      <c r="C636" s="106">
        <v>69</v>
      </c>
      <c r="D636" s="106">
        <v>0</v>
      </c>
      <c r="E636" s="106">
        <v>0</v>
      </c>
      <c r="F636" s="106">
        <v>2</v>
      </c>
      <c r="G636" s="106">
        <v>0</v>
      </c>
      <c r="H636" s="106">
        <v>0</v>
      </c>
      <c r="I636" s="106">
        <v>25</v>
      </c>
      <c r="J636" s="106">
        <v>0</v>
      </c>
      <c r="K636" s="106">
        <v>0</v>
      </c>
      <c r="L636" s="106">
        <v>4</v>
      </c>
      <c r="M636" s="74" t="str">
        <f t="array" ref="M636">_xlfn.TEXTJOIN("-", TRUE, IF(C636:L636&gt;0, $C$2:$L$2, ""))</f>
        <v xml:space="preserve"> Ti-Mo-Nb-Sn</v>
      </c>
      <c r="N636" s="90">
        <f t="shared" si="18"/>
        <v>635</v>
      </c>
      <c r="O636" s="91">
        <f t="shared" si="19"/>
        <v>4</v>
      </c>
      <c r="P636" s="106">
        <v>1</v>
      </c>
      <c r="Q636" s="106">
        <v>1</v>
      </c>
      <c r="R636" s="106">
        <v>20</v>
      </c>
      <c r="S636" s="106">
        <v>70</v>
      </c>
      <c r="T636" s="106">
        <v>475</v>
      </c>
      <c r="U636" s="106">
        <v>0.25</v>
      </c>
      <c r="V636" s="106">
        <v>1</v>
      </c>
      <c r="W636" s="106">
        <v>0</v>
      </c>
      <c r="X636" s="106">
        <v>0</v>
      </c>
      <c r="Y636" s="106">
        <v>0</v>
      </c>
      <c r="Z636" s="121"/>
      <c r="AA636" s="121"/>
      <c r="AB636" s="106">
        <v>1113</v>
      </c>
      <c r="AC636" s="106"/>
      <c r="AD636" s="106">
        <v>3.62</v>
      </c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 t="s">
        <v>161</v>
      </c>
      <c r="AO636" s="121" t="s">
        <v>162</v>
      </c>
      <c r="AP636" s="126">
        <v>24</v>
      </c>
      <c r="AQ636" s="124" t="s">
        <v>54</v>
      </c>
      <c r="AR636" s="125">
        <v>141</v>
      </c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</row>
    <row r="637" spans="1:61" ht="16.5">
      <c r="A637" s="105">
        <v>368</v>
      </c>
      <c r="B637" s="21" t="s">
        <v>113</v>
      </c>
      <c r="C637" s="22">
        <v>78.72</v>
      </c>
      <c r="D637" s="22">
        <v>0</v>
      </c>
      <c r="E637" s="22">
        <v>0</v>
      </c>
      <c r="F637" s="22">
        <v>0.6</v>
      </c>
      <c r="G637" s="22">
        <v>0</v>
      </c>
      <c r="H637" s="22">
        <v>0</v>
      </c>
      <c r="I637" s="22">
        <v>18.72</v>
      </c>
      <c r="J637" s="22">
        <v>0</v>
      </c>
      <c r="K637" s="22">
        <v>0</v>
      </c>
      <c r="L637" s="22">
        <v>1.95</v>
      </c>
      <c r="M637" s="74" t="str">
        <f t="array" ref="M637">_xlfn.TEXTJOIN("-", TRUE, IF(C637:L637&gt;0, $C$2:$L$2, ""))</f>
        <v xml:space="preserve"> Ti-Mo-Nb-Sn</v>
      </c>
      <c r="N637" s="90">
        <f t="shared" si="18"/>
        <v>635</v>
      </c>
      <c r="O637" s="91">
        <f t="shared" si="19"/>
        <v>4</v>
      </c>
      <c r="P637" s="22">
        <v>1</v>
      </c>
      <c r="Q637" s="22">
        <v>1</v>
      </c>
      <c r="R637" s="21" t="s">
        <v>113</v>
      </c>
      <c r="S637" s="21" t="s">
        <v>113</v>
      </c>
      <c r="T637" s="21" t="s">
        <v>113</v>
      </c>
      <c r="U637" s="21" t="s">
        <v>113</v>
      </c>
      <c r="V637" s="21">
        <v>1</v>
      </c>
      <c r="W637" s="21" t="s">
        <v>113</v>
      </c>
      <c r="X637" s="21" t="s">
        <v>113</v>
      </c>
      <c r="Y637" s="21" t="s">
        <v>113</v>
      </c>
      <c r="Z637" s="22">
        <v>46</v>
      </c>
      <c r="AA637" s="21" t="s">
        <v>113</v>
      </c>
      <c r="AB637" s="21" t="s">
        <v>113</v>
      </c>
      <c r="AC637" s="22">
        <v>130</v>
      </c>
      <c r="AD637" s="21" t="s">
        <v>113</v>
      </c>
      <c r="AE637" s="21" t="s">
        <v>113</v>
      </c>
      <c r="AF637" s="21" t="s">
        <v>113</v>
      </c>
      <c r="AG637" s="21" t="s">
        <v>113</v>
      </c>
      <c r="AH637" s="21" t="s">
        <v>113</v>
      </c>
      <c r="AI637" s="21" t="s">
        <v>113</v>
      </c>
      <c r="AJ637" s="21" t="s">
        <v>113</v>
      </c>
      <c r="AK637" s="21" t="s">
        <v>113</v>
      </c>
      <c r="AL637" s="21" t="s">
        <v>113</v>
      </c>
      <c r="AM637" s="21"/>
      <c r="AN637" s="21" t="s">
        <v>113</v>
      </c>
      <c r="AO637" s="21" t="s">
        <v>174</v>
      </c>
      <c r="AP637" s="109">
        <v>368</v>
      </c>
      <c r="AQ637" s="110" t="s">
        <v>100</v>
      </c>
      <c r="AR637" s="105">
        <v>368</v>
      </c>
    </row>
    <row r="638" spans="1:61" ht="16.5">
      <c r="A638" s="105">
        <v>478</v>
      </c>
      <c r="B638" s="21" t="s">
        <v>113</v>
      </c>
      <c r="C638" s="22">
        <v>78.72</v>
      </c>
      <c r="D638" s="22">
        <v>0</v>
      </c>
      <c r="E638" s="22">
        <v>0</v>
      </c>
      <c r="F638" s="22">
        <v>0.6</v>
      </c>
      <c r="G638" s="22">
        <v>0</v>
      </c>
      <c r="H638" s="22">
        <v>0</v>
      </c>
      <c r="I638" s="22">
        <v>18.72</v>
      </c>
      <c r="J638" s="22">
        <v>0</v>
      </c>
      <c r="K638" s="22">
        <v>0</v>
      </c>
      <c r="L638" s="22">
        <v>1.95</v>
      </c>
      <c r="M638" s="74" t="str">
        <f t="array" ref="M638">_xlfn.TEXTJOIN("-", TRUE, IF(C638:L638&gt;0, $C$2:$L$2, ""))</f>
        <v xml:space="preserve"> Ti-Mo-Nb-Sn</v>
      </c>
      <c r="N638" s="90">
        <f t="shared" si="18"/>
        <v>635</v>
      </c>
      <c r="O638" s="91">
        <f t="shared" si="19"/>
        <v>4</v>
      </c>
      <c r="P638" s="22">
        <v>1</v>
      </c>
      <c r="Q638" s="22">
        <v>1</v>
      </c>
      <c r="R638" s="21" t="s">
        <v>113</v>
      </c>
      <c r="S638" s="21" t="s">
        <v>113</v>
      </c>
      <c r="T638" s="21" t="s">
        <v>113</v>
      </c>
      <c r="U638" s="21" t="s">
        <v>113</v>
      </c>
      <c r="V638" s="22">
        <v>1</v>
      </c>
      <c r="W638" s="21" t="s">
        <v>113</v>
      </c>
      <c r="X638" s="21" t="s">
        <v>113</v>
      </c>
      <c r="Y638" s="21" t="s">
        <v>113</v>
      </c>
      <c r="Z638" s="22">
        <v>45</v>
      </c>
      <c r="AA638" s="21" t="s">
        <v>113</v>
      </c>
      <c r="AB638" s="21" t="s">
        <v>113</v>
      </c>
      <c r="AC638" s="22">
        <v>220</v>
      </c>
      <c r="AD638" s="21" t="s">
        <v>113</v>
      </c>
      <c r="AE638" s="21" t="s">
        <v>113</v>
      </c>
      <c r="AF638" s="21" t="s">
        <v>113</v>
      </c>
      <c r="AG638" s="21" t="s">
        <v>113</v>
      </c>
      <c r="AH638" s="21" t="s">
        <v>113</v>
      </c>
      <c r="AI638" s="21" t="s">
        <v>113</v>
      </c>
      <c r="AJ638" s="21" t="s">
        <v>113</v>
      </c>
      <c r="AK638" s="21" t="s">
        <v>113</v>
      </c>
      <c r="AL638" s="21" t="s">
        <v>113</v>
      </c>
      <c r="AM638" s="21"/>
      <c r="AN638" s="21" t="s">
        <v>113</v>
      </c>
      <c r="AO638" s="21" t="s">
        <v>174</v>
      </c>
      <c r="AP638" s="109">
        <v>478</v>
      </c>
      <c r="AQ638" s="110" t="s">
        <v>100</v>
      </c>
      <c r="AR638" s="105">
        <v>478</v>
      </c>
    </row>
    <row r="639" spans="1:61" ht="16.5">
      <c r="A639" s="105">
        <v>374</v>
      </c>
      <c r="B639" s="21" t="s">
        <v>113</v>
      </c>
      <c r="C639" s="22">
        <v>81.67</v>
      </c>
      <c r="D639" s="22">
        <v>0</v>
      </c>
      <c r="E639" s="22">
        <v>0</v>
      </c>
      <c r="F639" s="22">
        <v>1.18</v>
      </c>
      <c r="G639" s="22">
        <v>0</v>
      </c>
      <c r="H639" s="22">
        <v>0</v>
      </c>
      <c r="I639" s="22">
        <v>15.24</v>
      </c>
      <c r="J639" s="22">
        <v>0</v>
      </c>
      <c r="K639" s="22">
        <v>0</v>
      </c>
      <c r="L639" s="22">
        <v>1.91</v>
      </c>
      <c r="M639" s="74" t="str">
        <f t="array" ref="M639">_xlfn.TEXTJOIN("-", TRUE, IF(C639:L639&gt;0, $C$2:$L$2, ""))</f>
        <v xml:space="preserve"> Ti-Mo-Nb-Sn</v>
      </c>
      <c r="N639" s="90">
        <f t="shared" si="18"/>
        <v>635</v>
      </c>
      <c r="O639" s="91">
        <f t="shared" si="19"/>
        <v>4</v>
      </c>
      <c r="P639" s="22">
        <v>1</v>
      </c>
      <c r="Q639" s="22">
        <v>1</v>
      </c>
      <c r="R639" s="21" t="s">
        <v>113</v>
      </c>
      <c r="S639" s="21" t="s">
        <v>113</v>
      </c>
      <c r="T639" s="21" t="s">
        <v>113</v>
      </c>
      <c r="U639" s="21" t="s">
        <v>113</v>
      </c>
      <c r="V639" s="21">
        <v>1</v>
      </c>
      <c r="W639" s="21" t="s">
        <v>113</v>
      </c>
      <c r="X639" s="21" t="s">
        <v>113</v>
      </c>
      <c r="Y639" s="21" t="s">
        <v>113</v>
      </c>
      <c r="Z639" s="22">
        <v>53.1</v>
      </c>
      <c r="AA639" s="21" t="s">
        <v>113</v>
      </c>
      <c r="AB639" s="21" t="s">
        <v>113</v>
      </c>
      <c r="AC639" s="22">
        <v>361</v>
      </c>
      <c r="AD639" s="21" t="s">
        <v>113</v>
      </c>
      <c r="AE639" s="21" t="s">
        <v>113</v>
      </c>
      <c r="AF639" s="21" t="s">
        <v>113</v>
      </c>
      <c r="AG639" s="21" t="s">
        <v>113</v>
      </c>
      <c r="AH639" s="21" t="s">
        <v>113</v>
      </c>
      <c r="AI639" s="21" t="s">
        <v>113</v>
      </c>
      <c r="AJ639" s="21" t="s">
        <v>113</v>
      </c>
      <c r="AK639" s="21" t="s">
        <v>113</v>
      </c>
      <c r="AL639" s="21" t="s">
        <v>113</v>
      </c>
      <c r="AM639" s="21"/>
      <c r="AN639" s="21" t="s">
        <v>113</v>
      </c>
      <c r="AO639" s="21" t="s">
        <v>174</v>
      </c>
      <c r="AP639" s="109">
        <v>374</v>
      </c>
      <c r="AQ639" s="119" t="s">
        <v>100</v>
      </c>
      <c r="AR639" s="105">
        <v>374</v>
      </c>
    </row>
    <row r="640" spans="1:61" ht="16.5">
      <c r="A640" s="29">
        <v>31</v>
      </c>
      <c r="B640" s="24"/>
      <c r="C640" s="23">
        <v>69.599999999999994</v>
      </c>
      <c r="D640" s="24">
        <v>0</v>
      </c>
      <c r="E640" s="23">
        <v>0</v>
      </c>
      <c r="F640" s="23">
        <v>4.9000000000000004</v>
      </c>
      <c r="G640" s="23">
        <v>0</v>
      </c>
      <c r="H640" s="23">
        <v>0</v>
      </c>
      <c r="I640" s="23">
        <v>19.399999999999999</v>
      </c>
      <c r="J640" s="23">
        <v>0</v>
      </c>
      <c r="K640" s="23">
        <v>0</v>
      </c>
      <c r="L640" s="23">
        <v>6.1</v>
      </c>
      <c r="M640" s="74" t="str">
        <f t="array" ref="M640">_xlfn.TEXTJOIN("-", TRUE, IF(C640:L640&gt;0, $C$2:$L$2, ""))</f>
        <v xml:space="preserve"> Ti-Mo-Nb-Sn</v>
      </c>
      <c r="N640" s="90">
        <f t="shared" si="18"/>
        <v>635</v>
      </c>
      <c r="O640" s="91">
        <f t="shared" si="19"/>
        <v>4</v>
      </c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3">
        <v>51</v>
      </c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19"/>
      <c r="AQ640" s="110" t="s">
        <v>382</v>
      </c>
      <c r="AR640" s="32"/>
    </row>
    <row r="641" spans="1:61" ht="16.5">
      <c r="A641" s="29">
        <v>162</v>
      </c>
      <c r="B641" s="24"/>
      <c r="C641" s="23">
        <v>82.35</v>
      </c>
      <c r="D641" s="24">
        <v>0</v>
      </c>
      <c r="E641" s="23">
        <v>0</v>
      </c>
      <c r="F641" s="23">
        <v>2.94</v>
      </c>
      <c r="G641" s="23">
        <v>0</v>
      </c>
      <c r="H641" s="23">
        <v>0</v>
      </c>
      <c r="I641" s="23">
        <v>11.78</v>
      </c>
      <c r="J641" s="23">
        <v>0</v>
      </c>
      <c r="K641" s="23">
        <v>0</v>
      </c>
      <c r="L641" s="23">
        <v>2.93</v>
      </c>
      <c r="M641" s="74" t="str">
        <f t="array" ref="M641">_xlfn.TEXTJOIN("-", TRUE, IF(C641:L641&gt;0, $C$2:$L$2, ""))</f>
        <v xml:space="preserve"> Ti-Mo-Nb-Sn</v>
      </c>
      <c r="N641" s="90">
        <f t="shared" si="18"/>
        <v>635</v>
      </c>
      <c r="O641" s="91">
        <f t="shared" si="19"/>
        <v>4</v>
      </c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3">
        <v>51</v>
      </c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19"/>
      <c r="AQ641" s="110" t="s">
        <v>382</v>
      </c>
      <c r="AR641" s="32"/>
    </row>
    <row r="642" spans="1:61" ht="16.5">
      <c r="A642" s="30">
        <v>166</v>
      </c>
      <c r="B642" s="24"/>
      <c r="C642" s="23">
        <v>82.35</v>
      </c>
      <c r="D642" s="24">
        <v>0</v>
      </c>
      <c r="E642" s="23">
        <v>0</v>
      </c>
      <c r="F642" s="23">
        <v>2.94</v>
      </c>
      <c r="G642" s="23">
        <v>0</v>
      </c>
      <c r="H642" s="23">
        <v>0</v>
      </c>
      <c r="I642" s="23">
        <v>11.76</v>
      </c>
      <c r="J642" s="23">
        <v>0</v>
      </c>
      <c r="K642" s="23">
        <v>0</v>
      </c>
      <c r="L642" s="23">
        <v>2.95</v>
      </c>
      <c r="M642" s="74" t="str">
        <f t="array" ref="M642">_xlfn.TEXTJOIN("-", TRUE, IF(C642:L642&gt;0, $C$2:$L$2, ""))</f>
        <v xml:space="preserve"> Ti-Mo-Nb-Sn</v>
      </c>
      <c r="N642" s="90">
        <f t="shared" si="18"/>
        <v>635</v>
      </c>
      <c r="O642" s="91">
        <f t="shared" si="19"/>
        <v>4</v>
      </c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3">
        <v>51</v>
      </c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77"/>
      <c r="AQ642" s="110" t="s">
        <v>382</v>
      </c>
      <c r="AR642" s="134"/>
    </row>
    <row r="643" spans="1:61" ht="16.5">
      <c r="A643" s="29">
        <v>188</v>
      </c>
      <c r="B643" s="24"/>
      <c r="C643" s="23">
        <v>85.5</v>
      </c>
      <c r="D643" s="24">
        <v>0</v>
      </c>
      <c r="E643" s="23">
        <v>0</v>
      </c>
      <c r="F643" s="23">
        <v>4</v>
      </c>
      <c r="G643" s="23">
        <v>0</v>
      </c>
      <c r="H643" s="23">
        <v>0</v>
      </c>
      <c r="I643" s="23">
        <v>7.5</v>
      </c>
      <c r="J643" s="23">
        <v>0</v>
      </c>
      <c r="K643" s="23">
        <v>0</v>
      </c>
      <c r="L643" s="23">
        <v>3</v>
      </c>
      <c r="M643" s="74" t="str">
        <f t="array" ref="M643">_xlfn.TEXTJOIN("-", TRUE, IF(C643:L643&gt;0, $C$2:$L$2, ""))</f>
        <v xml:space="preserve"> Ti-Mo-Nb-Sn</v>
      </c>
      <c r="N643" s="90">
        <f t="shared" ref="N643:N706" si="20">IF(COUNTIF(M$3:M$1206, M643)&gt;1, MATCH(M643, M:M, 0), "")</f>
        <v>635</v>
      </c>
      <c r="O643" s="91">
        <f t="shared" ref="O643:O706" si="21">COUNTIF(C643:L643, "&lt;&gt;0")</f>
        <v>4</v>
      </c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3">
        <v>46</v>
      </c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19"/>
      <c r="AQ643" s="110" t="s">
        <v>382</v>
      </c>
      <c r="AR643" s="32"/>
    </row>
    <row r="644" spans="1:61" ht="16.5">
      <c r="A644" s="30">
        <v>189</v>
      </c>
      <c r="B644" s="24"/>
      <c r="C644" s="23">
        <v>84.5</v>
      </c>
      <c r="D644" s="24">
        <v>0</v>
      </c>
      <c r="E644" s="23">
        <v>0</v>
      </c>
      <c r="F644" s="23">
        <v>4</v>
      </c>
      <c r="G644" s="23">
        <v>0</v>
      </c>
      <c r="H644" s="23">
        <v>0</v>
      </c>
      <c r="I644" s="23">
        <v>7.5</v>
      </c>
      <c r="J644" s="23">
        <v>0</v>
      </c>
      <c r="K644" s="23">
        <v>0</v>
      </c>
      <c r="L644" s="23">
        <v>4</v>
      </c>
      <c r="M644" s="74" t="str">
        <f t="array" ref="M644">_xlfn.TEXTJOIN("-", TRUE, IF(C644:L644&gt;0, $C$2:$L$2, ""))</f>
        <v xml:space="preserve"> Ti-Mo-Nb-Sn</v>
      </c>
      <c r="N644" s="90">
        <f t="shared" si="20"/>
        <v>635</v>
      </c>
      <c r="O644" s="91">
        <f t="shared" si="21"/>
        <v>4</v>
      </c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3">
        <v>87</v>
      </c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77"/>
      <c r="AQ644" s="110" t="s">
        <v>382</v>
      </c>
      <c r="AR644" s="134"/>
    </row>
    <row r="645" spans="1:61" ht="16.5">
      <c r="A645" s="125">
        <v>169</v>
      </c>
      <c r="B645" s="121"/>
      <c r="C645" s="106">
        <v>70</v>
      </c>
      <c r="D645" s="106">
        <v>0</v>
      </c>
      <c r="E645" s="106">
        <v>0</v>
      </c>
      <c r="F645" s="106">
        <v>0</v>
      </c>
      <c r="G645" s="106">
        <v>0</v>
      </c>
      <c r="H645" s="106">
        <v>0</v>
      </c>
      <c r="I645" s="106">
        <v>26</v>
      </c>
      <c r="J645" s="106">
        <v>0</v>
      </c>
      <c r="K645" s="106">
        <v>2</v>
      </c>
      <c r="L645" s="106">
        <v>2</v>
      </c>
      <c r="M645" s="74" t="str">
        <f t="array" ref="M645">_xlfn.TEXTJOIN("-", TRUE, IF(C645:L645&gt;0, $C$2:$L$2, ""))</f>
        <v xml:space="preserve"> Ti-Nb-Fe-Sn</v>
      </c>
      <c r="N645" s="90">
        <f t="shared" si="20"/>
        <v>645</v>
      </c>
      <c r="O645" s="91">
        <f t="shared" si="21"/>
        <v>4</v>
      </c>
      <c r="P645" s="106">
        <v>1</v>
      </c>
      <c r="Q645" s="106">
        <v>1</v>
      </c>
      <c r="R645" s="106">
        <v>20</v>
      </c>
      <c r="S645" s="106">
        <v>84</v>
      </c>
      <c r="T645" s="106">
        <v>800</v>
      </c>
      <c r="U645" s="106">
        <v>1</v>
      </c>
      <c r="V645" s="106">
        <v>1</v>
      </c>
      <c r="W645" s="106">
        <v>0</v>
      </c>
      <c r="X645" s="106">
        <v>0</v>
      </c>
      <c r="Y645" s="106">
        <v>0</v>
      </c>
      <c r="Z645" s="121"/>
      <c r="AA645" s="121"/>
      <c r="AB645" s="106">
        <v>679</v>
      </c>
      <c r="AC645" s="106"/>
      <c r="AD645" s="106">
        <v>25.04</v>
      </c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 t="s">
        <v>169</v>
      </c>
      <c r="AO645" s="121" t="s">
        <v>170</v>
      </c>
      <c r="AP645" s="126">
        <v>30</v>
      </c>
      <c r="AQ645" s="124" t="s">
        <v>54</v>
      </c>
      <c r="AR645" s="125">
        <v>169</v>
      </c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</row>
    <row r="646" spans="1:61" ht="16.5">
      <c r="A646" s="125">
        <v>170</v>
      </c>
      <c r="B646" s="121"/>
      <c r="C646" s="106">
        <v>68</v>
      </c>
      <c r="D646" s="106">
        <v>0</v>
      </c>
      <c r="E646" s="106">
        <v>0</v>
      </c>
      <c r="F646" s="106">
        <v>0</v>
      </c>
      <c r="G646" s="106">
        <v>0</v>
      </c>
      <c r="H646" s="106">
        <v>0</v>
      </c>
      <c r="I646" s="106">
        <v>26</v>
      </c>
      <c r="J646" s="106">
        <v>0</v>
      </c>
      <c r="K646" s="106">
        <v>2</v>
      </c>
      <c r="L646" s="106">
        <v>4</v>
      </c>
      <c r="M646" s="74" t="str">
        <f t="array" ref="M646">_xlfn.TEXTJOIN("-", TRUE, IF(C646:L646&gt;0, $C$2:$L$2, ""))</f>
        <v xml:space="preserve"> Ti-Nb-Fe-Sn</v>
      </c>
      <c r="N646" s="90">
        <f t="shared" si="20"/>
        <v>645</v>
      </c>
      <c r="O646" s="91">
        <f t="shared" si="21"/>
        <v>4</v>
      </c>
      <c r="P646" s="106">
        <v>1</v>
      </c>
      <c r="Q646" s="106">
        <v>1</v>
      </c>
      <c r="R646" s="106">
        <v>20</v>
      </c>
      <c r="S646" s="106">
        <v>84</v>
      </c>
      <c r="T646" s="106">
        <v>800</v>
      </c>
      <c r="U646" s="106">
        <v>1</v>
      </c>
      <c r="V646" s="106">
        <v>1</v>
      </c>
      <c r="W646" s="106">
        <v>0</v>
      </c>
      <c r="X646" s="106">
        <v>0</v>
      </c>
      <c r="Y646" s="106">
        <v>0</v>
      </c>
      <c r="Z646" s="121"/>
      <c r="AA646" s="121"/>
      <c r="AB646" s="106">
        <v>622</v>
      </c>
      <c r="AC646" s="106"/>
      <c r="AD646" s="106">
        <v>19.16</v>
      </c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 t="s">
        <v>169</v>
      </c>
      <c r="AO646" s="121" t="s">
        <v>170</v>
      </c>
      <c r="AP646" s="126">
        <v>30</v>
      </c>
      <c r="AQ646" s="124" t="s">
        <v>54</v>
      </c>
      <c r="AR646" s="125">
        <v>170</v>
      </c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</row>
    <row r="647" spans="1:61" ht="16.5">
      <c r="A647" s="125">
        <v>171</v>
      </c>
      <c r="B647" s="121"/>
      <c r="C647" s="106">
        <v>66</v>
      </c>
      <c r="D647" s="106">
        <v>0</v>
      </c>
      <c r="E647" s="106">
        <v>0</v>
      </c>
      <c r="F647" s="106">
        <v>0</v>
      </c>
      <c r="G647" s="106">
        <v>0</v>
      </c>
      <c r="H647" s="106">
        <v>0</v>
      </c>
      <c r="I647" s="106">
        <v>26</v>
      </c>
      <c r="J647" s="106">
        <v>0</v>
      </c>
      <c r="K647" s="106">
        <v>2</v>
      </c>
      <c r="L647" s="106">
        <v>6</v>
      </c>
      <c r="M647" s="74" t="str">
        <f t="array" ref="M647">_xlfn.TEXTJOIN("-", TRUE, IF(C647:L647&gt;0, $C$2:$L$2, ""))</f>
        <v xml:space="preserve"> Ti-Nb-Fe-Sn</v>
      </c>
      <c r="N647" s="90">
        <f t="shared" si="20"/>
        <v>645</v>
      </c>
      <c r="O647" s="91">
        <f t="shared" si="21"/>
        <v>4</v>
      </c>
      <c r="P647" s="106">
        <v>1</v>
      </c>
      <c r="Q647" s="106">
        <v>1</v>
      </c>
      <c r="R647" s="106">
        <v>20</v>
      </c>
      <c r="S647" s="106">
        <v>84</v>
      </c>
      <c r="T647" s="106">
        <v>800</v>
      </c>
      <c r="U647" s="106">
        <v>1</v>
      </c>
      <c r="V647" s="106">
        <v>1</v>
      </c>
      <c r="W647" s="106">
        <v>0</v>
      </c>
      <c r="X647" s="106">
        <v>0</v>
      </c>
      <c r="Y647" s="106">
        <v>0</v>
      </c>
      <c r="Z647" s="121"/>
      <c r="AA647" s="121"/>
      <c r="AB647" s="106">
        <v>577</v>
      </c>
      <c r="AC647" s="106"/>
      <c r="AD647" s="106">
        <v>28.81</v>
      </c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 t="s">
        <v>169</v>
      </c>
      <c r="AO647" s="121" t="s">
        <v>170</v>
      </c>
      <c r="AP647" s="126">
        <v>30</v>
      </c>
      <c r="AQ647" s="124" t="s">
        <v>54</v>
      </c>
      <c r="AR647" s="125">
        <v>171</v>
      </c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</row>
    <row r="648" spans="1:61" ht="16.5">
      <c r="A648" s="120">
        <v>172</v>
      </c>
      <c r="B648" s="121"/>
      <c r="C648" s="106">
        <v>64</v>
      </c>
      <c r="D648" s="106">
        <v>0</v>
      </c>
      <c r="E648" s="106">
        <v>0</v>
      </c>
      <c r="F648" s="106">
        <v>0</v>
      </c>
      <c r="G648" s="106">
        <v>0</v>
      </c>
      <c r="H648" s="106">
        <v>0</v>
      </c>
      <c r="I648" s="106">
        <v>26</v>
      </c>
      <c r="J648" s="106">
        <v>0</v>
      </c>
      <c r="K648" s="106">
        <v>2</v>
      </c>
      <c r="L648" s="106">
        <v>8</v>
      </c>
      <c r="M648" s="74" t="str">
        <f t="array" ref="M648">_xlfn.TEXTJOIN("-", TRUE, IF(C648:L648&gt;0, $C$2:$L$2, ""))</f>
        <v xml:space="preserve"> Ti-Nb-Fe-Sn</v>
      </c>
      <c r="N648" s="90">
        <f t="shared" si="20"/>
        <v>645</v>
      </c>
      <c r="O648" s="91">
        <f t="shared" si="21"/>
        <v>4</v>
      </c>
      <c r="P648" s="106">
        <v>1</v>
      </c>
      <c r="Q648" s="106">
        <v>1</v>
      </c>
      <c r="R648" s="106">
        <v>20</v>
      </c>
      <c r="S648" s="106">
        <v>84</v>
      </c>
      <c r="T648" s="106">
        <v>800</v>
      </c>
      <c r="U648" s="106">
        <v>1</v>
      </c>
      <c r="V648" s="106">
        <v>1</v>
      </c>
      <c r="W648" s="106">
        <v>0</v>
      </c>
      <c r="X648" s="106">
        <v>0</v>
      </c>
      <c r="Y648" s="106">
        <v>0</v>
      </c>
      <c r="Z648" s="121"/>
      <c r="AA648" s="121"/>
      <c r="AB648" s="106">
        <v>582</v>
      </c>
      <c r="AC648" s="106"/>
      <c r="AD648" s="106">
        <v>23.83</v>
      </c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 t="s">
        <v>169</v>
      </c>
      <c r="AO648" s="121" t="s">
        <v>170</v>
      </c>
      <c r="AP648" s="123">
        <v>30</v>
      </c>
      <c r="AQ648" s="124" t="s">
        <v>54</v>
      </c>
      <c r="AR648" s="120">
        <v>172</v>
      </c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</row>
    <row r="649" spans="1:61" ht="16.5">
      <c r="A649" s="27">
        <v>91</v>
      </c>
      <c r="B649" s="108"/>
      <c r="C649" s="108">
        <v>70</v>
      </c>
      <c r="D649" s="108">
        <v>0</v>
      </c>
      <c r="E649" s="108">
        <v>0</v>
      </c>
      <c r="F649" s="108">
        <v>0</v>
      </c>
      <c r="G649" s="108">
        <v>0</v>
      </c>
      <c r="H649" s="108">
        <v>0</v>
      </c>
      <c r="I649" s="108">
        <v>26</v>
      </c>
      <c r="J649" s="108">
        <v>0</v>
      </c>
      <c r="K649" s="108">
        <v>2</v>
      </c>
      <c r="L649" s="108">
        <v>2</v>
      </c>
      <c r="M649" s="74" t="str">
        <f t="array" ref="M649">_xlfn.TEXTJOIN("-", TRUE, IF(C649:L649&gt;0, $C$2:$L$2, ""))</f>
        <v xml:space="preserve"> Ti-Nb-Fe-Sn</v>
      </c>
      <c r="N649" s="90">
        <f t="shared" si="20"/>
        <v>645</v>
      </c>
      <c r="O649" s="91">
        <f t="shared" si="21"/>
        <v>4</v>
      </c>
      <c r="P649" s="108">
        <v>1</v>
      </c>
      <c r="Q649" s="108">
        <v>1</v>
      </c>
      <c r="R649" s="108">
        <v>20</v>
      </c>
      <c r="S649" s="108">
        <v>84</v>
      </c>
      <c r="T649" s="108">
        <v>800</v>
      </c>
      <c r="U649" s="108">
        <v>1</v>
      </c>
      <c r="V649" s="108">
        <v>1</v>
      </c>
      <c r="W649" s="108"/>
      <c r="X649" s="108"/>
      <c r="Y649" s="108"/>
      <c r="Z649" s="108"/>
      <c r="AA649" s="108"/>
      <c r="AB649" s="108">
        <v>679</v>
      </c>
      <c r="AC649" s="108"/>
      <c r="AD649" s="108">
        <v>25.15</v>
      </c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8" t="s">
        <v>510</v>
      </c>
      <c r="AO649" s="108" t="s">
        <v>511</v>
      </c>
      <c r="AP649" s="20">
        <v>20</v>
      </c>
      <c r="AQ649" s="137" t="s">
        <v>374</v>
      </c>
      <c r="AR649" s="27">
        <v>91</v>
      </c>
    </row>
    <row r="650" spans="1:61" ht="16.5">
      <c r="A650" s="27">
        <v>92</v>
      </c>
      <c r="B650" s="108"/>
      <c r="C650" s="108">
        <v>68</v>
      </c>
      <c r="D650" s="108">
        <v>0</v>
      </c>
      <c r="E650" s="108">
        <v>0</v>
      </c>
      <c r="F650" s="108">
        <v>0</v>
      </c>
      <c r="G650" s="108">
        <v>0</v>
      </c>
      <c r="H650" s="108">
        <v>0</v>
      </c>
      <c r="I650" s="108">
        <v>26</v>
      </c>
      <c r="J650" s="108">
        <v>0</v>
      </c>
      <c r="K650" s="108">
        <v>2</v>
      </c>
      <c r="L650" s="108">
        <v>4</v>
      </c>
      <c r="M650" s="74" t="str">
        <f t="array" ref="M650">_xlfn.TEXTJOIN("-", TRUE, IF(C650:L650&gt;0, $C$2:$L$2, ""))</f>
        <v xml:space="preserve"> Ti-Nb-Fe-Sn</v>
      </c>
      <c r="N650" s="90">
        <f t="shared" si="20"/>
        <v>645</v>
      </c>
      <c r="O650" s="91">
        <f t="shared" si="21"/>
        <v>4</v>
      </c>
      <c r="P650" s="108">
        <v>1</v>
      </c>
      <c r="Q650" s="108">
        <v>1</v>
      </c>
      <c r="R650" s="108">
        <v>20</v>
      </c>
      <c r="S650" s="108">
        <v>84</v>
      </c>
      <c r="T650" s="108">
        <v>800</v>
      </c>
      <c r="U650" s="108">
        <v>1</v>
      </c>
      <c r="V650" s="108">
        <v>1</v>
      </c>
      <c r="W650" s="108"/>
      <c r="X650" s="108"/>
      <c r="Y650" s="108"/>
      <c r="Z650" s="108"/>
      <c r="AA650" s="108"/>
      <c r="AB650" s="108">
        <v>622</v>
      </c>
      <c r="AC650" s="108"/>
      <c r="AD650" s="108">
        <v>19.04</v>
      </c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8" t="s">
        <v>512</v>
      </c>
      <c r="AO650" s="108" t="s">
        <v>513</v>
      </c>
      <c r="AP650" s="20">
        <v>20</v>
      </c>
      <c r="AQ650" s="133" t="s">
        <v>374</v>
      </c>
      <c r="AR650" s="27">
        <v>92</v>
      </c>
    </row>
    <row r="651" spans="1:61" ht="16.5">
      <c r="A651" s="27">
        <v>93</v>
      </c>
      <c r="B651" s="20"/>
      <c r="C651" s="20">
        <v>66</v>
      </c>
      <c r="D651" s="20">
        <v>0</v>
      </c>
      <c r="E651" s="20">
        <v>0</v>
      </c>
      <c r="F651" s="20">
        <v>0</v>
      </c>
      <c r="G651" s="20">
        <v>0</v>
      </c>
      <c r="H651" s="20">
        <v>0</v>
      </c>
      <c r="I651" s="20">
        <v>26</v>
      </c>
      <c r="J651" s="20">
        <v>0</v>
      </c>
      <c r="K651" s="20">
        <v>2</v>
      </c>
      <c r="L651" s="20">
        <v>6</v>
      </c>
      <c r="M651" s="74" t="str">
        <f t="array" ref="M651">_xlfn.TEXTJOIN("-", TRUE, IF(C651:L651&gt;0, $C$2:$L$2, ""))</f>
        <v xml:space="preserve"> Ti-Nb-Fe-Sn</v>
      </c>
      <c r="N651" s="90">
        <f t="shared" si="20"/>
        <v>645</v>
      </c>
      <c r="O651" s="91">
        <f t="shared" si="21"/>
        <v>4</v>
      </c>
      <c r="P651" s="20">
        <v>1</v>
      </c>
      <c r="Q651" s="20">
        <v>1</v>
      </c>
      <c r="R651" s="20">
        <v>20</v>
      </c>
      <c r="S651" s="132">
        <v>84</v>
      </c>
      <c r="T651" s="27">
        <v>800</v>
      </c>
      <c r="U651" s="20">
        <v>1</v>
      </c>
      <c r="V651" s="20">
        <v>1</v>
      </c>
      <c r="W651" s="20"/>
      <c r="X651" s="20"/>
      <c r="Y651" s="20"/>
      <c r="Z651" s="20"/>
      <c r="AA651" s="20"/>
      <c r="AB651" s="20">
        <v>577</v>
      </c>
      <c r="AC651" s="20"/>
      <c r="AD651" s="20">
        <v>28.77</v>
      </c>
      <c r="AE651" s="20"/>
      <c r="AF651" s="20"/>
      <c r="AG651" s="20"/>
      <c r="AH651" s="20"/>
      <c r="AI651" s="20"/>
      <c r="AJ651" s="20"/>
      <c r="AK651" s="20"/>
      <c r="AL651" s="20"/>
      <c r="AM651" s="20"/>
      <c r="AN651" s="20" t="s">
        <v>514</v>
      </c>
      <c r="AO651" s="20" t="s">
        <v>515</v>
      </c>
      <c r="AP651" s="20">
        <v>20</v>
      </c>
      <c r="AQ651" s="133" t="s">
        <v>374</v>
      </c>
      <c r="AR651" s="27">
        <v>93</v>
      </c>
    </row>
    <row r="652" spans="1:61" ht="16.5">
      <c r="A652" s="27">
        <v>94</v>
      </c>
      <c r="B652" s="20"/>
      <c r="C652" s="20">
        <v>64</v>
      </c>
      <c r="D652" s="20">
        <v>0</v>
      </c>
      <c r="E652" s="20">
        <v>0</v>
      </c>
      <c r="F652" s="20">
        <v>0</v>
      </c>
      <c r="G652" s="20">
        <v>0</v>
      </c>
      <c r="H652" s="20">
        <v>0</v>
      </c>
      <c r="I652" s="20">
        <v>26</v>
      </c>
      <c r="J652" s="20">
        <v>0</v>
      </c>
      <c r="K652" s="20">
        <v>2</v>
      </c>
      <c r="L652" s="20">
        <v>8</v>
      </c>
      <c r="M652" s="74" t="str">
        <f t="array" ref="M652">_xlfn.TEXTJOIN("-", TRUE, IF(C652:L652&gt;0, $C$2:$L$2, ""))</f>
        <v xml:space="preserve"> Ti-Nb-Fe-Sn</v>
      </c>
      <c r="N652" s="90">
        <f t="shared" si="20"/>
        <v>645</v>
      </c>
      <c r="O652" s="91">
        <f t="shared" si="21"/>
        <v>4</v>
      </c>
      <c r="P652" s="20">
        <v>1</v>
      </c>
      <c r="Q652" s="20">
        <v>1</v>
      </c>
      <c r="R652" s="20">
        <v>20</v>
      </c>
      <c r="S652" s="132">
        <v>84</v>
      </c>
      <c r="T652" s="27">
        <v>800</v>
      </c>
      <c r="U652" s="20">
        <v>1</v>
      </c>
      <c r="V652" s="20">
        <v>1</v>
      </c>
      <c r="W652" s="20"/>
      <c r="X652" s="20"/>
      <c r="Y652" s="20"/>
      <c r="Z652" s="20"/>
      <c r="AA652" s="20"/>
      <c r="AB652" s="20">
        <v>582</v>
      </c>
      <c r="AC652" s="20"/>
      <c r="AD652" s="20">
        <v>23.78</v>
      </c>
      <c r="AE652" s="20"/>
      <c r="AF652" s="20"/>
      <c r="AG652" s="20"/>
      <c r="AH652" s="20"/>
      <c r="AI652" s="20"/>
      <c r="AJ652" s="20"/>
      <c r="AK652" s="20"/>
      <c r="AL652" s="20"/>
      <c r="AM652" s="20"/>
      <c r="AN652" s="20" t="s">
        <v>516</v>
      </c>
      <c r="AO652" s="20" t="s">
        <v>517</v>
      </c>
      <c r="AP652" s="20">
        <v>20</v>
      </c>
      <c r="AQ652" s="133" t="s">
        <v>374</v>
      </c>
      <c r="AR652" s="27">
        <v>94</v>
      </c>
    </row>
    <row r="653" spans="1:61" ht="16.5">
      <c r="A653" s="105">
        <v>335</v>
      </c>
      <c r="B653" s="111" t="s">
        <v>113</v>
      </c>
      <c r="C653" s="109">
        <v>83.76</v>
      </c>
      <c r="D653" s="109">
        <v>0</v>
      </c>
      <c r="E653" s="109">
        <v>0</v>
      </c>
      <c r="F653" s="109">
        <v>0</v>
      </c>
      <c r="G653" s="109">
        <v>0</v>
      </c>
      <c r="H653" s="109">
        <v>0</v>
      </c>
      <c r="I653" s="109">
        <v>11</v>
      </c>
      <c r="J653" s="109">
        <v>0</v>
      </c>
      <c r="K653" s="109">
        <v>2.56</v>
      </c>
      <c r="L653" s="109">
        <v>2.68</v>
      </c>
      <c r="M653" s="74" t="str">
        <f t="array" ref="M653">_xlfn.TEXTJOIN("-", TRUE, IF(C653:L653&gt;0, $C$2:$L$2, ""))</f>
        <v xml:space="preserve"> Ti-Nb-Fe-Sn</v>
      </c>
      <c r="N653" s="90">
        <f t="shared" si="20"/>
        <v>645</v>
      </c>
      <c r="O653" s="91">
        <f t="shared" si="21"/>
        <v>4</v>
      </c>
      <c r="P653" s="109">
        <v>1</v>
      </c>
      <c r="Q653" s="109">
        <v>1</v>
      </c>
      <c r="R653" s="111" t="s">
        <v>113</v>
      </c>
      <c r="S653" s="115" t="s">
        <v>113</v>
      </c>
      <c r="T653" s="105" t="s">
        <v>113</v>
      </c>
      <c r="U653" s="111" t="s">
        <v>113</v>
      </c>
      <c r="V653" s="111">
        <v>1</v>
      </c>
      <c r="W653" s="111" t="s">
        <v>113</v>
      </c>
      <c r="X653" s="111" t="s">
        <v>113</v>
      </c>
      <c r="Y653" s="111" t="s">
        <v>113</v>
      </c>
      <c r="Z653" s="109">
        <v>71</v>
      </c>
      <c r="AA653" s="111" t="s">
        <v>113</v>
      </c>
      <c r="AB653" s="111" t="s">
        <v>113</v>
      </c>
      <c r="AC653" s="109">
        <v>765</v>
      </c>
      <c r="AD653" s="111" t="s">
        <v>113</v>
      </c>
      <c r="AE653" s="111" t="s">
        <v>113</v>
      </c>
      <c r="AF653" s="111" t="s">
        <v>113</v>
      </c>
      <c r="AG653" s="111" t="s">
        <v>113</v>
      </c>
      <c r="AH653" s="111" t="s">
        <v>113</v>
      </c>
      <c r="AI653" s="111" t="s">
        <v>113</v>
      </c>
      <c r="AJ653" s="111" t="s">
        <v>113</v>
      </c>
      <c r="AK653" s="111" t="s">
        <v>113</v>
      </c>
      <c r="AL653" s="111" t="s">
        <v>113</v>
      </c>
      <c r="AM653" s="111"/>
      <c r="AN653" s="111" t="s">
        <v>113</v>
      </c>
      <c r="AO653" s="111" t="s">
        <v>114</v>
      </c>
      <c r="AP653" s="109">
        <v>335</v>
      </c>
      <c r="AQ653" s="110" t="s">
        <v>100</v>
      </c>
      <c r="AR653" s="105">
        <v>335</v>
      </c>
    </row>
    <row r="654" spans="1:61" ht="16.5">
      <c r="A654" s="125">
        <v>174</v>
      </c>
      <c r="B654" s="126"/>
      <c r="C654" s="112">
        <v>87.5</v>
      </c>
      <c r="D654" s="112">
        <v>5</v>
      </c>
      <c r="E654" s="112">
        <v>0</v>
      </c>
      <c r="F654" s="112">
        <v>5</v>
      </c>
      <c r="G654" s="112">
        <v>0</v>
      </c>
      <c r="H654" s="112">
        <v>0</v>
      </c>
      <c r="I654" s="112">
        <v>0</v>
      </c>
      <c r="J654" s="112">
        <v>0</v>
      </c>
      <c r="K654" s="112">
        <v>0</v>
      </c>
      <c r="L654" s="112">
        <v>2.5</v>
      </c>
      <c r="M654" s="74" t="str">
        <f t="array" ref="M654">_xlfn.TEXTJOIN("-", TRUE, IF(C654:L654&gt;0, $C$2:$L$2, ""))</f>
        <v xml:space="preserve"> Ti-Al-Mo-Sn</v>
      </c>
      <c r="N654" s="90">
        <f t="shared" si="20"/>
        <v>654</v>
      </c>
      <c r="O654" s="91">
        <f t="shared" si="21"/>
        <v>4</v>
      </c>
      <c r="P654" s="112">
        <v>1</v>
      </c>
      <c r="Q654" s="112">
        <v>0</v>
      </c>
      <c r="R654" s="112">
        <v>0</v>
      </c>
      <c r="S654" s="130">
        <v>0</v>
      </c>
      <c r="T654" s="131">
        <v>1000</v>
      </c>
      <c r="U654" s="112">
        <v>1</v>
      </c>
      <c r="V654" s="112">
        <v>3</v>
      </c>
      <c r="W654" s="112">
        <v>0</v>
      </c>
      <c r="X654" s="112">
        <v>0</v>
      </c>
      <c r="Y654" s="112">
        <v>0</v>
      </c>
      <c r="Z654" s="126"/>
      <c r="AA654" s="126"/>
      <c r="AB654" s="112">
        <v>1016</v>
      </c>
      <c r="AC654" s="112"/>
      <c r="AD654" s="112">
        <v>5.8</v>
      </c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 t="s">
        <v>175</v>
      </c>
      <c r="AO654" s="126" t="s">
        <v>172</v>
      </c>
      <c r="AP654" s="126">
        <v>31</v>
      </c>
      <c r="AQ654" s="124" t="s">
        <v>54</v>
      </c>
      <c r="AR654" s="125">
        <v>174</v>
      </c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</row>
    <row r="655" spans="1:61" ht="16.5">
      <c r="A655" s="125">
        <v>175</v>
      </c>
      <c r="B655" s="126"/>
      <c r="C655" s="112">
        <v>82.5</v>
      </c>
      <c r="D655" s="112">
        <v>5</v>
      </c>
      <c r="E655" s="112">
        <v>0</v>
      </c>
      <c r="F655" s="112">
        <v>10</v>
      </c>
      <c r="G655" s="112">
        <v>0</v>
      </c>
      <c r="H655" s="112">
        <v>0</v>
      </c>
      <c r="I655" s="112">
        <v>0</v>
      </c>
      <c r="J655" s="112">
        <v>0</v>
      </c>
      <c r="K655" s="112">
        <v>0</v>
      </c>
      <c r="L655" s="112">
        <v>2.5</v>
      </c>
      <c r="M655" s="74" t="str">
        <f t="array" ref="M655">_xlfn.TEXTJOIN("-", TRUE, IF(C655:L655&gt;0, $C$2:$L$2, ""))</f>
        <v xml:space="preserve"> Ti-Al-Mo-Sn</v>
      </c>
      <c r="N655" s="90">
        <f t="shared" si="20"/>
        <v>654</v>
      </c>
      <c r="O655" s="91">
        <f t="shared" si="21"/>
        <v>4</v>
      </c>
      <c r="P655" s="112">
        <v>1</v>
      </c>
      <c r="Q655" s="112">
        <v>0</v>
      </c>
      <c r="R655" s="112">
        <v>0</v>
      </c>
      <c r="S655" s="130">
        <v>0</v>
      </c>
      <c r="T655" s="131">
        <v>1000</v>
      </c>
      <c r="U655" s="112">
        <v>1</v>
      </c>
      <c r="V655" s="112">
        <v>3</v>
      </c>
      <c r="W655" s="112">
        <v>0</v>
      </c>
      <c r="X655" s="112">
        <v>0</v>
      </c>
      <c r="Y655" s="112">
        <v>0</v>
      </c>
      <c r="Z655" s="126"/>
      <c r="AA655" s="126"/>
      <c r="AB655" s="112">
        <v>1260</v>
      </c>
      <c r="AC655" s="112"/>
      <c r="AD655" s="112">
        <v>8.4</v>
      </c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 t="s">
        <v>175</v>
      </c>
      <c r="AO655" s="126" t="s">
        <v>172</v>
      </c>
      <c r="AP655" s="126">
        <v>31</v>
      </c>
      <c r="AQ655" s="124" t="s">
        <v>54</v>
      </c>
      <c r="AR655" s="125">
        <v>175</v>
      </c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</row>
    <row r="656" spans="1:61" ht="16.5">
      <c r="A656" s="125">
        <v>176</v>
      </c>
      <c r="B656" s="121"/>
      <c r="C656" s="106">
        <v>77.5</v>
      </c>
      <c r="D656" s="106">
        <v>5</v>
      </c>
      <c r="E656" s="106">
        <v>0</v>
      </c>
      <c r="F656" s="106">
        <v>15</v>
      </c>
      <c r="G656" s="106">
        <v>0</v>
      </c>
      <c r="H656" s="106">
        <v>0</v>
      </c>
      <c r="I656" s="106">
        <v>0</v>
      </c>
      <c r="J656" s="106">
        <v>0</v>
      </c>
      <c r="K656" s="106">
        <v>0</v>
      </c>
      <c r="L656" s="106">
        <v>2.5</v>
      </c>
      <c r="M656" s="74" t="str">
        <f t="array" ref="M656">_xlfn.TEXTJOIN("-", TRUE, IF(C656:L656&gt;0, $C$2:$L$2, ""))</f>
        <v xml:space="preserve"> Ti-Al-Mo-Sn</v>
      </c>
      <c r="N656" s="90">
        <f t="shared" si="20"/>
        <v>654</v>
      </c>
      <c r="O656" s="91">
        <f t="shared" si="21"/>
        <v>4</v>
      </c>
      <c r="P656" s="106">
        <v>1</v>
      </c>
      <c r="Q656" s="106">
        <v>0</v>
      </c>
      <c r="R656" s="106">
        <v>0</v>
      </c>
      <c r="S656" s="106">
        <v>0</v>
      </c>
      <c r="T656" s="106">
        <v>1000</v>
      </c>
      <c r="U656" s="106">
        <v>1</v>
      </c>
      <c r="V656" s="106">
        <v>3</v>
      </c>
      <c r="W656" s="106">
        <v>0</v>
      </c>
      <c r="X656" s="106">
        <v>0</v>
      </c>
      <c r="Y656" s="106">
        <v>0</v>
      </c>
      <c r="Z656" s="121"/>
      <c r="AA656" s="121"/>
      <c r="AB656" s="106">
        <v>724</v>
      </c>
      <c r="AC656" s="106"/>
      <c r="AD656" s="106">
        <v>9.3000000000000007</v>
      </c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 t="s">
        <v>175</v>
      </c>
      <c r="AO656" s="121" t="s">
        <v>172</v>
      </c>
      <c r="AP656" s="126">
        <v>31</v>
      </c>
      <c r="AQ656" s="138" t="s">
        <v>54</v>
      </c>
      <c r="AR656" s="125">
        <v>176</v>
      </c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</row>
    <row r="657" spans="1:61" ht="16.5">
      <c r="A657" s="27">
        <v>99</v>
      </c>
      <c r="B657" s="108"/>
      <c r="C657" s="108">
        <v>87.5</v>
      </c>
      <c r="D657" s="108">
        <v>5</v>
      </c>
      <c r="E657" s="108">
        <v>0</v>
      </c>
      <c r="F657" s="108">
        <v>5</v>
      </c>
      <c r="G657" s="108">
        <v>0</v>
      </c>
      <c r="H657" s="108">
        <v>0</v>
      </c>
      <c r="I657" s="108">
        <v>0</v>
      </c>
      <c r="J657" s="108">
        <v>0</v>
      </c>
      <c r="K657" s="108">
        <v>0</v>
      </c>
      <c r="L657" s="108">
        <v>2.5</v>
      </c>
      <c r="M657" s="74" t="str">
        <f t="array" ref="M657">_xlfn.TEXTJOIN("-", TRUE, IF(C657:L657&gt;0, $C$2:$L$2, ""))</f>
        <v xml:space="preserve"> Ti-Al-Mo-Sn</v>
      </c>
      <c r="N657" s="90">
        <f t="shared" si="20"/>
        <v>654</v>
      </c>
      <c r="O657" s="91">
        <f t="shared" si="21"/>
        <v>4</v>
      </c>
      <c r="P657" s="108">
        <v>1</v>
      </c>
      <c r="Q657" s="108">
        <v>1</v>
      </c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>
        <v>342</v>
      </c>
      <c r="AB657" s="108">
        <v>1016</v>
      </c>
      <c r="AC657" s="108">
        <v>966</v>
      </c>
      <c r="AD657" s="108">
        <v>5.8</v>
      </c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 t="s">
        <v>518</v>
      </c>
      <c r="AO657" s="108" t="s">
        <v>435</v>
      </c>
      <c r="AP657" s="20">
        <v>22</v>
      </c>
      <c r="AQ657" s="133" t="s">
        <v>374</v>
      </c>
      <c r="AR657" s="27">
        <v>99</v>
      </c>
    </row>
    <row r="658" spans="1:61" ht="16.5">
      <c r="A658" s="135">
        <v>100</v>
      </c>
      <c r="B658" s="108"/>
      <c r="C658" s="108">
        <v>82.5</v>
      </c>
      <c r="D658" s="108">
        <v>5</v>
      </c>
      <c r="E658" s="108">
        <v>0</v>
      </c>
      <c r="F658" s="108">
        <v>10</v>
      </c>
      <c r="G658" s="108">
        <v>0</v>
      </c>
      <c r="H658" s="108">
        <v>0</v>
      </c>
      <c r="I658" s="108">
        <v>0</v>
      </c>
      <c r="J658" s="108">
        <v>0</v>
      </c>
      <c r="K658" s="108">
        <v>0</v>
      </c>
      <c r="L658" s="108">
        <v>2.5</v>
      </c>
      <c r="M658" s="74" t="str">
        <f t="array" ref="M658">_xlfn.TEXTJOIN("-", TRUE, IF(C658:L658&gt;0, $C$2:$L$2, ""))</f>
        <v xml:space="preserve"> Ti-Al-Mo-Sn</v>
      </c>
      <c r="N658" s="90">
        <f t="shared" si="20"/>
        <v>654</v>
      </c>
      <c r="O658" s="91">
        <f t="shared" si="21"/>
        <v>4</v>
      </c>
      <c r="P658" s="108">
        <v>1</v>
      </c>
      <c r="Q658" s="108">
        <v>1</v>
      </c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>
        <v>388</v>
      </c>
      <c r="AB658" s="108">
        <v>1260</v>
      </c>
      <c r="AC658" s="108">
        <v>1198</v>
      </c>
      <c r="AD658" s="108">
        <v>8.4</v>
      </c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 t="s">
        <v>519</v>
      </c>
      <c r="AO658" s="108" t="s">
        <v>435</v>
      </c>
      <c r="AP658" s="136">
        <v>22</v>
      </c>
      <c r="AQ658" s="133" t="s">
        <v>374</v>
      </c>
      <c r="AR658" s="135">
        <v>100</v>
      </c>
    </row>
    <row r="659" spans="1:61" ht="16.5">
      <c r="A659" s="27">
        <v>101</v>
      </c>
      <c r="B659" s="108"/>
      <c r="C659" s="108">
        <v>77.5</v>
      </c>
      <c r="D659" s="108">
        <v>5</v>
      </c>
      <c r="E659" s="108">
        <v>0</v>
      </c>
      <c r="F659" s="108">
        <v>15</v>
      </c>
      <c r="G659" s="108">
        <v>0</v>
      </c>
      <c r="H659" s="108">
        <v>0</v>
      </c>
      <c r="I659" s="108">
        <v>0</v>
      </c>
      <c r="J659" s="108">
        <v>0</v>
      </c>
      <c r="K659" s="108">
        <v>0</v>
      </c>
      <c r="L659" s="108">
        <v>2.5</v>
      </c>
      <c r="M659" s="74" t="str">
        <f t="array" ref="M659">_xlfn.TEXTJOIN("-", TRUE, IF(C659:L659&gt;0, $C$2:$L$2, ""))</f>
        <v xml:space="preserve"> Ti-Al-Mo-Sn</v>
      </c>
      <c r="N659" s="90">
        <f t="shared" si="20"/>
        <v>654</v>
      </c>
      <c r="O659" s="91">
        <f t="shared" si="21"/>
        <v>4</v>
      </c>
      <c r="P659" s="108">
        <v>1</v>
      </c>
      <c r="Q659" s="108">
        <v>1</v>
      </c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>
        <v>275</v>
      </c>
      <c r="AB659" s="108">
        <v>724</v>
      </c>
      <c r="AC659" s="108">
        <v>711</v>
      </c>
      <c r="AD659" s="108">
        <v>9.3000000000000007</v>
      </c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8" t="s">
        <v>520</v>
      </c>
      <c r="AO659" s="108" t="s">
        <v>435</v>
      </c>
      <c r="AP659" s="20">
        <v>22</v>
      </c>
      <c r="AQ659" s="133" t="s">
        <v>374</v>
      </c>
      <c r="AR659" s="27">
        <v>101</v>
      </c>
    </row>
    <row r="660" spans="1:61" ht="16.5">
      <c r="A660" s="125">
        <v>177</v>
      </c>
      <c r="B660" s="121"/>
      <c r="C660" s="106">
        <v>90.1</v>
      </c>
      <c r="D660" s="106">
        <v>7.1</v>
      </c>
      <c r="E660" s="106">
        <v>1.6</v>
      </c>
      <c r="F660" s="106">
        <v>0</v>
      </c>
      <c r="G660" s="106">
        <v>1.2</v>
      </c>
      <c r="H660" s="106">
        <v>0</v>
      </c>
      <c r="I660" s="106">
        <v>0</v>
      </c>
      <c r="J660" s="106">
        <v>0</v>
      </c>
      <c r="K660" s="106">
        <v>0</v>
      </c>
      <c r="L660" s="106">
        <v>0</v>
      </c>
      <c r="M660" s="74" t="str">
        <f t="array" ref="M660">_xlfn.TEXTJOIN("-", TRUE, IF(C660:L660&gt;0, $C$2:$L$2, ""))</f>
        <v xml:space="preserve"> Ti-Al-Zr-V</v>
      </c>
      <c r="N660" s="90">
        <f t="shared" si="20"/>
        <v>660</v>
      </c>
      <c r="O660" s="91">
        <f t="shared" si="21"/>
        <v>4</v>
      </c>
      <c r="P660" s="106">
        <v>1</v>
      </c>
      <c r="Q660" s="106">
        <v>0</v>
      </c>
      <c r="R660" s="106">
        <v>0</v>
      </c>
      <c r="S660" s="106">
        <v>0</v>
      </c>
      <c r="T660" s="106">
        <v>0</v>
      </c>
      <c r="U660" s="106">
        <v>0</v>
      </c>
      <c r="V660" s="106">
        <v>0</v>
      </c>
      <c r="W660" s="106">
        <v>0</v>
      </c>
      <c r="X660" s="106">
        <v>0</v>
      </c>
      <c r="Y660" s="106">
        <v>0</v>
      </c>
      <c r="Z660" s="121"/>
      <c r="AA660" s="121"/>
      <c r="AB660" s="106">
        <v>787.75</v>
      </c>
      <c r="AC660" s="106"/>
      <c r="AD660" s="106">
        <v>13.42</v>
      </c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 t="s">
        <v>177</v>
      </c>
      <c r="AO660" s="121" t="s">
        <v>178</v>
      </c>
      <c r="AP660" s="126">
        <v>32</v>
      </c>
      <c r="AQ660" s="124" t="s">
        <v>54</v>
      </c>
      <c r="AR660" s="125">
        <v>177</v>
      </c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</row>
    <row r="661" spans="1:61" ht="16.5">
      <c r="A661" s="125">
        <v>178</v>
      </c>
      <c r="B661" s="121"/>
      <c r="C661" s="112">
        <v>87.9</v>
      </c>
      <c r="D661" s="106">
        <v>6.8</v>
      </c>
      <c r="E661" s="106">
        <v>2.9</v>
      </c>
      <c r="F661" s="106">
        <v>0</v>
      </c>
      <c r="G661" s="106">
        <v>2.4</v>
      </c>
      <c r="H661" s="106">
        <v>0</v>
      </c>
      <c r="I661" s="106">
        <v>0</v>
      </c>
      <c r="J661" s="106">
        <v>0</v>
      </c>
      <c r="K661" s="106">
        <v>0</v>
      </c>
      <c r="L661" s="106">
        <v>0</v>
      </c>
      <c r="M661" s="74" t="str">
        <f t="array" ref="M661">_xlfn.TEXTJOIN("-", TRUE, IF(C661:L661&gt;0, $C$2:$L$2, ""))</f>
        <v xml:space="preserve"> Ti-Al-Zr-V</v>
      </c>
      <c r="N661" s="90">
        <f t="shared" si="20"/>
        <v>660</v>
      </c>
      <c r="O661" s="91">
        <f t="shared" si="21"/>
        <v>4</v>
      </c>
      <c r="P661" s="106">
        <v>1</v>
      </c>
      <c r="Q661" s="106">
        <v>0</v>
      </c>
      <c r="R661" s="106">
        <v>0</v>
      </c>
      <c r="S661" s="106">
        <v>0</v>
      </c>
      <c r="T661" s="106">
        <v>0</v>
      </c>
      <c r="U661" s="106">
        <v>0</v>
      </c>
      <c r="V661" s="106">
        <v>0</v>
      </c>
      <c r="W661" s="106">
        <v>0</v>
      </c>
      <c r="X661" s="106">
        <v>0</v>
      </c>
      <c r="Y661" s="106">
        <v>0</v>
      </c>
      <c r="Z661" s="121"/>
      <c r="AA661" s="121"/>
      <c r="AB661" s="106">
        <v>840.86</v>
      </c>
      <c r="AC661" s="106"/>
      <c r="AD661" s="106">
        <v>10.41</v>
      </c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 t="s">
        <v>177</v>
      </c>
      <c r="AO661" s="121" t="s">
        <v>178</v>
      </c>
      <c r="AP661" s="126">
        <v>32</v>
      </c>
      <c r="AQ661" s="124" t="s">
        <v>54</v>
      </c>
      <c r="AR661" s="125">
        <v>178</v>
      </c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</row>
    <row r="662" spans="1:61" ht="16.5">
      <c r="A662" s="120">
        <v>179</v>
      </c>
      <c r="B662" s="121"/>
      <c r="C662" s="112">
        <v>85.8</v>
      </c>
      <c r="D662" s="106">
        <v>6.5</v>
      </c>
      <c r="E662" s="106">
        <v>4.2</v>
      </c>
      <c r="F662" s="106">
        <v>0</v>
      </c>
      <c r="G662" s="106">
        <v>3.5</v>
      </c>
      <c r="H662" s="106">
        <v>0</v>
      </c>
      <c r="I662" s="106">
        <v>0</v>
      </c>
      <c r="J662" s="106">
        <v>0</v>
      </c>
      <c r="K662" s="106">
        <v>0</v>
      </c>
      <c r="L662" s="106">
        <v>0</v>
      </c>
      <c r="M662" s="74" t="str">
        <f t="array" ref="M662">_xlfn.TEXTJOIN("-", TRUE, IF(C662:L662&gt;0, $C$2:$L$2, ""))</f>
        <v xml:space="preserve"> Ti-Al-Zr-V</v>
      </c>
      <c r="N662" s="90">
        <f t="shared" si="20"/>
        <v>660</v>
      </c>
      <c r="O662" s="91">
        <f t="shared" si="21"/>
        <v>4</v>
      </c>
      <c r="P662" s="106">
        <v>1</v>
      </c>
      <c r="Q662" s="106">
        <v>0</v>
      </c>
      <c r="R662" s="106">
        <v>0</v>
      </c>
      <c r="S662" s="106">
        <v>0</v>
      </c>
      <c r="T662" s="106">
        <v>0</v>
      </c>
      <c r="U662" s="106">
        <v>0</v>
      </c>
      <c r="V662" s="106">
        <v>0</v>
      </c>
      <c r="W662" s="106">
        <v>0</v>
      </c>
      <c r="X662" s="106">
        <v>0</v>
      </c>
      <c r="Y662" s="106">
        <v>0</v>
      </c>
      <c r="Z662" s="121"/>
      <c r="AA662" s="121"/>
      <c r="AB662" s="106">
        <v>963.77</v>
      </c>
      <c r="AC662" s="106"/>
      <c r="AD662" s="106">
        <v>7.18</v>
      </c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 t="s">
        <v>177</v>
      </c>
      <c r="AO662" s="121" t="s">
        <v>178</v>
      </c>
      <c r="AP662" s="123">
        <v>32</v>
      </c>
      <c r="AQ662" s="124" t="s">
        <v>54</v>
      </c>
      <c r="AR662" s="120">
        <v>179</v>
      </c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</row>
    <row r="663" spans="1:61" ht="16.5">
      <c r="A663" s="125">
        <v>180</v>
      </c>
      <c r="B663" s="126"/>
      <c r="C663" s="112">
        <v>83.6</v>
      </c>
      <c r="D663" s="112">
        <v>6.2</v>
      </c>
      <c r="E663" s="106">
        <v>5.6</v>
      </c>
      <c r="F663" s="106">
        <v>0</v>
      </c>
      <c r="G663" s="112">
        <v>4.5999999999999996</v>
      </c>
      <c r="H663" s="112">
        <v>0</v>
      </c>
      <c r="I663" s="112">
        <v>0</v>
      </c>
      <c r="J663" s="112">
        <v>0</v>
      </c>
      <c r="K663" s="112">
        <v>0</v>
      </c>
      <c r="L663" s="112">
        <v>0</v>
      </c>
      <c r="M663" s="74" t="str">
        <f t="array" ref="M663">_xlfn.TEXTJOIN("-", TRUE, IF(C663:L663&gt;0, $C$2:$L$2, ""))</f>
        <v xml:space="preserve"> Ti-Al-Zr-V</v>
      </c>
      <c r="N663" s="90">
        <f t="shared" si="20"/>
        <v>660</v>
      </c>
      <c r="O663" s="91">
        <f t="shared" si="21"/>
        <v>4</v>
      </c>
      <c r="P663" s="112">
        <v>1</v>
      </c>
      <c r="Q663" s="112">
        <v>0</v>
      </c>
      <c r="R663" s="112">
        <v>0</v>
      </c>
      <c r="S663" s="130">
        <v>0</v>
      </c>
      <c r="T663" s="131">
        <v>0</v>
      </c>
      <c r="U663" s="112">
        <v>0</v>
      </c>
      <c r="V663" s="112">
        <v>0</v>
      </c>
      <c r="W663" s="112">
        <v>0</v>
      </c>
      <c r="X663" s="112">
        <v>0</v>
      </c>
      <c r="Y663" s="112">
        <v>0</v>
      </c>
      <c r="Z663" s="126"/>
      <c r="AA663" s="126"/>
      <c r="AB663" s="112">
        <v>1070.49</v>
      </c>
      <c r="AC663" s="112"/>
      <c r="AD663" s="112">
        <v>5.13</v>
      </c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 t="s">
        <v>177</v>
      </c>
      <c r="AO663" s="126" t="s">
        <v>178</v>
      </c>
      <c r="AP663" s="126">
        <v>32</v>
      </c>
      <c r="AQ663" s="124" t="s">
        <v>54</v>
      </c>
      <c r="AR663" s="125">
        <v>180</v>
      </c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</row>
    <row r="664" spans="1:61" ht="16.5">
      <c r="A664" s="125">
        <v>181</v>
      </c>
      <c r="B664" s="126"/>
      <c r="C664" s="112">
        <v>81.599999999999994</v>
      </c>
      <c r="D664" s="112">
        <v>5.9</v>
      </c>
      <c r="E664" s="106">
        <v>6.8</v>
      </c>
      <c r="F664" s="106">
        <v>0</v>
      </c>
      <c r="G664" s="112">
        <v>5.7</v>
      </c>
      <c r="H664" s="112">
        <v>0</v>
      </c>
      <c r="I664" s="112">
        <v>0</v>
      </c>
      <c r="J664" s="112">
        <v>0</v>
      </c>
      <c r="K664" s="112">
        <v>0</v>
      </c>
      <c r="L664" s="112">
        <v>0</v>
      </c>
      <c r="M664" s="74" t="str">
        <f t="array" ref="M664">_xlfn.TEXTJOIN("-", TRUE, IF(C664:L664&gt;0, $C$2:$L$2, ""))</f>
        <v xml:space="preserve"> Ti-Al-Zr-V</v>
      </c>
      <c r="N664" s="90">
        <f t="shared" si="20"/>
        <v>660</v>
      </c>
      <c r="O664" s="91">
        <f t="shared" si="21"/>
        <v>4</v>
      </c>
      <c r="P664" s="112">
        <v>1</v>
      </c>
      <c r="Q664" s="112">
        <v>0</v>
      </c>
      <c r="R664" s="112">
        <v>0</v>
      </c>
      <c r="S664" s="130">
        <v>0</v>
      </c>
      <c r="T664" s="131">
        <v>0</v>
      </c>
      <c r="U664" s="112">
        <v>0</v>
      </c>
      <c r="V664" s="112">
        <v>0</v>
      </c>
      <c r="W664" s="112">
        <v>0</v>
      </c>
      <c r="X664" s="112">
        <v>0</v>
      </c>
      <c r="Y664" s="112">
        <v>0</v>
      </c>
      <c r="Z664" s="126"/>
      <c r="AA664" s="126"/>
      <c r="AB664" s="112">
        <v>1193.4000000000001</v>
      </c>
      <c r="AC664" s="112"/>
      <c r="AD664" s="112">
        <v>1.79</v>
      </c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 t="s">
        <v>177</v>
      </c>
      <c r="AO664" s="126" t="s">
        <v>178</v>
      </c>
      <c r="AP664" s="126">
        <v>32</v>
      </c>
      <c r="AQ664" s="124" t="s">
        <v>54</v>
      </c>
      <c r="AR664" s="125">
        <v>181</v>
      </c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</row>
    <row r="665" spans="1:61" ht="16.5">
      <c r="A665" s="125">
        <v>182</v>
      </c>
      <c r="B665" s="126"/>
      <c r="C665" s="112">
        <v>79.5</v>
      </c>
      <c r="D665" s="112">
        <v>5.6</v>
      </c>
      <c r="E665" s="112">
        <v>8.1</v>
      </c>
      <c r="F665" s="112">
        <v>0</v>
      </c>
      <c r="G665" s="112">
        <v>6.8</v>
      </c>
      <c r="H665" s="112">
        <v>0</v>
      </c>
      <c r="I665" s="112">
        <v>0</v>
      </c>
      <c r="J665" s="112">
        <v>0</v>
      </c>
      <c r="K665" s="112">
        <v>0</v>
      </c>
      <c r="L665" s="112">
        <v>0</v>
      </c>
      <c r="M665" s="74" t="str">
        <f t="array" ref="M665">_xlfn.TEXTJOIN("-", TRUE, IF(C665:L665&gt;0, $C$2:$L$2, ""))</f>
        <v xml:space="preserve"> Ti-Al-Zr-V</v>
      </c>
      <c r="N665" s="90">
        <f t="shared" si="20"/>
        <v>660</v>
      </c>
      <c r="O665" s="91">
        <f t="shared" si="21"/>
        <v>4</v>
      </c>
      <c r="P665" s="112">
        <v>1</v>
      </c>
      <c r="Q665" s="112">
        <v>0</v>
      </c>
      <c r="R665" s="112">
        <v>0</v>
      </c>
      <c r="S665" s="130">
        <v>0</v>
      </c>
      <c r="T665" s="131">
        <v>0</v>
      </c>
      <c r="U665" s="112">
        <v>0</v>
      </c>
      <c r="V665" s="112">
        <v>0</v>
      </c>
      <c r="W665" s="112">
        <v>0</v>
      </c>
      <c r="X665" s="112">
        <v>0</v>
      </c>
      <c r="Y665" s="112">
        <v>0</v>
      </c>
      <c r="Z665" s="126"/>
      <c r="AA665" s="126"/>
      <c r="AB665" s="112">
        <v>1293</v>
      </c>
      <c r="AC665" s="112"/>
      <c r="AD665" s="112">
        <v>2.0099999999999998</v>
      </c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 t="s">
        <v>177</v>
      </c>
      <c r="AO665" s="126" t="s">
        <v>178</v>
      </c>
      <c r="AP665" s="126">
        <v>32</v>
      </c>
      <c r="AQ665" s="124" t="s">
        <v>54</v>
      </c>
      <c r="AR665" s="125">
        <v>182</v>
      </c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</row>
    <row r="666" spans="1:61" ht="16.5">
      <c r="A666" s="125">
        <v>183</v>
      </c>
      <c r="B666" s="126"/>
      <c r="C666" s="112">
        <v>77.599999999999994</v>
      </c>
      <c r="D666" s="112">
        <v>5.3</v>
      </c>
      <c r="E666" s="112">
        <v>9.3000000000000007</v>
      </c>
      <c r="F666" s="112">
        <v>0</v>
      </c>
      <c r="G666" s="112">
        <v>7.8</v>
      </c>
      <c r="H666" s="112">
        <v>0</v>
      </c>
      <c r="I666" s="112">
        <v>0</v>
      </c>
      <c r="J666" s="112">
        <v>0</v>
      </c>
      <c r="K666" s="112">
        <v>0</v>
      </c>
      <c r="L666" s="112">
        <v>0</v>
      </c>
      <c r="M666" s="74" t="str">
        <f t="array" ref="M666">_xlfn.TEXTJOIN("-", TRUE, IF(C666:L666&gt;0, $C$2:$L$2, ""))</f>
        <v xml:space="preserve"> Ti-Al-Zr-V</v>
      </c>
      <c r="N666" s="90">
        <f t="shared" si="20"/>
        <v>660</v>
      </c>
      <c r="O666" s="91">
        <f t="shared" si="21"/>
        <v>4</v>
      </c>
      <c r="P666" s="112">
        <v>1</v>
      </c>
      <c r="Q666" s="112">
        <v>0</v>
      </c>
      <c r="R666" s="112">
        <v>0</v>
      </c>
      <c r="S666" s="130">
        <v>0</v>
      </c>
      <c r="T666" s="131">
        <v>0</v>
      </c>
      <c r="U666" s="112">
        <v>0</v>
      </c>
      <c r="V666" s="112">
        <v>0</v>
      </c>
      <c r="W666" s="112">
        <v>0</v>
      </c>
      <c r="X666" s="112">
        <v>0</v>
      </c>
      <c r="Y666" s="112">
        <v>0</v>
      </c>
      <c r="Z666" s="126"/>
      <c r="AA666" s="126"/>
      <c r="AB666" s="112">
        <v>1253.07</v>
      </c>
      <c r="AC666" s="112"/>
      <c r="AD666" s="112">
        <v>4.79</v>
      </c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 t="s">
        <v>177</v>
      </c>
      <c r="AO666" s="126" t="s">
        <v>178</v>
      </c>
      <c r="AP666" s="126">
        <v>32</v>
      </c>
      <c r="AQ666" s="124" t="s">
        <v>54</v>
      </c>
      <c r="AR666" s="125">
        <v>183</v>
      </c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</row>
    <row r="667" spans="1:61" ht="16.5">
      <c r="A667" s="27">
        <v>102</v>
      </c>
      <c r="B667" s="20"/>
      <c r="C667" s="20">
        <v>90.1</v>
      </c>
      <c r="D667" s="20">
        <v>7.1</v>
      </c>
      <c r="E667" s="20">
        <v>1.6</v>
      </c>
      <c r="F667" s="20">
        <v>0</v>
      </c>
      <c r="G667" s="20">
        <v>1.2</v>
      </c>
      <c r="H667" s="20">
        <v>0</v>
      </c>
      <c r="I667" s="20">
        <v>0</v>
      </c>
      <c r="J667" s="20">
        <v>0</v>
      </c>
      <c r="K667" s="20">
        <v>0</v>
      </c>
      <c r="L667" s="20">
        <v>0</v>
      </c>
      <c r="M667" s="74" t="str">
        <f t="array" ref="M667">_xlfn.TEXTJOIN("-", TRUE, IF(C667:L667&gt;0, $C$2:$L$2, ""))</f>
        <v xml:space="preserve"> Ti-Al-Zr-V</v>
      </c>
      <c r="N667" s="90">
        <f t="shared" si="20"/>
        <v>660</v>
      </c>
      <c r="O667" s="91">
        <f t="shared" si="21"/>
        <v>4</v>
      </c>
      <c r="P667" s="20">
        <v>1</v>
      </c>
      <c r="Q667" s="20">
        <v>1</v>
      </c>
      <c r="R667" s="20"/>
      <c r="S667" s="132"/>
      <c r="T667" s="27"/>
      <c r="U667" s="20"/>
      <c r="V667" s="20"/>
      <c r="W667" s="20"/>
      <c r="X667" s="20"/>
      <c r="Y667" s="20"/>
      <c r="Z667" s="20"/>
      <c r="AA667" s="20"/>
      <c r="AB667" s="20">
        <v>787.75</v>
      </c>
      <c r="AC667" s="20"/>
      <c r="AD667" s="20">
        <v>14</v>
      </c>
      <c r="AE667" s="20"/>
      <c r="AF667" s="20"/>
      <c r="AG667" s="20"/>
      <c r="AH667" s="20"/>
      <c r="AI667" s="20"/>
      <c r="AJ667" s="20"/>
      <c r="AK667" s="20"/>
      <c r="AL667" s="20"/>
      <c r="AM667" s="20"/>
      <c r="AN667" s="20" t="s">
        <v>521</v>
      </c>
      <c r="AO667" s="20" t="s">
        <v>522</v>
      </c>
      <c r="AP667" s="20">
        <v>23</v>
      </c>
      <c r="AQ667" s="133" t="s">
        <v>374</v>
      </c>
      <c r="AR667" s="27">
        <v>102</v>
      </c>
    </row>
    <row r="668" spans="1:61" ht="16.5">
      <c r="A668" s="27">
        <v>103</v>
      </c>
      <c r="B668" s="20"/>
      <c r="C668" s="20">
        <v>87.9</v>
      </c>
      <c r="D668" s="20">
        <v>6.8</v>
      </c>
      <c r="E668" s="20">
        <v>2.9</v>
      </c>
      <c r="F668" s="20">
        <v>0</v>
      </c>
      <c r="G668" s="20">
        <v>2.4</v>
      </c>
      <c r="H668" s="20">
        <v>0</v>
      </c>
      <c r="I668" s="20">
        <v>0</v>
      </c>
      <c r="J668" s="20">
        <v>0</v>
      </c>
      <c r="K668" s="20">
        <v>0</v>
      </c>
      <c r="L668" s="20">
        <v>0</v>
      </c>
      <c r="M668" s="74" t="str">
        <f t="array" ref="M668">_xlfn.TEXTJOIN("-", TRUE, IF(C668:L668&gt;0, $C$2:$L$2, ""))</f>
        <v xml:space="preserve"> Ti-Al-Zr-V</v>
      </c>
      <c r="N668" s="90">
        <f t="shared" si="20"/>
        <v>660</v>
      </c>
      <c r="O668" s="91">
        <f t="shared" si="21"/>
        <v>4</v>
      </c>
      <c r="P668" s="20">
        <v>1</v>
      </c>
      <c r="Q668" s="20">
        <v>1</v>
      </c>
      <c r="R668" s="20"/>
      <c r="S668" s="132"/>
      <c r="T668" s="27"/>
      <c r="U668" s="20"/>
      <c r="V668" s="20"/>
      <c r="W668" s="20"/>
      <c r="X668" s="20"/>
      <c r="Y668" s="20"/>
      <c r="Z668" s="20"/>
      <c r="AA668" s="20"/>
      <c r="AB668" s="20">
        <v>840.86</v>
      </c>
      <c r="AC668" s="20"/>
      <c r="AD668" s="20">
        <v>10.44</v>
      </c>
      <c r="AE668" s="20"/>
      <c r="AF668" s="20"/>
      <c r="AG668" s="20"/>
      <c r="AH668" s="20"/>
      <c r="AI668" s="20"/>
      <c r="AJ668" s="20"/>
      <c r="AK668" s="20"/>
      <c r="AL668" s="20"/>
      <c r="AM668" s="20"/>
      <c r="AN668" s="20" t="s">
        <v>523</v>
      </c>
      <c r="AO668" s="20" t="s">
        <v>522</v>
      </c>
      <c r="AP668" s="20">
        <v>23</v>
      </c>
      <c r="AQ668" s="133" t="s">
        <v>374</v>
      </c>
      <c r="AR668" s="27">
        <v>103</v>
      </c>
    </row>
    <row r="669" spans="1:61" ht="16.5">
      <c r="A669" s="27">
        <v>104</v>
      </c>
      <c r="B669" s="20"/>
      <c r="C669" s="20">
        <v>85.8</v>
      </c>
      <c r="D669" s="20">
        <v>6.5</v>
      </c>
      <c r="E669" s="20">
        <v>4.2</v>
      </c>
      <c r="F669" s="20">
        <v>0</v>
      </c>
      <c r="G669" s="20">
        <v>3.5</v>
      </c>
      <c r="H669" s="20">
        <v>0</v>
      </c>
      <c r="I669" s="20">
        <v>0</v>
      </c>
      <c r="J669" s="20">
        <v>0</v>
      </c>
      <c r="K669" s="20">
        <v>0</v>
      </c>
      <c r="L669" s="20">
        <v>0</v>
      </c>
      <c r="M669" s="74" t="str">
        <f t="array" ref="M669">_xlfn.TEXTJOIN("-", TRUE, IF(C669:L669&gt;0, $C$2:$L$2, ""))</f>
        <v xml:space="preserve"> Ti-Al-Zr-V</v>
      </c>
      <c r="N669" s="90">
        <f t="shared" si="20"/>
        <v>660</v>
      </c>
      <c r="O669" s="91">
        <f t="shared" si="21"/>
        <v>4</v>
      </c>
      <c r="P669" s="20">
        <v>1</v>
      </c>
      <c r="Q669" s="20">
        <v>1</v>
      </c>
      <c r="R669" s="20"/>
      <c r="S669" s="132"/>
      <c r="T669" s="27"/>
      <c r="U669" s="20"/>
      <c r="V669" s="20"/>
      <c r="W669" s="20"/>
      <c r="X669" s="20"/>
      <c r="Y669" s="20"/>
      <c r="Z669" s="20"/>
      <c r="AA669" s="20"/>
      <c r="AB669" s="20">
        <v>963.77</v>
      </c>
      <c r="AC669" s="20"/>
      <c r="AD669" s="20">
        <v>7.2</v>
      </c>
      <c r="AE669" s="20"/>
      <c r="AF669" s="20"/>
      <c r="AG669" s="20"/>
      <c r="AH669" s="20"/>
      <c r="AI669" s="20"/>
      <c r="AJ669" s="20"/>
      <c r="AK669" s="20"/>
      <c r="AL669" s="20"/>
      <c r="AM669" s="20"/>
      <c r="AN669" s="20" t="s">
        <v>524</v>
      </c>
      <c r="AO669" s="20" t="s">
        <v>522</v>
      </c>
      <c r="AP669" s="20">
        <v>23</v>
      </c>
      <c r="AQ669" s="133" t="s">
        <v>374</v>
      </c>
      <c r="AR669" s="27">
        <v>104</v>
      </c>
    </row>
    <row r="670" spans="1:61" ht="16.5">
      <c r="A670" s="27">
        <v>105</v>
      </c>
      <c r="B670" s="20"/>
      <c r="C670" s="20">
        <v>83.6</v>
      </c>
      <c r="D670" s="20">
        <v>6.2</v>
      </c>
      <c r="E670" s="20">
        <v>5.6</v>
      </c>
      <c r="F670" s="20">
        <v>0</v>
      </c>
      <c r="G670" s="20">
        <v>4.5999999999999996</v>
      </c>
      <c r="H670" s="20">
        <v>0</v>
      </c>
      <c r="I670" s="20">
        <v>0</v>
      </c>
      <c r="J670" s="20">
        <v>0</v>
      </c>
      <c r="K670" s="20">
        <v>0</v>
      </c>
      <c r="L670" s="20">
        <v>0</v>
      </c>
      <c r="M670" s="74" t="str">
        <f t="array" ref="M670">_xlfn.TEXTJOIN("-", TRUE, IF(C670:L670&gt;0, $C$2:$L$2, ""))</f>
        <v xml:space="preserve"> Ti-Al-Zr-V</v>
      </c>
      <c r="N670" s="90">
        <f t="shared" si="20"/>
        <v>660</v>
      </c>
      <c r="O670" s="91">
        <f t="shared" si="21"/>
        <v>4</v>
      </c>
      <c r="P670" s="20">
        <v>1</v>
      </c>
      <c r="Q670" s="20">
        <v>1</v>
      </c>
      <c r="R670" s="20"/>
      <c r="S670" s="132"/>
      <c r="T670" s="27"/>
      <c r="U670" s="20"/>
      <c r="V670" s="20"/>
      <c r="W670" s="20"/>
      <c r="X670" s="20"/>
      <c r="Y670" s="20"/>
      <c r="Z670" s="20"/>
      <c r="AA670" s="20"/>
      <c r="AB670" s="20">
        <v>1070.49</v>
      </c>
      <c r="AC670" s="20"/>
      <c r="AD670" s="20">
        <v>5.24</v>
      </c>
      <c r="AE670" s="20"/>
      <c r="AF670" s="20"/>
      <c r="AG670" s="20"/>
      <c r="AH670" s="20"/>
      <c r="AI670" s="20"/>
      <c r="AJ670" s="20"/>
      <c r="AK670" s="20"/>
      <c r="AL670" s="20"/>
      <c r="AM670" s="20"/>
      <c r="AN670" s="20" t="s">
        <v>525</v>
      </c>
      <c r="AO670" s="20" t="s">
        <v>522</v>
      </c>
      <c r="AP670" s="20">
        <v>23</v>
      </c>
      <c r="AQ670" s="133" t="s">
        <v>374</v>
      </c>
      <c r="AR670" s="27">
        <v>105</v>
      </c>
    </row>
    <row r="671" spans="1:61" ht="16.5">
      <c r="A671" s="27">
        <v>106</v>
      </c>
      <c r="B671" s="20"/>
      <c r="C671" s="20">
        <v>81.599999999999994</v>
      </c>
      <c r="D671" s="20">
        <v>5.9</v>
      </c>
      <c r="E671" s="20">
        <v>6.8</v>
      </c>
      <c r="F671" s="20">
        <v>0</v>
      </c>
      <c r="G671" s="20">
        <v>5.7</v>
      </c>
      <c r="H671" s="20">
        <v>0</v>
      </c>
      <c r="I671" s="20">
        <v>0</v>
      </c>
      <c r="J671" s="20">
        <v>0</v>
      </c>
      <c r="K671" s="20">
        <v>0</v>
      </c>
      <c r="L671" s="20">
        <v>0</v>
      </c>
      <c r="M671" s="74" t="str">
        <f t="array" ref="M671">_xlfn.TEXTJOIN("-", TRUE, IF(C671:L671&gt;0, $C$2:$L$2, ""))</f>
        <v xml:space="preserve"> Ti-Al-Zr-V</v>
      </c>
      <c r="N671" s="90">
        <f t="shared" si="20"/>
        <v>660</v>
      </c>
      <c r="O671" s="91">
        <f t="shared" si="21"/>
        <v>4</v>
      </c>
      <c r="P671" s="20">
        <v>1</v>
      </c>
      <c r="Q671" s="20">
        <v>1</v>
      </c>
      <c r="R671" s="20"/>
      <c r="S671" s="132"/>
      <c r="T671" s="27"/>
      <c r="U671" s="20"/>
      <c r="V671" s="20"/>
      <c r="W671" s="20"/>
      <c r="X671" s="20"/>
      <c r="Y671" s="20"/>
      <c r="Z671" s="20"/>
      <c r="AA671" s="20"/>
      <c r="AB671" s="20">
        <v>1193.4000000000001</v>
      </c>
      <c r="AC671" s="20"/>
      <c r="AD671" s="20">
        <v>1.81</v>
      </c>
      <c r="AE671" s="20"/>
      <c r="AF671" s="20"/>
      <c r="AG671" s="20"/>
      <c r="AH671" s="20"/>
      <c r="AI671" s="20"/>
      <c r="AJ671" s="20"/>
      <c r="AK671" s="20"/>
      <c r="AL671" s="20"/>
      <c r="AM671" s="20"/>
      <c r="AN671" s="20" t="s">
        <v>526</v>
      </c>
      <c r="AO671" s="20" t="s">
        <v>522</v>
      </c>
      <c r="AP671" s="20">
        <v>23</v>
      </c>
      <c r="AQ671" s="133" t="s">
        <v>374</v>
      </c>
      <c r="AR671" s="27">
        <v>106</v>
      </c>
    </row>
    <row r="672" spans="1:61" ht="16.5">
      <c r="A672" s="27">
        <v>107</v>
      </c>
      <c r="B672" s="20"/>
      <c r="C672" s="20">
        <v>79.5</v>
      </c>
      <c r="D672" s="20">
        <v>5.6</v>
      </c>
      <c r="E672" s="20">
        <v>8.1</v>
      </c>
      <c r="F672" s="20">
        <v>0</v>
      </c>
      <c r="G672" s="20">
        <v>6.8</v>
      </c>
      <c r="H672" s="20">
        <v>0</v>
      </c>
      <c r="I672" s="20">
        <v>0</v>
      </c>
      <c r="J672" s="20">
        <v>0</v>
      </c>
      <c r="K672" s="20">
        <v>0</v>
      </c>
      <c r="L672" s="20">
        <v>0</v>
      </c>
      <c r="M672" s="74" t="str">
        <f t="array" ref="M672">_xlfn.TEXTJOIN("-", TRUE, IF(C672:L672&gt;0, $C$2:$L$2, ""))</f>
        <v xml:space="preserve"> Ti-Al-Zr-V</v>
      </c>
      <c r="N672" s="90">
        <f t="shared" si="20"/>
        <v>660</v>
      </c>
      <c r="O672" s="91">
        <f t="shared" si="21"/>
        <v>4</v>
      </c>
      <c r="P672" s="20">
        <v>1</v>
      </c>
      <c r="Q672" s="20">
        <v>1</v>
      </c>
      <c r="R672" s="20"/>
      <c r="S672" s="132"/>
      <c r="T672" s="27"/>
      <c r="U672" s="20"/>
      <c r="V672" s="20"/>
      <c r="W672" s="20"/>
      <c r="X672" s="20"/>
      <c r="Y672" s="20"/>
      <c r="Z672" s="20"/>
      <c r="AA672" s="20"/>
      <c r="AB672" s="20">
        <v>1293</v>
      </c>
      <c r="AC672" s="20"/>
      <c r="AD672" s="20">
        <v>2</v>
      </c>
      <c r="AE672" s="20"/>
      <c r="AF672" s="20"/>
      <c r="AG672" s="20"/>
      <c r="AH672" s="20"/>
      <c r="AI672" s="20"/>
      <c r="AJ672" s="20"/>
      <c r="AK672" s="20"/>
      <c r="AL672" s="20"/>
      <c r="AM672" s="20"/>
      <c r="AN672" s="20" t="s">
        <v>527</v>
      </c>
      <c r="AO672" s="20" t="s">
        <v>522</v>
      </c>
      <c r="AP672" s="20">
        <v>23</v>
      </c>
      <c r="AQ672" s="133" t="s">
        <v>374</v>
      </c>
      <c r="AR672" s="27">
        <v>107</v>
      </c>
    </row>
    <row r="673" spans="1:46" ht="16.5">
      <c r="A673" s="27">
        <v>108</v>
      </c>
      <c r="B673" s="20"/>
      <c r="C673" s="20">
        <v>77.599999999999994</v>
      </c>
      <c r="D673" s="20">
        <v>5.3</v>
      </c>
      <c r="E673" s="20">
        <v>9.3000000000000007</v>
      </c>
      <c r="F673" s="20">
        <v>0</v>
      </c>
      <c r="G673" s="20">
        <v>7.8</v>
      </c>
      <c r="H673" s="20">
        <v>0</v>
      </c>
      <c r="I673" s="20">
        <v>0</v>
      </c>
      <c r="J673" s="20">
        <v>0</v>
      </c>
      <c r="K673" s="20">
        <v>0</v>
      </c>
      <c r="L673" s="20">
        <v>0</v>
      </c>
      <c r="M673" s="74" t="str">
        <f t="array" ref="M673">_xlfn.TEXTJOIN("-", TRUE, IF(C673:L673&gt;0, $C$2:$L$2, ""))</f>
        <v xml:space="preserve"> Ti-Al-Zr-V</v>
      </c>
      <c r="N673" s="90">
        <f t="shared" si="20"/>
        <v>660</v>
      </c>
      <c r="O673" s="91">
        <f t="shared" si="21"/>
        <v>4</v>
      </c>
      <c r="P673" s="20">
        <v>1</v>
      </c>
      <c r="Q673" s="20">
        <v>1</v>
      </c>
      <c r="R673" s="20"/>
      <c r="S673" s="132"/>
      <c r="T673" s="27"/>
      <c r="U673" s="20"/>
      <c r="V673" s="20"/>
      <c r="W673" s="20"/>
      <c r="X673" s="20"/>
      <c r="Y673" s="20"/>
      <c r="Z673" s="20"/>
      <c r="AA673" s="20"/>
      <c r="AB673" s="20">
        <v>1253.07</v>
      </c>
      <c r="AC673" s="20"/>
      <c r="AD673" s="20">
        <v>4.63</v>
      </c>
      <c r="AE673" s="20"/>
      <c r="AF673" s="20"/>
      <c r="AG673" s="20"/>
      <c r="AH673" s="20"/>
      <c r="AI673" s="20"/>
      <c r="AJ673" s="20"/>
      <c r="AK673" s="20"/>
      <c r="AL673" s="20"/>
      <c r="AM673" s="20"/>
      <c r="AN673" s="20" t="s">
        <v>528</v>
      </c>
      <c r="AO673" s="20" t="s">
        <v>522</v>
      </c>
      <c r="AP673" s="20">
        <v>23</v>
      </c>
      <c r="AQ673" s="133" t="s">
        <v>374</v>
      </c>
      <c r="AR673" s="27">
        <v>108</v>
      </c>
    </row>
    <row r="674" spans="1:46" ht="16.5">
      <c r="A674" s="105">
        <v>397</v>
      </c>
      <c r="B674" s="111" t="s">
        <v>113</v>
      </c>
      <c r="C674" s="109">
        <v>69.33</v>
      </c>
      <c r="D674" s="109">
        <v>9.92</v>
      </c>
      <c r="E674" s="109">
        <v>17.599999999999998</v>
      </c>
      <c r="F674" s="109">
        <v>0</v>
      </c>
      <c r="G674" s="109">
        <v>3.15</v>
      </c>
      <c r="H674" s="109">
        <v>0</v>
      </c>
      <c r="I674" s="109">
        <v>0</v>
      </c>
      <c r="J674" s="109">
        <v>0</v>
      </c>
      <c r="K674" s="109">
        <v>0</v>
      </c>
      <c r="L674" s="109">
        <v>0</v>
      </c>
      <c r="M674" s="74" t="str">
        <f t="array" ref="M674">_xlfn.TEXTJOIN("-", TRUE, IF(C674:L674&gt;0, $C$2:$L$2, ""))</f>
        <v xml:space="preserve"> Ti-Al-Zr-V</v>
      </c>
      <c r="N674" s="90">
        <f t="shared" si="20"/>
        <v>660</v>
      </c>
      <c r="O674" s="91">
        <f t="shared" si="21"/>
        <v>4</v>
      </c>
      <c r="P674" s="109">
        <v>1</v>
      </c>
      <c r="Q674" s="109">
        <v>1</v>
      </c>
      <c r="R674" s="114" t="s">
        <v>113</v>
      </c>
      <c r="S674" s="115" t="s">
        <v>113</v>
      </c>
      <c r="T674" s="105" t="s">
        <v>113</v>
      </c>
      <c r="U674" s="111" t="s">
        <v>113</v>
      </c>
      <c r="V674" s="109">
        <v>2</v>
      </c>
      <c r="W674" s="111" t="s">
        <v>113</v>
      </c>
      <c r="X674" s="111" t="s">
        <v>113</v>
      </c>
      <c r="Y674" s="111" t="s">
        <v>113</v>
      </c>
      <c r="Z674" s="109">
        <v>97</v>
      </c>
      <c r="AA674" s="111" t="s">
        <v>113</v>
      </c>
      <c r="AB674" s="111" t="s">
        <v>113</v>
      </c>
      <c r="AC674" s="109">
        <v>1181</v>
      </c>
      <c r="AD674" s="111" t="s">
        <v>113</v>
      </c>
      <c r="AE674" s="111" t="s">
        <v>113</v>
      </c>
      <c r="AF674" s="111" t="s">
        <v>113</v>
      </c>
      <c r="AG674" s="111" t="s">
        <v>113</v>
      </c>
      <c r="AH674" s="111" t="s">
        <v>113</v>
      </c>
      <c r="AI674" s="111" t="s">
        <v>113</v>
      </c>
      <c r="AJ674" s="111" t="s">
        <v>113</v>
      </c>
      <c r="AK674" s="111" t="s">
        <v>113</v>
      </c>
      <c r="AL674" s="111" t="s">
        <v>113</v>
      </c>
      <c r="AM674" s="111"/>
      <c r="AN674" s="111" t="s">
        <v>113</v>
      </c>
      <c r="AO674" s="111" t="s">
        <v>114</v>
      </c>
      <c r="AP674" s="109">
        <v>397</v>
      </c>
      <c r="AQ674" s="110" t="s">
        <v>100</v>
      </c>
      <c r="AR674" s="105">
        <v>397</v>
      </c>
    </row>
    <row r="675" spans="1:46" ht="16.5">
      <c r="A675" s="105">
        <v>413</v>
      </c>
      <c r="B675" s="111" t="s">
        <v>113</v>
      </c>
      <c r="C675" s="109">
        <v>57.69</v>
      </c>
      <c r="D675" s="109">
        <v>10.89</v>
      </c>
      <c r="E675" s="109">
        <v>30.270000000000003</v>
      </c>
      <c r="F675" s="109">
        <v>0</v>
      </c>
      <c r="G675" s="109">
        <v>1.1499999999999999</v>
      </c>
      <c r="H675" s="109">
        <v>0</v>
      </c>
      <c r="I675" s="109">
        <v>0</v>
      </c>
      <c r="J675" s="109">
        <v>0</v>
      </c>
      <c r="K675" s="109">
        <v>0</v>
      </c>
      <c r="L675" s="109">
        <v>0</v>
      </c>
      <c r="M675" s="74" t="str">
        <f t="array" ref="M675">_xlfn.TEXTJOIN("-", TRUE, IF(C675:L675&gt;0, $C$2:$L$2, ""))</f>
        <v xml:space="preserve"> Ti-Al-Zr-V</v>
      </c>
      <c r="N675" s="90">
        <f t="shared" si="20"/>
        <v>660</v>
      </c>
      <c r="O675" s="91">
        <f t="shared" si="21"/>
        <v>4</v>
      </c>
      <c r="P675" s="109">
        <v>1</v>
      </c>
      <c r="Q675" s="139">
        <v>1</v>
      </c>
      <c r="R675" s="21" t="s">
        <v>113</v>
      </c>
      <c r="S675" s="140" t="s">
        <v>113</v>
      </c>
      <c r="T675" s="105" t="s">
        <v>113</v>
      </c>
      <c r="U675" s="111" t="s">
        <v>113</v>
      </c>
      <c r="V675" s="111">
        <v>1</v>
      </c>
      <c r="W675" s="111" t="s">
        <v>113</v>
      </c>
      <c r="X675" s="111" t="s">
        <v>113</v>
      </c>
      <c r="Y675" s="111" t="s">
        <v>113</v>
      </c>
      <c r="Z675" s="109">
        <v>72</v>
      </c>
      <c r="AA675" s="111" t="s">
        <v>113</v>
      </c>
      <c r="AB675" s="111" t="s">
        <v>113</v>
      </c>
      <c r="AC675" s="109">
        <v>740</v>
      </c>
      <c r="AD675" s="111" t="s">
        <v>113</v>
      </c>
      <c r="AE675" s="111" t="s">
        <v>113</v>
      </c>
      <c r="AF675" s="111" t="s">
        <v>113</v>
      </c>
      <c r="AG675" s="111" t="s">
        <v>113</v>
      </c>
      <c r="AH675" s="111" t="s">
        <v>113</v>
      </c>
      <c r="AI675" s="111" t="s">
        <v>113</v>
      </c>
      <c r="AJ675" s="111" t="s">
        <v>113</v>
      </c>
      <c r="AK675" s="111" t="s">
        <v>113</v>
      </c>
      <c r="AL675" s="111" t="s">
        <v>113</v>
      </c>
      <c r="AM675" s="111"/>
      <c r="AN675" s="111" t="s">
        <v>113</v>
      </c>
      <c r="AO675" s="111" t="s">
        <v>114</v>
      </c>
      <c r="AP675" s="109">
        <v>413</v>
      </c>
      <c r="AQ675" s="110" t="s">
        <v>100</v>
      </c>
      <c r="AR675" s="105">
        <v>413</v>
      </c>
    </row>
    <row r="676" spans="1:46" ht="16.5">
      <c r="A676" s="105">
        <v>414</v>
      </c>
      <c r="B676" s="111" t="s">
        <v>113</v>
      </c>
      <c r="C676" s="109">
        <v>56.220000000000006</v>
      </c>
      <c r="D676" s="109">
        <v>10.84</v>
      </c>
      <c r="E676" s="109">
        <v>29.5</v>
      </c>
      <c r="F676" s="109">
        <v>0</v>
      </c>
      <c r="G676" s="109">
        <v>3.45</v>
      </c>
      <c r="H676" s="109">
        <v>0</v>
      </c>
      <c r="I676" s="109">
        <v>0</v>
      </c>
      <c r="J676" s="109">
        <v>0</v>
      </c>
      <c r="K676" s="109">
        <v>0</v>
      </c>
      <c r="L676" s="109">
        <v>0</v>
      </c>
      <c r="M676" s="74" t="str">
        <f t="array" ref="M676">_xlfn.TEXTJOIN("-", TRUE, IF(C676:L676&gt;0, $C$2:$L$2, ""))</f>
        <v xml:space="preserve"> Ti-Al-Zr-V</v>
      </c>
      <c r="N676" s="90">
        <f t="shared" si="20"/>
        <v>660</v>
      </c>
      <c r="O676" s="91">
        <f t="shared" si="21"/>
        <v>4</v>
      </c>
      <c r="P676" s="109">
        <v>1</v>
      </c>
      <c r="Q676" s="139">
        <v>1</v>
      </c>
      <c r="R676" s="21" t="s">
        <v>113</v>
      </c>
      <c r="S676" s="140" t="s">
        <v>113</v>
      </c>
      <c r="T676" s="105" t="s">
        <v>113</v>
      </c>
      <c r="U676" s="111" t="s">
        <v>113</v>
      </c>
      <c r="V676" s="111">
        <v>1</v>
      </c>
      <c r="W676" s="111" t="s">
        <v>113</v>
      </c>
      <c r="X676" s="111" t="s">
        <v>113</v>
      </c>
      <c r="Y676" s="111" t="s">
        <v>113</v>
      </c>
      <c r="Z676" s="109">
        <v>68</v>
      </c>
      <c r="AA676" s="111" t="s">
        <v>113</v>
      </c>
      <c r="AB676" s="111" t="s">
        <v>113</v>
      </c>
      <c r="AC676" s="109">
        <v>690</v>
      </c>
      <c r="AD676" s="111" t="s">
        <v>113</v>
      </c>
      <c r="AE676" s="111" t="s">
        <v>113</v>
      </c>
      <c r="AF676" s="111" t="s">
        <v>113</v>
      </c>
      <c r="AG676" s="111" t="s">
        <v>113</v>
      </c>
      <c r="AH676" s="111" t="s">
        <v>113</v>
      </c>
      <c r="AI676" s="111" t="s">
        <v>113</v>
      </c>
      <c r="AJ676" s="111" t="s">
        <v>113</v>
      </c>
      <c r="AK676" s="111" t="s">
        <v>113</v>
      </c>
      <c r="AL676" s="111" t="s">
        <v>113</v>
      </c>
      <c r="AM676" s="111"/>
      <c r="AN676" s="111" t="s">
        <v>113</v>
      </c>
      <c r="AO676" s="111" t="s">
        <v>114</v>
      </c>
      <c r="AP676" s="109">
        <v>414</v>
      </c>
      <c r="AQ676" s="110" t="s">
        <v>100</v>
      </c>
      <c r="AR676" s="105">
        <v>414</v>
      </c>
    </row>
    <row r="677" spans="1:46" ht="16.5">
      <c r="A677" s="105">
        <v>415</v>
      </c>
      <c r="B677" s="111" t="s">
        <v>113</v>
      </c>
      <c r="C677" s="109">
        <v>54.76</v>
      </c>
      <c r="D677" s="109">
        <v>10.79</v>
      </c>
      <c r="E677" s="109">
        <v>28.73</v>
      </c>
      <c r="F677" s="109">
        <v>0</v>
      </c>
      <c r="G677" s="109">
        <v>5.72</v>
      </c>
      <c r="H677" s="109">
        <v>0</v>
      </c>
      <c r="I677" s="109">
        <v>0</v>
      </c>
      <c r="J677" s="109">
        <v>0</v>
      </c>
      <c r="K677" s="109">
        <v>0</v>
      </c>
      <c r="L677" s="109">
        <v>0</v>
      </c>
      <c r="M677" s="74" t="str">
        <f t="array" ref="M677">_xlfn.TEXTJOIN("-", TRUE, IF(C677:L677&gt;0, $C$2:$L$2, ""))</f>
        <v xml:space="preserve"> Ti-Al-Zr-V</v>
      </c>
      <c r="N677" s="90">
        <f t="shared" si="20"/>
        <v>660</v>
      </c>
      <c r="O677" s="91">
        <f t="shared" si="21"/>
        <v>4</v>
      </c>
      <c r="P677" s="109">
        <v>1</v>
      </c>
      <c r="Q677" s="139">
        <v>1</v>
      </c>
      <c r="R677" s="21" t="s">
        <v>113</v>
      </c>
      <c r="S677" s="140" t="s">
        <v>113</v>
      </c>
      <c r="T677" s="105" t="s">
        <v>113</v>
      </c>
      <c r="U677" s="111" t="s">
        <v>113</v>
      </c>
      <c r="V677" s="111">
        <v>1</v>
      </c>
      <c r="W677" s="111" t="s">
        <v>113</v>
      </c>
      <c r="X677" s="111" t="s">
        <v>113</v>
      </c>
      <c r="Y677" s="111" t="s">
        <v>113</v>
      </c>
      <c r="Z677" s="109">
        <v>73</v>
      </c>
      <c r="AA677" s="111" t="s">
        <v>113</v>
      </c>
      <c r="AB677" s="111" t="s">
        <v>113</v>
      </c>
      <c r="AC677" s="109">
        <v>955</v>
      </c>
      <c r="AD677" s="111" t="s">
        <v>113</v>
      </c>
      <c r="AE677" s="111" t="s">
        <v>113</v>
      </c>
      <c r="AF677" s="111" t="s">
        <v>113</v>
      </c>
      <c r="AG677" s="111" t="s">
        <v>113</v>
      </c>
      <c r="AH677" s="111" t="s">
        <v>113</v>
      </c>
      <c r="AI677" s="111" t="s">
        <v>113</v>
      </c>
      <c r="AJ677" s="111" t="s">
        <v>113</v>
      </c>
      <c r="AK677" s="111" t="s">
        <v>113</v>
      </c>
      <c r="AL677" s="111" t="s">
        <v>113</v>
      </c>
      <c r="AM677" s="111"/>
      <c r="AN677" s="111" t="s">
        <v>113</v>
      </c>
      <c r="AO677" s="111" t="s">
        <v>114</v>
      </c>
      <c r="AP677" s="109">
        <v>415</v>
      </c>
      <c r="AQ677" s="110" t="s">
        <v>100</v>
      </c>
      <c r="AR677" s="105">
        <v>415</v>
      </c>
    </row>
    <row r="678" spans="1:46" ht="16.5">
      <c r="A678" s="105">
        <v>416</v>
      </c>
      <c r="B678" s="111" t="s">
        <v>113</v>
      </c>
      <c r="C678" s="109">
        <v>53.31</v>
      </c>
      <c r="D678" s="109">
        <v>10.75</v>
      </c>
      <c r="E678" s="109">
        <v>27.97</v>
      </c>
      <c r="F678" s="109">
        <v>0</v>
      </c>
      <c r="G678" s="109">
        <v>7.9699999999999989</v>
      </c>
      <c r="H678" s="109">
        <v>0</v>
      </c>
      <c r="I678" s="109">
        <v>0</v>
      </c>
      <c r="J678" s="109">
        <v>0</v>
      </c>
      <c r="K678" s="109">
        <v>0</v>
      </c>
      <c r="L678" s="109">
        <v>0</v>
      </c>
      <c r="M678" s="74" t="str">
        <f t="array" ref="M678">_xlfn.TEXTJOIN("-", TRUE, IF(C678:L678&gt;0, $C$2:$L$2, ""))</f>
        <v xml:space="preserve"> Ti-Al-Zr-V</v>
      </c>
      <c r="N678" s="90">
        <f t="shared" si="20"/>
        <v>660</v>
      </c>
      <c r="O678" s="91">
        <f t="shared" si="21"/>
        <v>4</v>
      </c>
      <c r="P678" s="109">
        <v>1</v>
      </c>
      <c r="Q678" s="139">
        <v>1</v>
      </c>
      <c r="R678" s="21" t="s">
        <v>113</v>
      </c>
      <c r="S678" s="140" t="s">
        <v>113</v>
      </c>
      <c r="T678" s="105" t="s">
        <v>113</v>
      </c>
      <c r="U678" s="111" t="s">
        <v>113</v>
      </c>
      <c r="V678" s="111">
        <v>1</v>
      </c>
      <c r="W678" s="111" t="s">
        <v>113</v>
      </c>
      <c r="X678" s="111" t="s">
        <v>113</v>
      </c>
      <c r="Y678" s="111" t="s">
        <v>113</v>
      </c>
      <c r="Z678" s="109">
        <v>81</v>
      </c>
      <c r="AA678" s="111" t="s">
        <v>113</v>
      </c>
      <c r="AB678" s="111" t="s">
        <v>113</v>
      </c>
      <c r="AC678" s="109">
        <v>1065</v>
      </c>
      <c r="AD678" s="111" t="s">
        <v>113</v>
      </c>
      <c r="AE678" s="111" t="s">
        <v>113</v>
      </c>
      <c r="AF678" s="111" t="s">
        <v>113</v>
      </c>
      <c r="AG678" s="111" t="s">
        <v>113</v>
      </c>
      <c r="AH678" s="111" t="s">
        <v>113</v>
      </c>
      <c r="AI678" s="111" t="s">
        <v>113</v>
      </c>
      <c r="AJ678" s="111" t="s">
        <v>113</v>
      </c>
      <c r="AK678" s="111" t="s">
        <v>113</v>
      </c>
      <c r="AL678" s="111" t="s">
        <v>113</v>
      </c>
      <c r="AM678" s="111"/>
      <c r="AN678" s="111" t="s">
        <v>113</v>
      </c>
      <c r="AO678" s="111" t="s">
        <v>114</v>
      </c>
      <c r="AP678" s="109">
        <v>416</v>
      </c>
      <c r="AQ678" s="110" t="s">
        <v>100</v>
      </c>
      <c r="AR678" s="105">
        <v>416</v>
      </c>
    </row>
    <row r="679" spans="1:46" ht="16.5">
      <c r="A679" s="105">
        <v>13</v>
      </c>
      <c r="B679" s="111" t="s">
        <v>101</v>
      </c>
      <c r="C679" s="111">
        <v>89.02</v>
      </c>
      <c r="D679" s="111">
        <v>5.07</v>
      </c>
      <c r="E679" s="111">
        <v>2.95</v>
      </c>
      <c r="F679" s="111">
        <v>0</v>
      </c>
      <c r="G679" s="111">
        <v>2.96</v>
      </c>
      <c r="H679" s="111">
        <v>0</v>
      </c>
      <c r="I679" s="111">
        <v>0</v>
      </c>
      <c r="J679" s="111">
        <v>0</v>
      </c>
      <c r="K679" s="111">
        <v>0</v>
      </c>
      <c r="L679" s="111">
        <v>0</v>
      </c>
      <c r="M679" s="74" t="str">
        <f t="array" ref="M679">_xlfn.TEXTJOIN("-", TRUE, IF(C679:L679&gt;0, $C$2:$L$2, ""))</f>
        <v xml:space="preserve"> Ti-Al-Zr-V</v>
      </c>
      <c r="N679" s="90">
        <f t="shared" si="20"/>
        <v>660</v>
      </c>
      <c r="O679" s="91">
        <f t="shared" si="21"/>
        <v>4</v>
      </c>
      <c r="P679" s="111">
        <v>1</v>
      </c>
      <c r="Q679" s="115">
        <v>0</v>
      </c>
      <c r="R679" s="21">
        <v>0</v>
      </c>
      <c r="S679" s="140">
        <v>0</v>
      </c>
      <c r="T679" s="141">
        <v>700</v>
      </c>
      <c r="U679" s="109">
        <v>1</v>
      </c>
      <c r="V679" s="112">
        <v>2</v>
      </c>
      <c r="W679" s="109">
        <v>0</v>
      </c>
      <c r="X679" s="109">
        <v>0</v>
      </c>
      <c r="Y679" s="113">
        <v>0</v>
      </c>
      <c r="Z679" s="18" t="s">
        <v>102</v>
      </c>
      <c r="AA679" s="18" t="s">
        <v>102</v>
      </c>
      <c r="AB679" s="111">
        <v>904.97699999999998</v>
      </c>
      <c r="AC679" s="111">
        <v>832.57899999999995</v>
      </c>
      <c r="AD679" s="111">
        <v>17.3749</v>
      </c>
      <c r="AE679" s="18" t="s">
        <v>101</v>
      </c>
      <c r="AF679" s="18" t="s">
        <v>102</v>
      </c>
      <c r="AG679" s="18" t="s">
        <v>102</v>
      </c>
      <c r="AH679" s="18" t="s">
        <v>102</v>
      </c>
      <c r="AI679" s="18" t="s">
        <v>102</v>
      </c>
      <c r="AJ679" s="18" t="s">
        <v>102</v>
      </c>
      <c r="AK679" s="18" t="s">
        <v>102</v>
      </c>
      <c r="AL679" s="18" t="s">
        <v>102</v>
      </c>
      <c r="AM679" s="19"/>
      <c r="AN679" s="20" t="s">
        <v>101</v>
      </c>
      <c r="AO679" s="20" t="s">
        <v>103</v>
      </c>
      <c r="AP679" s="109">
        <v>13</v>
      </c>
      <c r="AQ679" s="110" t="s">
        <v>100</v>
      </c>
      <c r="AR679" s="105">
        <v>13</v>
      </c>
    </row>
    <row r="680" spans="1:46" ht="16.5">
      <c r="A680" s="105">
        <v>14</v>
      </c>
      <c r="B680" s="111" t="s">
        <v>101</v>
      </c>
      <c r="C680" s="111">
        <v>89.02</v>
      </c>
      <c r="D680" s="111">
        <v>5.07</v>
      </c>
      <c r="E680" s="111">
        <v>2.95</v>
      </c>
      <c r="F680" s="111">
        <v>0</v>
      </c>
      <c r="G680" s="111">
        <v>2.96</v>
      </c>
      <c r="H680" s="111">
        <v>0</v>
      </c>
      <c r="I680" s="111">
        <v>0</v>
      </c>
      <c r="J680" s="111">
        <v>0</v>
      </c>
      <c r="K680" s="111">
        <v>0</v>
      </c>
      <c r="L680" s="111">
        <v>0</v>
      </c>
      <c r="M680" s="74" t="str">
        <f t="array" ref="M680">_xlfn.TEXTJOIN("-", TRUE, IF(C680:L680&gt;0, $C$2:$L$2, ""))</f>
        <v xml:space="preserve"> Ti-Al-Zr-V</v>
      </c>
      <c r="N680" s="90">
        <f t="shared" si="20"/>
        <v>660</v>
      </c>
      <c r="O680" s="91">
        <f t="shared" si="21"/>
        <v>4</v>
      </c>
      <c r="P680" s="111">
        <v>1</v>
      </c>
      <c r="Q680" s="115">
        <v>0</v>
      </c>
      <c r="R680" s="21">
        <v>0</v>
      </c>
      <c r="S680" s="140">
        <v>0</v>
      </c>
      <c r="T680" s="141">
        <v>750</v>
      </c>
      <c r="U680" s="109">
        <v>1</v>
      </c>
      <c r="V680" s="112">
        <v>2</v>
      </c>
      <c r="W680" s="109">
        <v>0</v>
      </c>
      <c r="X680" s="109">
        <v>0</v>
      </c>
      <c r="Y680" s="113">
        <v>0</v>
      </c>
      <c r="Z680" s="18" t="s">
        <v>102</v>
      </c>
      <c r="AA680" s="18" t="s">
        <v>102</v>
      </c>
      <c r="AB680" s="111">
        <v>839.36699999999996</v>
      </c>
      <c r="AC680" s="111">
        <v>744.34400000000005</v>
      </c>
      <c r="AD680" s="111">
        <v>18.279499999999999</v>
      </c>
      <c r="AE680" s="18" t="s">
        <v>101</v>
      </c>
      <c r="AF680" s="18" t="s">
        <v>102</v>
      </c>
      <c r="AG680" s="18" t="s">
        <v>102</v>
      </c>
      <c r="AH680" s="18" t="s">
        <v>102</v>
      </c>
      <c r="AI680" s="18" t="s">
        <v>102</v>
      </c>
      <c r="AJ680" s="18" t="s">
        <v>102</v>
      </c>
      <c r="AK680" s="18" t="s">
        <v>102</v>
      </c>
      <c r="AL680" s="18" t="s">
        <v>102</v>
      </c>
      <c r="AM680" s="19"/>
      <c r="AN680" s="20" t="s">
        <v>101</v>
      </c>
      <c r="AO680" s="20" t="s">
        <v>103</v>
      </c>
      <c r="AP680" s="109">
        <v>14</v>
      </c>
      <c r="AQ680" s="110" t="s">
        <v>100</v>
      </c>
      <c r="AR680" s="105">
        <v>14</v>
      </c>
    </row>
    <row r="681" spans="1:46" ht="16.5">
      <c r="A681" s="105">
        <v>15</v>
      </c>
      <c r="B681" s="111" t="s">
        <v>101</v>
      </c>
      <c r="C681" s="111">
        <v>89.02</v>
      </c>
      <c r="D681" s="111">
        <v>5.07</v>
      </c>
      <c r="E681" s="111">
        <v>2.95</v>
      </c>
      <c r="F681" s="111">
        <v>0</v>
      </c>
      <c r="G681" s="111">
        <v>2.96</v>
      </c>
      <c r="H681" s="111">
        <v>0</v>
      </c>
      <c r="I681" s="111">
        <v>0</v>
      </c>
      <c r="J681" s="111">
        <v>0</v>
      </c>
      <c r="K681" s="111">
        <v>0</v>
      </c>
      <c r="L681" s="111">
        <v>0</v>
      </c>
      <c r="M681" s="74" t="str">
        <f t="array" ref="M681">_xlfn.TEXTJOIN("-", TRUE, IF(C681:L681&gt;0, $C$2:$L$2, ""))</f>
        <v xml:space="preserve"> Ti-Al-Zr-V</v>
      </c>
      <c r="N681" s="90">
        <f t="shared" si="20"/>
        <v>660</v>
      </c>
      <c r="O681" s="91">
        <f t="shared" si="21"/>
        <v>4</v>
      </c>
      <c r="P681" s="111">
        <v>1</v>
      </c>
      <c r="Q681" s="115">
        <v>0</v>
      </c>
      <c r="R681" s="21">
        <v>0</v>
      </c>
      <c r="S681" s="140">
        <v>0</v>
      </c>
      <c r="T681" s="141">
        <v>800</v>
      </c>
      <c r="U681" s="109">
        <v>1</v>
      </c>
      <c r="V681" s="112">
        <v>2</v>
      </c>
      <c r="W681" s="109">
        <v>0</v>
      </c>
      <c r="X681" s="109">
        <v>0</v>
      </c>
      <c r="Y681" s="113">
        <v>0</v>
      </c>
      <c r="Z681" s="18" t="s">
        <v>102</v>
      </c>
      <c r="AA681" s="18" t="s">
        <v>102</v>
      </c>
      <c r="AB681" s="111">
        <v>823.529</v>
      </c>
      <c r="AC681" s="111">
        <v>721.71900000000005</v>
      </c>
      <c r="AD681" s="111">
        <v>18.341200000000001</v>
      </c>
      <c r="AE681" s="18" t="s">
        <v>101</v>
      </c>
      <c r="AF681" s="18" t="s">
        <v>102</v>
      </c>
      <c r="AG681" s="18" t="s">
        <v>102</v>
      </c>
      <c r="AH681" s="18" t="s">
        <v>102</v>
      </c>
      <c r="AI681" s="18" t="s">
        <v>102</v>
      </c>
      <c r="AJ681" s="18" t="s">
        <v>102</v>
      </c>
      <c r="AK681" s="18" t="s">
        <v>102</v>
      </c>
      <c r="AL681" s="18" t="s">
        <v>102</v>
      </c>
      <c r="AM681" s="19"/>
      <c r="AN681" s="20" t="s">
        <v>101</v>
      </c>
      <c r="AO681" s="20" t="s">
        <v>103</v>
      </c>
      <c r="AP681" s="109">
        <v>15</v>
      </c>
      <c r="AQ681" s="110" t="s">
        <v>100</v>
      </c>
      <c r="AR681" s="105">
        <v>15</v>
      </c>
    </row>
    <row r="682" spans="1:46" ht="16.5">
      <c r="A682" s="105">
        <v>16</v>
      </c>
      <c r="B682" s="111" t="s">
        <v>101</v>
      </c>
      <c r="C682" s="111">
        <v>89.02</v>
      </c>
      <c r="D682" s="111">
        <v>5.07</v>
      </c>
      <c r="E682" s="111">
        <v>2.95</v>
      </c>
      <c r="F682" s="111">
        <v>0</v>
      </c>
      <c r="G682" s="111">
        <v>2.96</v>
      </c>
      <c r="H682" s="111">
        <v>0</v>
      </c>
      <c r="I682" s="111">
        <v>0</v>
      </c>
      <c r="J682" s="111">
        <v>0</v>
      </c>
      <c r="K682" s="111">
        <v>0</v>
      </c>
      <c r="L682" s="111">
        <v>0</v>
      </c>
      <c r="M682" s="74" t="str">
        <f t="array" ref="M682">_xlfn.TEXTJOIN("-", TRUE, IF(C682:L682&gt;0, $C$2:$L$2, ""))</f>
        <v xml:space="preserve"> Ti-Al-Zr-V</v>
      </c>
      <c r="N682" s="90">
        <f t="shared" si="20"/>
        <v>660</v>
      </c>
      <c r="O682" s="91">
        <f t="shared" si="21"/>
        <v>4</v>
      </c>
      <c r="P682" s="111">
        <v>1</v>
      </c>
      <c r="Q682" s="115">
        <v>0</v>
      </c>
      <c r="R682" s="21">
        <v>0</v>
      </c>
      <c r="S682" s="140">
        <v>0</v>
      </c>
      <c r="T682" s="141">
        <v>900</v>
      </c>
      <c r="U682" s="109">
        <v>1</v>
      </c>
      <c r="V682" s="112">
        <v>2</v>
      </c>
      <c r="W682" s="109">
        <v>0</v>
      </c>
      <c r="X682" s="109">
        <v>0</v>
      </c>
      <c r="Y682" s="113">
        <v>0</v>
      </c>
      <c r="Z682" s="18" t="s">
        <v>102</v>
      </c>
      <c r="AA682" s="18" t="s">
        <v>102</v>
      </c>
      <c r="AB682" s="111">
        <v>841.62900000000002</v>
      </c>
      <c r="AC682" s="111">
        <v>721.71900000000005</v>
      </c>
      <c r="AD682" s="111">
        <v>18.224599999999999</v>
      </c>
      <c r="AE682" s="18" t="s">
        <v>101</v>
      </c>
      <c r="AF682" s="18" t="s">
        <v>102</v>
      </c>
      <c r="AG682" s="18" t="s">
        <v>102</v>
      </c>
      <c r="AH682" s="18" t="s">
        <v>102</v>
      </c>
      <c r="AI682" s="18" t="s">
        <v>102</v>
      </c>
      <c r="AJ682" s="18" t="s">
        <v>102</v>
      </c>
      <c r="AK682" s="18" t="s">
        <v>102</v>
      </c>
      <c r="AL682" s="18" t="s">
        <v>102</v>
      </c>
      <c r="AM682" s="19"/>
      <c r="AN682" s="20" t="s">
        <v>101</v>
      </c>
      <c r="AO682" s="20" t="s">
        <v>149</v>
      </c>
      <c r="AP682" s="109">
        <v>16</v>
      </c>
      <c r="AQ682" s="110" t="s">
        <v>100</v>
      </c>
      <c r="AR682" s="105">
        <v>16</v>
      </c>
    </row>
    <row r="683" spans="1:46" ht="16.5">
      <c r="A683" s="105">
        <v>17</v>
      </c>
      <c r="B683" s="111" t="s">
        <v>101</v>
      </c>
      <c r="C683" s="111">
        <v>89.02</v>
      </c>
      <c r="D683" s="111">
        <v>5.07</v>
      </c>
      <c r="E683" s="111">
        <v>2.95</v>
      </c>
      <c r="F683" s="111">
        <v>0</v>
      </c>
      <c r="G683" s="111">
        <v>2.96</v>
      </c>
      <c r="H683" s="111">
        <v>0</v>
      </c>
      <c r="I683" s="111">
        <v>0</v>
      </c>
      <c r="J683" s="111">
        <v>0</v>
      </c>
      <c r="K683" s="111">
        <v>0</v>
      </c>
      <c r="L683" s="111">
        <v>0</v>
      </c>
      <c r="M683" s="74" t="str">
        <f t="array" ref="M683">_xlfn.TEXTJOIN("-", TRUE, IF(C683:L683&gt;0, $C$2:$L$2, ""))</f>
        <v xml:space="preserve"> Ti-Al-Zr-V</v>
      </c>
      <c r="N683" s="90">
        <f t="shared" si="20"/>
        <v>660</v>
      </c>
      <c r="O683" s="91">
        <f t="shared" si="21"/>
        <v>4</v>
      </c>
      <c r="P683" s="111">
        <v>1</v>
      </c>
      <c r="Q683" s="115">
        <v>0</v>
      </c>
      <c r="R683" s="21">
        <v>0</v>
      </c>
      <c r="S683" s="140">
        <v>0</v>
      </c>
      <c r="T683" s="141">
        <v>950</v>
      </c>
      <c r="U683" s="109">
        <v>1</v>
      </c>
      <c r="V683" s="112">
        <v>2</v>
      </c>
      <c r="W683" s="109">
        <v>0</v>
      </c>
      <c r="X683" s="109">
        <v>0</v>
      </c>
      <c r="Y683" s="113">
        <v>0</v>
      </c>
      <c r="Z683" s="18" t="s">
        <v>102</v>
      </c>
      <c r="AA683" s="18" t="s">
        <v>102</v>
      </c>
      <c r="AB683" s="111">
        <v>837.10400000000004</v>
      </c>
      <c r="AC683" s="111">
        <v>676.471</v>
      </c>
      <c r="AD683" s="111">
        <v>14.2483</v>
      </c>
      <c r="AE683" s="18" t="s">
        <v>101</v>
      </c>
      <c r="AF683" s="18" t="s">
        <v>102</v>
      </c>
      <c r="AG683" s="18" t="s">
        <v>102</v>
      </c>
      <c r="AH683" s="18" t="s">
        <v>102</v>
      </c>
      <c r="AI683" s="18" t="s">
        <v>102</v>
      </c>
      <c r="AJ683" s="18" t="s">
        <v>102</v>
      </c>
      <c r="AK683" s="18" t="s">
        <v>102</v>
      </c>
      <c r="AL683" s="18" t="s">
        <v>102</v>
      </c>
      <c r="AM683" s="19"/>
      <c r="AN683" s="20" t="s">
        <v>101</v>
      </c>
      <c r="AO683" s="20" t="s">
        <v>103</v>
      </c>
      <c r="AP683" s="109">
        <v>17</v>
      </c>
      <c r="AQ683" s="110" t="s">
        <v>100</v>
      </c>
      <c r="AR683" s="105">
        <v>17</v>
      </c>
    </row>
    <row r="684" spans="1:46" ht="16.5">
      <c r="A684" s="27">
        <v>87</v>
      </c>
      <c r="B684" s="20"/>
      <c r="C684" s="20">
        <v>64</v>
      </c>
      <c r="D684" s="20">
        <v>1</v>
      </c>
      <c r="E684" s="20">
        <v>30</v>
      </c>
      <c r="F684" s="20">
        <v>5</v>
      </c>
      <c r="G684" s="20">
        <v>0</v>
      </c>
      <c r="H684" s="20">
        <v>0</v>
      </c>
      <c r="I684" s="20">
        <v>0</v>
      </c>
      <c r="J684" s="20">
        <v>0</v>
      </c>
      <c r="K684" s="20">
        <v>0</v>
      </c>
      <c r="L684" s="20">
        <v>0</v>
      </c>
      <c r="M684" s="74" t="str">
        <f t="array" ref="M684">_xlfn.TEXTJOIN("-", TRUE, IF(C684:L684&gt;0, $C$2:$L$2, ""))</f>
        <v xml:space="preserve"> Ti-Al-Zr-Mo</v>
      </c>
      <c r="N684" s="90">
        <f t="shared" si="20"/>
        <v>684</v>
      </c>
      <c r="O684" s="91">
        <f t="shared" si="21"/>
        <v>4</v>
      </c>
      <c r="P684" s="20">
        <v>1</v>
      </c>
      <c r="Q684" s="132">
        <v>1</v>
      </c>
      <c r="R684" s="108">
        <v>1000</v>
      </c>
      <c r="S684" s="142">
        <v>70</v>
      </c>
      <c r="T684" s="27">
        <v>850</v>
      </c>
      <c r="U684" s="20">
        <v>1</v>
      </c>
      <c r="V684" s="20">
        <v>1</v>
      </c>
      <c r="W684" s="20"/>
      <c r="X684" s="20"/>
      <c r="Y684" s="20"/>
      <c r="Z684" s="20"/>
      <c r="AA684" s="20"/>
      <c r="AB684" s="20">
        <v>762</v>
      </c>
      <c r="AC684" s="20"/>
      <c r="AD684" s="20">
        <v>18.32</v>
      </c>
      <c r="AE684" s="20"/>
      <c r="AF684" s="20"/>
      <c r="AG684" s="20"/>
      <c r="AH684" s="20"/>
      <c r="AI684" s="20"/>
      <c r="AJ684" s="20"/>
      <c r="AK684" s="20"/>
      <c r="AL684" s="20"/>
      <c r="AM684" s="20"/>
      <c r="AN684" s="20" t="s">
        <v>529</v>
      </c>
      <c r="AO684" s="20" t="s">
        <v>530</v>
      </c>
      <c r="AP684" s="20">
        <v>19</v>
      </c>
      <c r="AQ684" s="133" t="s">
        <v>374</v>
      </c>
      <c r="AR684" s="27">
        <v>87</v>
      </c>
    </row>
    <row r="685" spans="1:46" ht="16.5">
      <c r="A685" s="27">
        <v>88</v>
      </c>
      <c r="B685" s="20"/>
      <c r="C685" s="20">
        <v>62</v>
      </c>
      <c r="D685" s="20">
        <v>2</v>
      </c>
      <c r="E685" s="20">
        <v>30</v>
      </c>
      <c r="F685" s="20">
        <v>6</v>
      </c>
      <c r="G685" s="20">
        <v>0</v>
      </c>
      <c r="H685" s="20">
        <v>0</v>
      </c>
      <c r="I685" s="20">
        <v>0</v>
      </c>
      <c r="J685" s="20">
        <v>0</v>
      </c>
      <c r="K685" s="20">
        <v>0</v>
      </c>
      <c r="L685" s="20">
        <v>0</v>
      </c>
      <c r="M685" s="74" t="str">
        <f t="array" ref="M685">_xlfn.TEXTJOIN("-", TRUE, IF(C685:L685&gt;0, $C$2:$L$2, ""))</f>
        <v xml:space="preserve"> Ti-Al-Zr-Mo</v>
      </c>
      <c r="N685" s="90">
        <f t="shared" si="20"/>
        <v>684</v>
      </c>
      <c r="O685" s="91">
        <f t="shared" si="21"/>
        <v>4</v>
      </c>
      <c r="P685" s="20">
        <v>1</v>
      </c>
      <c r="Q685" s="132">
        <v>1</v>
      </c>
      <c r="R685" s="108">
        <v>1000</v>
      </c>
      <c r="S685" s="142">
        <v>70</v>
      </c>
      <c r="T685" s="27">
        <v>850</v>
      </c>
      <c r="U685" s="20">
        <v>1</v>
      </c>
      <c r="V685" s="20">
        <v>1</v>
      </c>
      <c r="W685" s="20"/>
      <c r="X685" s="20"/>
      <c r="Y685" s="20"/>
      <c r="Z685" s="20"/>
      <c r="AA685" s="20"/>
      <c r="AB685" s="20">
        <v>723</v>
      </c>
      <c r="AC685" s="20"/>
      <c r="AD685" s="20">
        <v>33.32</v>
      </c>
      <c r="AE685" s="20"/>
      <c r="AF685" s="20"/>
      <c r="AG685" s="20"/>
      <c r="AH685" s="20"/>
      <c r="AI685" s="20"/>
      <c r="AJ685" s="20"/>
      <c r="AK685" s="20"/>
      <c r="AL685" s="20"/>
      <c r="AM685" s="20"/>
      <c r="AN685" s="20" t="s">
        <v>531</v>
      </c>
      <c r="AO685" s="20" t="s">
        <v>532</v>
      </c>
      <c r="AP685" s="20">
        <v>19</v>
      </c>
      <c r="AQ685" s="133" t="s">
        <v>374</v>
      </c>
      <c r="AR685" s="27">
        <v>88</v>
      </c>
    </row>
    <row r="686" spans="1:46" ht="16.5">
      <c r="A686" s="27">
        <v>89</v>
      </c>
      <c r="B686" s="20"/>
      <c r="C686" s="20">
        <v>60</v>
      </c>
      <c r="D686" s="20">
        <v>3</v>
      </c>
      <c r="E686" s="20">
        <v>30</v>
      </c>
      <c r="F686" s="20">
        <v>7</v>
      </c>
      <c r="G686" s="20">
        <v>0</v>
      </c>
      <c r="H686" s="20">
        <v>0</v>
      </c>
      <c r="I686" s="20">
        <v>0</v>
      </c>
      <c r="J686" s="20">
        <v>0</v>
      </c>
      <c r="K686" s="20">
        <v>0</v>
      </c>
      <c r="L686" s="20">
        <v>0</v>
      </c>
      <c r="M686" s="74" t="str">
        <f t="array" ref="M686">_xlfn.TEXTJOIN("-", TRUE, IF(C686:L686&gt;0, $C$2:$L$2, ""))</f>
        <v xml:space="preserve"> Ti-Al-Zr-Mo</v>
      </c>
      <c r="N686" s="90">
        <f t="shared" si="20"/>
        <v>684</v>
      </c>
      <c r="O686" s="91">
        <f t="shared" si="21"/>
        <v>4</v>
      </c>
      <c r="P686" s="20">
        <v>1</v>
      </c>
      <c r="Q686" s="132">
        <v>1</v>
      </c>
      <c r="R686" s="108">
        <v>1000</v>
      </c>
      <c r="S686" s="142">
        <v>70</v>
      </c>
      <c r="T686" s="27">
        <v>850</v>
      </c>
      <c r="U686" s="20">
        <v>1</v>
      </c>
      <c r="V686" s="20">
        <v>1</v>
      </c>
      <c r="W686" s="20"/>
      <c r="X686" s="20"/>
      <c r="Y686" s="20"/>
      <c r="Z686" s="20"/>
      <c r="AA686" s="20"/>
      <c r="AB686" s="20">
        <v>782</v>
      </c>
      <c r="AC686" s="20"/>
      <c r="AD686" s="20">
        <v>18.850000000000001</v>
      </c>
      <c r="AE686" s="20"/>
      <c r="AF686" s="20"/>
      <c r="AG686" s="20"/>
      <c r="AH686" s="20"/>
      <c r="AI686" s="20"/>
      <c r="AJ686" s="20"/>
      <c r="AK686" s="20"/>
      <c r="AL686" s="20"/>
      <c r="AM686" s="20"/>
      <c r="AN686" s="20" t="s">
        <v>533</v>
      </c>
      <c r="AO686" s="20" t="s">
        <v>534</v>
      </c>
      <c r="AP686" s="20">
        <v>19</v>
      </c>
      <c r="AQ686" s="133" t="s">
        <v>374</v>
      </c>
      <c r="AR686" s="27">
        <v>89</v>
      </c>
    </row>
    <row r="687" spans="1:46" ht="16.5">
      <c r="A687" s="37">
        <v>113</v>
      </c>
      <c r="B687" s="44"/>
      <c r="C687" s="44">
        <v>93</v>
      </c>
      <c r="D687" s="44">
        <v>3</v>
      </c>
      <c r="E687" s="44">
        <v>3</v>
      </c>
      <c r="F687" s="44">
        <v>1</v>
      </c>
      <c r="G687" s="44">
        <v>0</v>
      </c>
      <c r="H687" s="44">
        <v>0</v>
      </c>
      <c r="I687" s="44">
        <v>0</v>
      </c>
      <c r="J687" s="44">
        <v>0</v>
      </c>
      <c r="K687" s="44">
        <v>0</v>
      </c>
      <c r="L687" s="44">
        <v>0</v>
      </c>
      <c r="M687" s="74" t="str">
        <f t="array" ref="M687">_xlfn.TEXTJOIN("-", TRUE, IF(C687:L687&gt;0, $C$2:$L$2, ""))</f>
        <v xml:space="preserve"> Ti-Al-Zr-Mo</v>
      </c>
      <c r="N687" s="90">
        <f t="shared" si="20"/>
        <v>684</v>
      </c>
      <c r="O687" s="91">
        <f t="shared" si="21"/>
        <v>4</v>
      </c>
      <c r="P687" s="44">
        <v>2</v>
      </c>
      <c r="Q687" s="43">
        <v>2</v>
      </c>
      <c r="R687" s="39" t="s">
        <v>430</v>
      </c>
      <c r="S687" s="143" t="s">
        <v>430</v>
      </c>
      <c r="T687" s="37">
        <v>960</v>
      </c>
      <c r="U687" s="44">
        <v>1</v>
      </c>
      <c r="V687" s="44">
        <v>3</v>
      </c>
      <c r="W687" s="44">
        <v>0</v>
      </c>
      <c r="X687" s="44">
        <v>0</v>
      </c>
      <c r="Y687" s="44">
        <v>0</v>
      </c>
      <c r="Z687" s="44"/>
      <c r="AA687" s="44"/>
      <c r="AB687" s="44">
        <v>604</v>
      </c>
      <c r="AC687" s="44">
        <v>501</v>
      </c>
      <c r="AD687" s="44">
        <v>12</v>
      </c>
      <c r="AE687" s="44">
        <v>22</v>
      </c>
      <c r="AF687" s="44"/>
      <c r="AG687" s="44"/>
      <c r="AH687" s="44"/>
      <c r="AI687" s="44"/>
      <c r="AJ687" s="44"/>
      <c r="AK687" s="44"/>
      <c r="AL687" s="44">
        <v>100</v>
      </c>
      <c r="AM687" s="44"/>
      <c r="AN687" s="45"/>
      <c r="AO687" s="45" t="s">
        <v>256</v>
      </c>
      <c r="AP687" s="44">
        <v>28</v>
      </c>
      <c r="AQ687" s="41" t="s">
        <v>83</v>
      </c>
      <c r="AR687" s="37" t="s">
        <v>256</v>
      </c>
      <c r="AS687" s="10" t="s">
        <v>151</v>
      </c>
      <c r="AT687" t="s">
        <v>535</v>
      </c>
    </row>
    <row r="688" spans="1:46" ht="16.5">
      <c r="A688" s="37">
        <v>114</v>
      </c>
      <c r="B688" s="44"/>
      <c r="C688" s="44">
        <v>93</v>
      </c>
      <c r="D688" s="44">
        <v>3</v>
      </c>
      <c r="E688" s="44">
        <v>3</v>
      </c>
      <c r="F688" s="44">
        <v>1</v>
      </c>
      <c r="G688" s="44">
        <v>0</v>
      </c>
      <c r="H688" s="44">
        <v>0</v>
      </c>
      <c r="I688" s="44">
        <v>0</v>
      </c>
      <c r="J688" s="44">
        <v>0</v>
      </c>
      <c r="K688" s="44">
        <v>0</v>
      </c>
      <c r="L688" s="44">
        <v>0</v>
      </c>
      <c r="M688" s="74" t="str">
        <f t="array" ref="M688">_xlfn.TEXTJOIN("-", TRUE, IF(C688:L688&gt;0, $C$2:$L$2, ""))</f>
        <v xml:space="preserve"> Ti-Al-Zr-Mo</v>
      </c>
      <c r="N688" s="90">
        <f t="shared" si="20"/>
        <v>684</v>
      </c>
      <c r="O688" s="91">
        <f t="shared" si="21"/>
        <v>4</v>
      </c>
      <c r="P688" s="44">
        <v>2</v>
      </c>
      <c r="Q688" s="43">
        <v>2</v>
      </c>
      <c r="R688" s="39" t="s">
        <v>430</v>
      </c>
      <c r="S688" s="143" t="s">
        <v>430</v>
      </c>
      <c r="T688" s="37">
        <v>920</v>
      </c>
      <c r="U688" s="44">
        <v>1</v>
      </c>
      <c r="V688" s="44">
        <v>3</v>
      </c>
      <c r="W688" s="44">
        <v>0</v>
      </c>
      <c r="X688" s="44">
        <v>0</v>
      </c>
      <c r="Y688" s="44">
        <v>0</v>
      </c>
      <c r="Z688" s="44"/>
      <c r="AA688" s="44"/>
      <c r="AB688" s="44">
        <v>652</v>
      </c>
      <c r="AC688" s="44">
        <v>572</v>
      </c>
      <c r="AD688" s="44">
        <v>15</v>
      </c>
      <c r="AE688" s="44">
        <v>44</v>
      </c>
      <c r="AF688" s="44"/>
      <c r="AG688" s="44"/>
      <c r="AH688" s="44"/>
      <c r="AI688" s="44"/>
      <c r="AJ688" s="44"/>
      <c r="AK688" s="44"/>
      <c r="AL688" s="44">
        <v>88</v>
      </c>
      <c r="AM688" s="44"/>
      <c r="AN688" s="45"/>
      <c r="AO688" s="45" t="s">
        <v>256</v>
      </c>
      <c r="AP688" s="44">
        <v>28</v>
      </c>
      <c r="AQ688" s="41" t="s">
        <v>83</v>
      </c>
      <c r="AR688" s="37" t="s">
        <v>256</v>
      </c>
      <c r="AS688" s="10" t="s">
        <v>151</v>
      </c>
      <c r="AT688" t="s">
        <v>535</v>
      </c>
    </row>
    <row r="689" spans="1:46" ht="16.5">
      <c r="A689" s="37">
        <v>115</v>
      </c>
      <c r="B689" s="44"/>
      <c r="C689" s="44">
        <v>93</v>
      </c>
      <c r="D689" s="44">
        <v>3</v>
      </c>
      <c r="E689" s="44">
        <v>3</v>
      </c>
      <c r="F689" s="44">
        <v>1</v>
      </c>
      <c r="G689" s="44">
        <v>0</v>
      </c>
      <c r="H689" s="44">
        <v>0</v>
      </c>
      <c r="I689" s="44">
        <v>0</v>
      </c>
      <c r="J689" s="44">
        <v>0</v>
      </c>
      <c r="K689" s="44">
        <v>0</v>
      </c>
      <c r="L689" s="44">
        <v>0</v>
      </c>
      <c r="M689" s="74" t="str">
        <f t="array" ref="M689">_xlfn.TEXTJOIN("-", TRUE, IF(C689:L689&gt;0, $C$2:$L$2, ""))</f>
        <v xml:space="preserve"> Ti-Al-Zr-Mo</v>
      </c>
      <c r="N689" s="90">
        <f t="shared" si="20"/>
        <v>684</v>
      </c>
      <c r="O689" s="91">
        <f t="shared" si="21"/>
        <v>4</v>
      </c>
      <c r="P689" s="44">
        <v>2</v>
      </c>
      <c r="Q689" s="44">
        <v>2</v>
      </c>
      <c r="R689" s="56" t="s">
        <v>430</v>
      </c>
      <c r="S689" s="43" t="s">
        <v>430</v>
      </c>
      <c r="T689" s="37">
        <v>920</v>
      </c>
      <c r="U689" s="44">
        <v>1</v>
      </c>
      <c r="V689" s="44">
        <v>2</v>
      </c>
      <c r="W689" s="44">
        <v>0</v>
      </c>
      <c r="X689" s="44">
        <v>0</v>
      </c>
      <c r="Y689" s="44">
        <v>0</v>
      </c>
      <c r="Z689" s="44"/>
      <c r="AA689" s="44"/>
      <c r="AB689" s="44">
        <v>659</v>
      </c>
      <c r="AC689" s="44">
        <v>587</v>
      </c>
      <c r="AD689" s="44">
        <v>20</v>
      </c>
      <c r="AE689" s="44">
        <v>55</v>
      </c>
      <c r="AF689" s="44"/>
      <c r="AG689" s="44"/>
      <c r="AH689" s="44"/>
      <c r="AI689" s="44"/>
      <c r="AJ689" s="44"/>
      <c r="AK689" s="44"/>
      <c r="AL689" s="44">
        <v>118</v>
      </c>
      <c r="AM689" s="44"/>
      <c r="AN689" s="45"/>
      <c r="AO689" s="45" t="s">
        <v>256</v>
      </c>
      <c r="AP689" s="44">
        <v>28</v>
      </c>
      <c r="AQ689" s="41" t="s">
        <v>83</v>
      </c>
      <c r="AR689" s="37" t="s">
        <v>256</v>
      </c>
      <c r="AS689" s="10" t="s">
        <v>151</v>
      </c>
      <c r="AT689" t="s">
        <v>535</v>
      </c>
    </row>
    <row r="690" spans="1:46" ht="16.5">
      <c r="A690" s="37">
        <v>132</v>
      </c>
      <c r="B690" s="44"/>
      <c r="C690" s="44">
        <v>88.05</v>
      </c>
      <c r="D690" s="44">
        <v>6.5</v>
      </c>
      <c r="E690" s="44">
        <v>1.9</v>
      </c>
      <c r="F690" s="44">
        <v>3.3</v>
      </c>
      <c r="G690" s="44">
        <v>0</v>
      </c>
      <c r="H690" s="44">
        <v>0</v>
      </c>
      <c r="I690" s="44">
        <v>0</v>
      </c>
      <c r="J690" s="44">
        <v>0</v>
      </c>
      <c r="K690" s="44">
        <v>0</v>
      </c>
      <c r="L690" s="44">
        <v>0</v>
      </c>
      <c r="M690" s="74" t="str">
        <f t="array" ref="M690">_xlfn.TEXTJOIN("-", TRUE, IF(C690:L690&gt;0, $C$2:$L$2, ""))</f>
        <v xml:space="preserve"> Ti-Al-Zr-Mo</v>
      </c>
      <c r="N690" s="90">
        <f t="shared" si="20"/>
        <v>684</v>
      </c>
      <c r="O690" s="91">
        <f t="shared" si="21"/>
        <v>4</v>
      </c>
      <c r="P690" s="44" t="s">
        <v>81</v>
      </c>
      <c r="Q690" s="44" t="s">
        <v>81</v>
      </c>
      <c r="R690" s="44" t="s">
        <v>81</v>
      </c>
      <c r="S690" s="43" t="s">
        <v>81</v>
      </c>
      <c r="T690" s="37" t="s">
        <v>81</v>
      </c>
      <c r="U690" s="44" t="s">
        <v>81</v>
      </c>
      <c r="V690" s="44" t="s">
        <v>81</v>
      </c>
      <c r="W690" s="44" t="s">
        <v>81</v>
      </c>
      <c r="X690" s="44" t="s">
        <v>81</v>
      </c>
      <c r="Y690" s="44" t="s">
        <v>81</v>
      </c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>
        <v>26.5</v>
      </c>
      <c r="AL690" s="44"/>
      <c r="AM690" s="44"/>
      <c r="AN690" s="45"/>
      <c r="AO690" s="45" t="s">
        <v>257</v>
      </c>
      <c r="AP690" s="44">
        <v>34</v>
      </c>
      <c r="AQ690" s="41" t="s">
        <v>83</v>
      </c>
      <c r="AR690" s="37">
        <v>132</v>
      </c>
    </row>
    <row r="691" spans="1:46" ht="16.5">
      <c r="A691" s="37">
        <v>133</v>
      </c>
      <c r="B691" s="44"/>
      <c r="C691" s="44">
        <v>88.05</v>
      </c>
      <c r="D691" s="44">
        <v>6.5</v>
      </c>
      <c r="E691" s="44">
        <v>1.9</v>
      </c>
      <c r="F691" s="44">
        <v>3.3</v>
      </c>
      <c r="G691" s="44">
        <v>0</v>
      </c>
      <c r="H691" s="44">
        <v>0</v>
      </c>
      <c r="I691" s="44">
        <v>0</v>
      </c>
      <c r="J691" s="44">
        <v>0</v>
      </c>
      <c r="K691" s="44">
        <v>0</v>
      </c>
      <c r="L691" s="44">
        <v>0</v>
      </c>
      <c r="M691" s="74" t="str">
        <f t="array" ref="M691">_xlfn.TEXTJOIN("-", TRUE, IF(C691:L691&gt;0, $C$2:$L$2, ""))</f>
        <v xml:space="preserve"> Ti-Al-Zr-Mo</v>
      </c>
      <c r="N691" s="90">
        <f t="shared" si="20"/>
        <v>684</v>
      </c>
      <c r="O691" s="91">
        <f t="shared" si="21"/>
        <v>4</v>
      </c>
      <c r="P691" s="44" t="s">
        <v>81</v>
      </c>
      <c r="Q691" s="44" t="s">
        <v>81</v>
      </c>
      <c r="R691" s="44" t="s">
        <v>81</v>
      </c>
      <c r="S691" s="43" t="s">
        <v>81</v>
      </c>
      <c r="T691" s="37">
        <v>530</v>
      </c>
      <c r="U691" s="44">
        <v>6</v>
      </c>
      <c r="V691" s="44">
        <v>2</v>
      </c>
      <c r="W691" s="44">
        <v>0</v>
      </c>
      <c r="X691" s="44">
        <v>0</v>
      </c>
      <c r="Y691" s="44">
        <v>0</v>
      </c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>
        <v>19</v>
      </c>
      <c r="AL691" s="44"/>
      <c r="AM691" s="44"/>
      <c r="AN691" s="45"/>
      <c r="AO691" s="45" t="s">
        <v>257</v>
      </c>
      <c r="AP691" s="44">
        <v>34</v>
      </c>
      <c r="AQ691" s="41" t="s">
        <v>83</v>
      </c>
      <c r="AR691" s="37">
        <v>133</v>
      </c>
    </row>
    <row r="692" spans="1:46" ht="16.5">
      <c r="A692" s="37">
        <v>134</v>
      </c>
      <c r="B692" s="44"/>
      <c r="C692" s="44">
        <v>88.05</v>
      </c>
      <c r="D692" s="44">
        <v>6.5</v>
      </c>
      <c r="E692" s="44">
        <v>1.9</v>
      </c>
      <c r="F692" s="44">
        <v>3.3</v>
      </c>
      <c r="G692" s="44">
        <v>0</v>
      </c>
      <c r="H692" s="44">
        <v>0</v>
      </c>
      <c r="I692" s="44">
        <v>0</v>
      </c>
      <c r="J692" s="44">
        <v>0</v>
      </c>
      <c r="K692" s="44">
        <v>0</v>
      </c>
      <c r="L692" s="44">
        <v>0</v>
      </c>
      <c r="M692" s="74" t="str">
        <f t="array" ref="M692">_xlfn.TEXTJOIN("-", TRUE, IF(C692:L692&gt;0, $C$2:$L$2, ""))</f>
        <v xml:space="preserve"> Ti-Al-Zr-Mo</v>
      </c>
      <c r="N692" s="90">
        <f t="shared" si="20"/>
        <v>684</v>
      </c>
      <c r="O692" s="91">
        <f t="shared" si="21"/>
        <v>4</v>
      </c>
      <c r="P692" s="44" t="s">
        <v>81</v>
      </c>
      <c r="Q692" s="44" t="s">
        <v>81</v>
      </c>
      <c r="R692" s="44" t="s">
        <v>81</v>
      </c>
      <c r="S692" s="43" t="s">
        <v>81</v>
      </c>
      <c r="T692" s="37">
        <v>700</v>
      </c>
      <c r="U692" s="44">
        <v>6</v>
      </c>
      <c r="V692" s="44">
        <v>2</v>
      </c>
      <c r="W692" s="44">
        <v>0</v>
      </c>
      <c r="X692" s="44">
        <v>0</v>
      </c>
      <c r="Y692" s="44">
        <v>0</v>
      </c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>
        <v>7</v>
      </c>
      <c r="AL692" s="44"/>
      <c r="AM692" s="44"/>
      <c r="AN692" s="45"/>
      <c r="AO692" s="45" t="s">
        <v>257</v>
      </c>
      <c r="AP692" s="44">
        <v>34</v>
      </c>
      <c r="AQ692" s="41" t="s">
        <v>83</v>
      </c>
      <c r="AR692" s="37">
        <v>134</v>
      </c>
    </row>
    <row r="693" spans="1:46" ht="16.5">
      <c r="A693" s="37">
        <v>135</v>
      </c>
      <c r="B693" s="44"/>
      <c r="C693" s="44">
        <v>88.05</v>
      </c>
      <c r="D693" s="44">
        <v>6.5</v>
      </c>
      <c r="E693" s="44">
        <v>1.9</v>
      </c>
      <c r="F693" s="44">
        <v>3.3</v>
      </c>
      <c r="G693" s="44">
        <v>0</v>
      </c>
      <c r="H693" s="44">
        <v>0</v>
      </c>
      <c r="I693" s="44">
        <v>0</v>
      </c>
      <c r="J693" s="44">
        <v>0</v>
      </c>
      <c r="K693" s="44">
        <v>0</v>
      </c>
      <c r="L693" s="44">
        <v>0</v>
      </c>
      <c r="M693" s="74" t="str">
        <f t="array" ref="M693">_xlfn.TEXTJOIN("-", TRUE, IF(C693:L693&gt;0, $C$2:$L$2, ""))</f>
        <v xml:space="preserve"> Ti-Al-Zr-Mo</v>
      </c>
      <c r="N693" s="90">
        <f t="shared" si="20"/>
        <v>684</v>
      </c>
      <c r="O693" s="91">
        <f t="shared" si="21"/>
        <v>4</v>
      </c>
      <c r="P693" s="44" t="s">
        <v>81</v>
      </c>
      <c r="Q693" s="44" t="s">
        <v>81</v>
      </c>
      <c r="R693" s="44" t="s">
        <v>81</v>
      </c>
      <c r="S693" s="43" t="s">
        <v>81</v>
      </c>
      <c r="T693" s="37">
        <v>960</v>
      </c>
      <c r="U693" s="44">
        <v>1</v>
      </c>
      <c r="V693" s="44">
        <v>2</v>
      </c>
      <c r="W693" s="44">
        <v>0</v>
      </c>
      <c r="X693" s="44">
        <v>0</v>
      </c>
      <c r="Y693" s="44">
        <v>0</v>
      </c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>
        <v>24.5</v>
      </c>
      <c r="AL693" s="44"/>
      <c r="AM693" s="44"/>
      <c r="AN693" s="45"/>
      <c r="AO693" s="45" t="s">
        <v>257</v>
      </c>
      <c r="AP693" s="44">
        <v>34</v>
      </c>
      <c r="AQ693" s="41" t="s">
        <v>83</v>
      </c>
      <c r="AR693" s="37">
        <v>135</v>
      </c>
    </row>
    <row r="694" spans="1:46" ht="16.5">
      <c r="A694" s="37">
        <v>136</v>
      </c>
      <c r="B694" s="44"/>
      <c r="C694" s="44">
        <v>88.05</v>
      </c>
      <c r="D694" s="44">
        <v>6.5</v>
      </c>
      <c r="E694" s="44">
        <v>1.9</v>
      </c>
      <c r="F694" s="44">
        <v>3.3</v>
      </c>
      <c r="G694" s="44">
        <v>0</v>
      </c>
      <c r="H694" s="44">
        <v>0</v>
      </c>
      <c r="I694" s="44">
        <v>0</v>
      </c>
      <c r="J694" s="44">
        <v>0</v>
      </c>
      <c r="K694" s="44">
        <v>0</v>
      </c>
      <c r="L694" s="44">
        <v>0</v>
      </c>
      <c r="M694" s="74" t="str">
        <f t="array" ref="M694">_xlfn.TEXTJOIN("-", TRUE, IF(C694:L694&gt;0, $C$2:$L$2, ""))</f>
        <v xml:space="preserve"> Ti-Al-Zr-Mo</v>
      </c>
      <c r="N694" s="90">
        <f t="shared" si="20"/>
        <v>684</v>
      </c>
      <c r="O694" s="91">
        <f t="shared" si="21"/>
        <v>4</v>
      </c>
      <c r="P694" s="44" t="s">
        <v>81</v>
      </c>
      <c r="Q694" s="44" t="s">
        <v>81</v>
      </c>
      <c r="R694" s="44" t="s">
        <v>81</v>
      </c>
      <c r="S694" s="43" t="s">
        <v>81</v>
      </c>
      <c r="T694" s="37">
        <v>960</v>
      </c>
      <c r="U694" s="44">
        <v>1</v>
      </c>
      <c r="V694" s="44">
        <v>1</v>
      </c>
      <c r="W694" s="44">
        <v>0</v>
      </c>
      <c r="X694" s="44">
        <v>0</v>
      </c>
      <c r="Y694" s="44">
        <v>0</v>
      </c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>
        <v>9.5</v>
      </c>
      <c r="AL694" s="44"/>
      <c r="AM694" s="44"/>
      <c r="AN694" s="45"/>
      <c r="AO694" s="45" t="s">
        <v>257</v>
      </c>
      <c r="AP694" s="44">
        <v>34</v>
      </c>
      <c r="AQ694" s="41" t="s">
        <v>83</v>
      </c>
      <c r="AR694" s="37">
        <v>136</v>
      </c>
    </row>
    <row r="695" spans="1:46" ht="16.5">
      <c r="A695" s="37">
        <v>137</v>
      </c>
      <c r="B695" s="39"/>
      <c r="C695" s="39">
        <v>88.05</v>
      </c>
      <c r="D695" s="39">
        <v>6.5</v>
      </c>
      <c r="E695" s="39">
        <v>1.9</v>
      </c>
      <c r="F695" s="39">
        <v>3.3</v>
      </c>
      <c r="G695" s="39">
        <v>0</v>
      </c>
      <c r="H695" s="39">
        <v>0</v>
      </c>
      <c r="I695" s="39">
        <v>0</v>
      </c>
      <c r="J695" s="39">
        <v>0</v>
      </c>
      <c r="K695" s="39">
        <v>0</v>
      </c>
      <c r="L695" s="39">
        <v>0</v>
      </c>
      <c r="M695" s="74" t="str">
        <f t="array" ref="M695">_xlfn.TEXTJOIN("-", TRUE, IF(C695:L695&gt;0, $C$2:$L$2, ""))</f>
        <v xml:space="preserve"> Ti-Al-Zr-Mo</v>
      </c>
      <c r="N695" s="90">
        <f t="shared" si="20"/>
        <v>684</v>
      </c>
      <c r="O695" s="91">
        <f t="shared" si="21"/>
        <v>4</v>
      </c>
      <c r="P695" s="39" t="s">
        <v>81</v>
      </c>
      <c r="Q695" s="39" t="s">
        <v>81</v>
      </c>
      <c r="R695" s="39" t="s">
        <v>81</v>
      </c>
      <c r="S695" s="143" t="s">
        <v>81</v>
      </c>
      <c r="T695" s="84">
        <v>960</v>
      </c>
      <c r="U695" s="39">
        <v>24</v>
      </c>
      <c r="V695" s="39">
        <v>2</v>
      </c>
      <c r="W695" s="39">
        <v>0</v>
      </c>
      <c r="X695" s="39">
        <v>0</v>
      </c>
      <c r="Y695" s="39">
        <v>0</v>
      </c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>
        <v>17.5</v>
      </c>
      <c r="AL695" s="39"/>
      <c r="AM695" s="39"/>
      <c r="AN695" s="40"/>
      <c r="AO695" s="40" t="s">
        <v>257</v>
      </c>
      <c r="AP695" s="44">
        <v>34</v>
      </c>
      <c r="AQ695" s="41" t="s">
        <v>83</v>
      </c>
      <c r="AR695" s="37">
        <v>137</v>
      </c>
    </row>
    <row r="696" spans="1:46" ht="16.5">
      <c r="A696" s="105">
        <v>266</v>
      </c>
      <c r="B696" s="111" t="s">
        <v>101</v>
      </c>
      <c r="C696" s="111">
        <v>88.2</v>
      </c>
      <c r="D696" s="111">
        <v>6.5</v>
      </c>
      <c r="E696" s="111">
        <v>1.5</v>
      </c>
      <c r="F696" s="111">
        <v>3.5</v>
      </c>
      <c r="G696" s="111">
        <v>0</v>
      </c>
      <c r="H696" s="111">
        <v>0</v>
      </c>
      <c r="I696" s="111">
        <v>0</v>
      </c>
      <c r="J696" s="111">
        <v>0</v>
      </c>
      <c r="K696" s="111">
        <v>0</v>
      </c>
      <c r="L696" s="111">
        <v>0</v>
      </c>
      <c r="M696" s="74" t="str">
        <f t="array" ref="M696">_xlfn.TEXTJOIN("-", TRUE, IF(C696:L696&gt;0, $C$2:$L$2, ""))</f>
        <v xml:space="preserve"> Ti-Al-Zr-Mo</v>
      </c>
      <c r="N696" s="90">
        <f t="shared" si="20"/>
        <v>684</v>
      </c>
      <c r="O696" s="91">
        <f t="shared" si="21"/>
        <v>4</v>
      </c>
      <c r="P696" s="111">
        <v>1</v>
      </c>
      <c r="Q696" s="111">
        <v>0</v>
      </c>
      <c r="R696" s="111">
        <v>0</v>
      </c>
      <c r="S696" s="115">
        <v>0</v>
      </c>
      <c r="T696" s="141">
        <v>940</v>
      </c>
      <c r="U696" s="109">
        <v>1</v>
      </c>
      <c r="V696" s="112">
        <v>2</v>
      </c>
      <c r="W696" s="109">
        <v>530</v>
      </c>
      <c r="X696" s="109">
        <v>6</v>
      </c>
      <c r="Y696" s="113">
        <v>2</v>
      </c>
      <c r="Z696" s="18" t="s">
        <v>102</v>
      </c>
      <c r="AA696" s="18" t="s">
        <v>102</v>
      </c>
      <c r="AB696" s="18" t="s">
        <v>101</v>
      </c>
      <c r="AC696" s="18" t="s">
        <v>101</v>
      </c>
      <c r="AD696" s="111">
        <v>17.673300000000001</v>
      </c>
      <c r="AE696" s="18" t="s">
        <v>101</v>
      </c>
      <c r="AF696" s="18" t="s">
        <v>102</v>
      </c>
      <c r="AG696" s="18" t="s">
        <v>102</v>
      </c>
      <c r="AH696" s="18" t="s">
        <v>102</v>
      </c>
      <c r="AI696" s="18" t="s">
        <v>102</v>
      </c>
      <c r="AJ696" s="18" t="s">
        <v>102</v>
      </c>
      <c r="AK696" s="18" t="s">
        <v>102</v>
      </c>
      <c r="AL696" s="18" t="s">
        <v>102</v>
      </c>
      <c r="AM696" s="19"/>
      <c r="AN696" s="20" t="s">
        <v>101</v>
      </c>
      <c r="AO696" s="20" t="s">
        <v>149</v>
      </c>
      <c r="AP696" s="109">
        <v>266</v>
      </c>
      <c r="AQ696" s="110" t="s">
        <v>100</v>
      </c>
      <c r="AR696" s="105">
        <v>266</v>
      </c>
    </row>
    <row r="697" spans="1:46" ht="16.5">
      <c r="A697" s="105">
        <v>267</v>
      </c>
      <c r="B697" s="111" t="s">
        <v>101</v>
      </c>
      <c r="C697" s="111">
        <v>88.2</v>
      </c>
      <c r="D697" s="111">
        <v>6.5</v>
      </c>
      <c r="E697" s="111">
        <v>1.5</v>
      </c>
      <c r="F697" s="111">
        <v>3.5</v>
      </c>
      <c r="G697" s="111">
        <v>0</v>
      </c>
      <c r="H697" s="111">
        <v>0</v>
      </c>
      <c r="I697" s="111">
        <v>0</v>
      </c>
      <c r="J697" s="111">
        <v>0</v>
      </c>
      <c r="K697" s="111">
        <v>0</v>
      </c>
      <c r="L697" s="111">
        <v>0</v>
      </c>
      <c r="M697" s="74" t="str">
        <f t="array" ref="M697">_xlfn.TEXTJOIN("-", TRUE, IF(C697:L697&gt;0, $C$2:$L$2, ""))</f>
        <v xml:space="preserve"> Ti-Al-Zr-Mo</v>
      </c>
      <c r="N697" s="90">
        <f t="shared" si="20"/>
        <v>684</v>
      </c>
      <c r="O697" s="91">
        <f t="shared" si="21"/>
        <v>4</v>
      </c>
      <c r="P697" s="111">
        <v>1</v>
      </c>
      <c r="Q697" s="111">
        <v>0</v>
      </c>
      <c r="R697" s="111">
        <v>0</v>
      </c>
      <c r="S697" s="115">
        <v>0</v>
      </c>
      <c r="T697" s="141">
        <v>940</v>
      </c>
      <c r="U697" s="109">
        <v>1</v>
      </c>
      <c r="V697" s="112">
        <v>1</v>
      </c>
      <c r="W697" s="109">
        <v>530</v>
      </c>
      <c r="X697" s="109">
        <v>6</v>
      </c>
      <c r="Y697" s="113">
        <v>2</v>
      </c>
      <c r="Z697" s="18" t="s">
        <v>102</v>
      </c>
      <c r="AA697" s="18" t="s">
        <v>102</v>
      </c>
      <c r="AB697" s="18" t="s">
        <v>101</v>
      </c>
      <c r="AC697" s="18" t="s">
        <v>101</v>
      </c>
      <c r="AD697" s="111">
        <v>7.1818299999999997</v>
      </c>
      <c r="AE697" s="18" t="s">
        <v>101</v>
      </c>
      <c r="AF697" s="18" t="s">
        <v>102</v>
      </c>
      <c r="AG697" s="18" t="s">
        <v>102</v>
      </c>
      <c r="AH697" s="18" t="s">
        <v>102</v>
      </c>
      <c r="AI697" s="18" t="s">
        <v>102</v>
      </c>
      <c r="AJ697" s="18" t="s">
        <v>102</v>
      </c>
      <c r="AK697" s="18" t="s">
        <v>102</v>
      </c>
      <c r="AL697" s="18" t="s">
        <v>102</v>
      </c>
      <c r="AM697" s="19"/>
      <c r="AN697" s="20" t="s">
        <v>101</v>
      </c>
      <c r="AO697" s="20" t="s">
        <v>149</v>
      </c>
      <c r="AP697" s="109">
        <v>267</v>
      </c>
      <c r="AQ697" s="110" t="s">
        <v>100</v>
      </c>
      <c r="AR697" s="105">
        <v>267</v>
      </c>
    </row>
    <row r="698" spans="1:46" ht="16.5">
      <c r="A698" s="105">
        <v>268</v>
      </c>
      <c r="B698" s="111" t="s">
        <v>101</v>
      </c>
      <c r="C698" s="111">
        <v>88.2</v>
      </c>
      <c r="D698" s="111">
        <v>6.5</v>
      </c>
      <c r="E698" s="111">
        <v>1.5</v>
      </c>
      <c r="F698" s="111">
        <v>3.5</v>
      </c>
      <c r="G698" s="111">
        <v>0</v>
      </c>
      <c r="H698" s="111">
        <v>0</v>
      </c>
      <c r="I698" s="111">
        <v>0</v>
      </c>
      <c r="J698" s="111">
        <v>0</v>
      </c>
      <c r="K698" s="111">
        <v>0</v>
      </c>
      <c r="L698" s="111">
        <v>0</v>
      </c>
      <c r="M698" s="74" t="str">
        <f t="array" ref="M698">_xlfn.TEXTJOIN("-", TRUE, IF(C698:L698&gt;0, $C$2:$L$2, ""))</f>
        <v xml:space="preserve"> Ti-Al-Zr-Mo</v>
      </c>
      <c r="N698" s="90">
        <f t="shared" si="20"/>
        <v>684</v>
      </c>
      <c r="O698" s="91">
        <f t="shared" si="21"/>
        <v>4</v>
      </c>
      <c r="P698" s="111">
        <v>1</v>
      </c>
      <c r="Q698" s="111">
        <v>0</v>
      </c>
      <c r="R698" s="111">
        <v>0</v>
      </c>
      <c r="S698" s="115">
        <v>0</v>
      </c>
      <c r="T698" s="141">
        <v>960</v>
      </c>
      <c r="U698" s="109">
        <v>1</v>
      </c>
      <c r="V698" s="112">
        <v>2</v>
      </c>
      <c r="W698" s="109">
        <v>530</v>
      </c>
      <c r="X698" s="109">
        <v>6</v>
      </c>
      <c r="Y698" s="113">
        <v>2</v>
      </c>
      <c r="Z698" s="18" t="s">
        <v>102</v>
      </c>
      <c r="AA698" s="18" t="s">
        <v>102</v>
      </c>
      <c r="AB698" s="18" t="s">
        <v>101</v>
      </c>
      <c r="AC698" s="18" t="s">
        <v>101</v>
      </c>
      <c r="AD698" s="111">
        <v>15.350300000000001</v>
      </c>
      <c r="AE698" s="18" t="s">
        <v>101</v>
      </c>
      <c r="AF698" s="18" t="s">
        <v>102</v>
      </c>
      <c r="AG698" s="18" t="s">
        <v>102</v>
      </c>
      <c r="AH698" s="18" t="s">
        <v>102</v>
      </c>
      <c r="AI698" s="18" t="s">
        <v>102</v>
      </c>
      <c r="AJ698" s="18" t="s">
        <v>102</v>
      </c>
      <c r="AK698" s="18" t="s">
        <v>102</v>
      </c>
      <c r="AL698" s="18" t="s">
        <v>102</v>
      </c>
      <c r="AM698" s="19"/>
      <c r="AN698" s="20" t="s">
        <v>101</v>
      </c>
      <c r="AO698" s="20" t="s">
        <v>149</v>
      </c>
      <c r="AP698" s="109">
        <v>268</v>
      </c>
      <c r="AQ698" s="110" t="s">
        <v>100</v>
      </c>
      <c r="AR698" s="105">
        <v>268</v>
      </c>
    </row>
    <row r="699" spans="1:46" ht="16.5">
      <c r="A699" s="105">
        <v>275</v>
      </c>
      <c r="B699" s="111" t="s">
        <v>101</v>
      </c>
      <c r="C699" s="111">
        <v>88.2</v>
      </c>
      <c r="D699" s="111">
        <v>6.5</v>
      </c>
      <c r="E699" s="111">
        <v>1.5</v>
      </c>
      <c r="F699" s="111">
        <v>3.5</v>
      </c>
      <c r="G699" s="111">
        <v>0</v>
      </c>
      <c r="H699" s="111">
        <v>0</v>
      </c>
      <c r="I699" s="111">
        <v>0</v>
      </c>
      <c r="J699" s="111">
        <v>0</v>
      </c>
      <c r="K699" s="111">
        <v>0</v>
      </c>
      <c r="L699" s="111">
        <v>0</v>
      </c>
      <c r="M699" s="74" t="str">
        <f t="array" ref="M699">_xlfn.TEXTJOIN("-", TRUE, IF(C699:L699&gt;0, $C$2:$L$2, ""))</f>
        <v xml:space="preserve"> Ti-Al-Zr-Mo</v>
      </c>
      <c r="N699" s="90">
        <f t="shared" si="20"/>
        <v>684</v>
      </c>
      <c r="O699" s="91">
        <f t="shared" si="21"/>
        <v>4</v>
      </c>
      <c r="P699" s="111">
        <v>1</v>
      </c>
      <c r="Q699" s="111">
        <v>0</v>
      </c>
      <c r="R699" s="111">
        <v>0</v>
      </c>
      <c r="S699" s="115">
        <v>0</v>
      </c>
      <c r="T699" s="141">
        <v>960</v>
      </c>
      <c r="U699" s="109">
        <v>1</v>
      </c>
      <c r="V699" s="112">
        <v>2</v>
      </c>
      <c r="W699" s="109">
        <v>530</v>
      </c>
      <c r="X699" s="109">
        <v>6</v>
      </c>
      <c r="Y699" s="113">
        <v>2</v>
      </c>
      <c r="Z699" s="18" t="s">
        <v>102</v>
      </c>
      <c r="AA699" s="18" t="s">
        <v>102</v>
      </c>
      <c r="AB699" s="18" t="s">
        <v>101</v>
      </c>
      <c r="AC699" s="18" t="s">
        <v>101</v>
      </c>
      <c r="AD699" s="111">
        <v>15.9556</v>
      </c>
      <c r="AE699" s="18" t="s">
        <v>101</v>
      </c>
      <c r="AF699" s="18" t="s">
        <v>102</v>
      </c>
      <c r="AG699" s="18" t="s">
        <v>102</v>
      </c>
      <c r="AH699" s="18" t="s">
        <v>102</v>
      </c>
      <c r="AI699" s="18" t="s">
        <v>102</v>
      </c>
      <c r="AJ699" s="18" t="s">
        <v>102</v>
      </c>
      <c r="AK699" s="18" t="s">
        <v>102</v>
      </c>
      <c r="AL699" s="18" t="s">
        <v>102</v>
      </c>
      <c r="AM699" s="19"/>
      <c r="AN699" s="20" t="s">
        <v>101</v>
      </c>
      <c r="AO699" s="20" t="s">
        <v>149</v>
      </c>
      <c r="AP699" s="109">
        <v>275</v>
      </c>
      <c r="AQ699" s="110" t="s">
        <v>100</v>
      </c>
      <c r="AR699" s="105">
        <v>275</v>
      </c>
    </row>
    <row r="700" spans="1:46" ht="16.5">
      <c r="A700" s="105">
        <v>269</v>
      </c>
      <c r="B700" s="111" t="s">
        <v>101</v>
      </c>
      <c r="C700" s="111">
        <v>88.2</v>
      </c>
      <c r="D700" s="111">
        <v>6.5</v>
      </c>
      <c r="E700" s="111">
        <v>1.5</v>
      </c>
      <c r="F700" s="111">
        <v>3.5</v>
      </c>
      <c r="G700" s="111">
        <v>0</v>
      </c>
      <c r="H700" s="111">
        <v>0</v>
      </c>
      <c r="I700" s="111">
        <v>0</v>
      </c>
      <c r="J700" s="111">
        <v>0</v>
      </c>
      <c r="K700" s="111">
        <v>0</v>
      </c>
      <c r="L700" s="111">
        <v>0</v>
      </c>
      <c r="M700" s="74" t="str">
        <f t="array" ref="M700">_xlfn.TEXTJOIN("-", TRUE, IF(C700:L700&gt;0, $C$2:$L$2, ""))</f>
        <v xml:space="preserve"> Ti-Al-Zr-Mo</v>
      </c>
      <c r="N700" s="90">
        <f t="shared" si="20"/>
        <v>684</v>
      </c>
      <c r="O700" s="91">
        <f t="shared" si="21"/>
        <v>4</v>
      </c>
      <c r="P700" s="111">
        <v>1</v>
      </c>
      <c r="Q700" s="111">
        <v>0</v>
      </c>
      <c r="R700" s="111">
        <v>0</v>
      </c>
      <c r="S700" s="115">
        <v>0</v>
      </c>
      <c r="T700" s="141">
        <v>960</v>
      </c>
      <c r="U700" s="109">
        <v>1</v>
      </c>
      <c r="V700" s="112">
        <v>1</v>
      </c>
      <c r="W700" s="109">
        <v>530</v>
      </c>
      <c r="X700" s="109">
        <v>6</v>
      </c>
      <c r="Y700" s="113">
        <v>2</v>
      </c>
      <c r="Z700" s="18" t="s">
        <v>102</v>
      </c>
      <c r="AA700" s="18" t="s">
        <v>102</v>
      </c>
      <c r="AB700" s="18" t="s">
        <v>101</v>
      </c>
      <c r="AC700" s="18" t="s">
        <v>101</v>
      </c>
      <c r="AD700" s="111">
        <v>6.68804</v>
      </c>
      <c r="AE700" s="18" t="s">
        <v>101</v>
      </c>
      <c r="AF700" s="18" t="s">
        <v>102</v>
      </c>
      <c r="AG700" s="18" t="s">
        <v>102</v>
      </c>
      <c r="AH700" s="18" t="s">
        <v>102</v>
      </c>
      <c r="AI700" s="18" t="s">
        <v>102</v>
      </c>
      <c r="AJ700" s="18" t="s">
        <v>102</v>
      </c>
      <c r="AK700" s="18" t="s">
        <v>102</v>
      </c>
      <c r="AL700" s="18" t="s">
        <v>102</v>
      </c>
      <c r="AM700" s="19"/>
      <c r="AN700" s="20" t="s">
        <v>101</v>
      </c>
      <c r="AO700" s="20" t="s">
        <v>149</v>
      </c>
      <c r="AP700" s="109">
        <v>269</v>
      </c>
      <c r="AQ700" s="110" t="s">
        <v>100</v>
      </c>
      <c r="AR700" s="105">
        <v>269</v>
      </c>
    </row>
    <row r="701" spans="1:46" ht="16.5">
      <c r="A701" s="105">
        <v>270</v>
      </c>
      <c r="B701" s="111" t="s">
        <v>101</v>
      </c>
      <c r="C701" s="111">
        <v>88.2</v>
      </c>
      <c r="D701" s="111">
        <v>6.5</v>
      </c>
      <c r="E701" s="111">
        <v>1.5</v>
      </c>
      <c r="F701" s="111">
        <v>3.5</v>
      </c>
      <c r="G701" s="111">
        <v>0</v>
      </c>
      <c r="H701" s="111">
        <v>0</v>
      </c>
      <c r="I701" s="111">
        <v>0</v>
      </c>
      <c r="J701" s="111">
        <v>0</v>
      </c>
      <c r="K701" s="111">
        <v>0</v>
      </c>
      <c r="L701" s="111">
        <v>0</v>
      </c>
      <c r="M701" s="74" t="str">
        <f t="array" ref="M701">_xlfn.TEXTJOIN("-", TRUE, IF(C701:L701&gt;0, $C$2:$L$2, ""))</f>
        <v xml:space="preserve"> Ti-Al-Zr-Mo</v>
      </c>
      <c r="N701" s="90">
        <f t="shared" si="20"/>
        <v>684</v>
      </c>
      <c r="O701" s="91">
        <f t="shared" si="21"/>
        <v>4</v>
      </c>
      <c r="P701" s="111">
        <v>1</v>
      </c>
      <c r="Q701" s="111">
        <v>0</v>
      </c>
      <c r="R701" s="111">
        <v>0</v>
      </c>
      <c r="S701" s="115">
        <v>0</v>
      </c>
      <c r="T701" s="141">
        <v>980</v>
      </c>
      <c r="U701" s="109">
        <v>1</v>
      </c>
      <c r="V701" s="112">
        <v>2</v>
      </c>
      <c r="W701" s="109">
        <v>530</v>
      </c>
      <c r="X701" s="109">
        <v>6</v>
      </c>
      <c r="Y701" s="113">
        <v>2</v>
      </c>
      <c r="Z701" s="18" t="s">
        <v>102</v>
      </c>
      <c r="AA701" s="18" t="s">
        <v>102</v>
      </c>
      <c r="AB701" s="18" t="s">
        <v>101</v>
      </c>
      <c r="AC701" s="18" t="s">
        <v>101</v>
      </c>
      <c r="AD701" s="111">
        <v>15.8582</v>
      </c>
      <c r="AE701" s="18" t="s">
        <v>101</v>
      </c>
      <c r="AF701" s="18" t="s">
        <v>102</v>
      </c>
      <c r="AG701" s="18" t="s">
        <v>102</v>
      </c>
      <c r="AH701" s="18" t="s">
        <v>102</v>
      </c>
      <c r="AI701" s="18" t="s">
        <v>102</v>
      </c>
      <c r="AJ701" s="18" t="s">
        <v>102</v>
      </c>
      <c r="AK701" s="18" t="s">
        <v>102</v>
      </c>
      <c r="AL701" s="18" t="s">
        <v>102</v>
      </c>
      <c r="AM701" s="19"/>
      <c r="AN701" s="20" t="s">
        <v>101</v>
      </c>
      <c r="AO701" s="20" t="s">
        <v>149</v>
      </c>
      <c r="AP701" s="109">
        <v>270</v>
      </c>
      <c r="AQ701" s="110" t="s">
        <v>100</v>
      </c>
      <c r="AR701" s="105">
        <v>270</v>
      </c>
    </row>
    <row r="702" spans="1:46" ht="16.5">
      <c r="A702" s="105">
        <v>272</v>
      </c>
      <c r="B702" s="111" t="s">
        <v>101</v>
      </c>
      <c r="C702" s="111">
        <v>88.2</v>
      </c>
      <c r="D702" s="111">
        <v>6.5</v>
      </c>
      <c r="E702" s="111">
        <v>1.5</v>
      </c>
      <c r="F702" s="111">
        <v>3.5</v>
      </c>
      <c r="G702" s="111">
        <v>0</v>
      </c>
      <c r="H702" s="111">
        <v>0</v>
      </c>
      <c r="I702" s="111">
        <v>0</v>
      </c>
      <c r="J702" s="111">
        <v>0</v>
      </c>
      <c r="K702" s="111">
        <v>0</v>
      </c>
      <c r="L702" s="111">
        <v>0</v>
      </c>
      <c r="M702" s="74" t="str">
        <f t="array" ref="M702">_xlfn.TEXTJOIN("-", TRUE, IF(C702:L702&gt;0, $C$2:$L$2, ""))</f>
        <v xml:space="preserve"> Ti-Al-Zr-Mo</v>
      </c>
      <c r="N702" s="90">
        <f t="shared" si="20"/>
        <v>684</v>
      </c>
      <c r="O702" s="91">
        <f t="shared" si="21"/>
        <v>4</v>
      </c>
      <c r="P702" s="111">
        <v>1</v>
      </c>
      <c r="Q702" s="111">
        <v>0</v>
      </c>
      <c r="R702" s="111">
        <v>0</v>
      </c>
      <c r="S702" s="115">
        <v>0</v>
      </c>
      <c r="T702" s="141">
        <v>960</v>
      </c>
      <c r="U702" s="109">
        <v>1</v>
      </c>
      <c r="V702" s="112">
        <v>2</v>
      </c>
      <c r="W702" s="109">
        <v>530</v>
      </c>
      <c r="X702" s="109">
        <v>1</v>
      </c>
      <c r="Y702" s="113">
        <v>2</v>
      </c>
      <c r="Z702" s="18" t="s">
        <v>102</v>
      </c>
      <c r="AA702" s="18" t="s">
        <v>102</v>
      </c>
      <c r="AB702" s="18" t="s">
        <v>101</v>
      </c>
      <c r="AC702" s="18" t="s">
        <v>101</v>
      </c>
      <c r="AD702" s="111">
        <v>16.339600000000001</v>
      </c>
      <c r="AE702" s="18" t="s">
        <v>101</v>
      </c>
      <c r="AF702" s="18" t="s">
        <v>102</v>
      </c>
      <c r="AG702" s="18" t="s">
        <v>102</v>
      </c>
      <c r="AH702" s="18" t="s">
        <v>102</v>
      </c>
      <c r="AI702" s="18" t="s">
        <v>102</v>
      </c>
      <c r="AJ702" s="18" t="s">
        <v>102</v>
      </c>
      <c r="AK702" s="18" t="s">
        <v>102</v>
      </c>
      <c r="AL702" s="18" t="s">
        <v>102</v>
      </c>
      <c r="AM702" s="19"/>
      <c r="AN702" s="20" t="s">
        <v>101</v>
      </c>
      <c r="AO702" s="20" t="s">
        <v>149</v>
      </c>
      <c r="AP702" s="109">
        <v>272</v>
      </c>
      <c r="AQ702" s="110" t="s">
        <v>100</v>
      </c>
      <c r="AR702" s="105">
        <v>272</v>
      </c>
    </row>
    <row r="703" spans="1:46" ht="16.5">
      <c r="A703" s="105">
        <v>273</v>
      </c>
      <c r="B703" s="111" t="s">
        <v>101</v>
      </c>
      <c r="C703" s="111">
        <v>88.2</v>
      </c>
      <c r="D703" s="111">
        <v>6.5</v>
      </c>
      <c r="E703" s="111">
        <v>1.5</v>
      </c>
      <c r="F703" s="111">
        <v>3.5</v>
      </c>
      <c r="G703" s="111">
        <v>0</v>
      </c>
      <c r="H703" s="111">
        <v>0</v>
      </c>
      <c r="I703" s="111">
        <v>0</v>
      </c>
      <c r="J703" s="111">
        <v>0</v>
      </c>
      <c r="K703" s="111">
        <v>0</v>
      </c>
      <c r="L703" s="111">
        <v>0</v>
      </c>
      <c r="M703" s="74" t="str">
        <f t="array" ref="M703">_xlfn.TEXTJOIN("-", TRUE, IF(C703:L703&gt;0, $C$2:$L$2, ""))</f>
        <v xml:space="preserve"> Ti-Al-Zr-Mo</v>
      </c>
      <c r="N703" s="90">
        <f t="shared" si="20"/>
        <v>684</v>
      </c>
      <c r="O703" s="91">
        <f t="shared" si="21"/>
        <v>4</v>
      </c>
      <c r="P703" s="111">
        <v>1</v>
      </c>
      <c r="Q703" s="111">
        <v>0</v>
      </c>
      <c r="R703" s="111">
        <v>0</v>
      </c>
      <c r="S703" s="115">
        <v>0</v>
      </c>
      <c r="T703" s="141">
        <v>960</v>
      </c>
      <c r="U703" s="109">
        <v>1</v>
      </c>
      <c r="V703" s="112">
        <v>2</v>
      </c>
      <c r="W703" s="109">
        <v>530</v>
      </c>
      <c r="X703" s="109">
        <v>2</v>
      </c>
      <c r="Y703" s="113">
        <v>2</v>
      </c>
      <c r="Z703" s="18" t="s">
        <v>102</v>
      </c>
      <c r="AA703" s="18" t="s">
        <v>102</v>
      </c>
      <c r="AB703" s="18" t="s">
        <v>101</v>
      </c>
      <c r="AC703" s="18" t="s">
        <v>101</v>
      </c>
      <c r="AD703" s="111">
        <v>18.302</v>
      </c>
      <c r="AE703" s="18" t="s">
        <v>101</v>
      </c>
      <c r="AF703" s="18" t="s">
        <v>102</v>
      </c>
      <c r="AG703" s="18" t="s">
        <v>102</v>
      </c>
      <c r="AH703" s="18" t="s">
        <v>102</v>
      </c>
      <c r="AI703" s="18" t="s">
        <v>102</v>
      </c>
      <c r="AJ703" s="18" t="s">
        <v>102</v>
      </c>
      <c r="AK703" s="18" t="s">
        <v>102</v>
      </c>
      <c r="AL703" s="18" t="s">
        <v>102</v>
      </c>
      <c r="AM703" s="19"/>
      <c r="AN703" s="20" t="s">
        <v>101</v>
      </c>
      <c r="AO703" s="20" t="s">
        <v>149</v>
      </c>
      <c r="AP703" s="109">
        <v>273</v>
      </c>
      <c r="AQ703" s="110" t="s">
        <v>100</v>
      </c>
      <c r="AR703" s="105">
        <v>273</v>
      </c>
    </row>
    <row r="704" spans="1:46" ht="16.5">
      <c r="A704" s="105">
        <v>274</v>
      </c>
      <c r="B704" s="111" t="s">
        <v>101</v>
      </c>
      <c r="C704" s="111">
        <v>88.2</v>
      </c>
      <c r="D704" s="111">
        <v>6.5</v>
      </c>
      <c r="E704" s="111">
        <v>1.5</v>
      </c>
      <c r="F704" s="111">
        <v>3.5</v>
      </c>
      <c r="G704" s="111">
        <v>0</v>
      </c>
      <c r="H704" s="111">
        <v>0</v>
      </c>
      <c r="I704" s="111">
        <v>0</v>
      </c>
      <c r="J704" s="111">
        <v>0</v>
      </c>
      <c r="K704" s="111">
        <v>0</v>
      </c>
      <c r="L704" s="111">
        <v>0</v>
      </c>
      <c r="M704" s="74" t="str">
        <f t="array" ref="M704">_xlfn.TEXTJOIN("-", TRUE, IF(C704:L704&gt;0, $C$2:$L$2, ""))</f>
        <v xml:space="preserve"> Ti-Al-Zr-Mo</v>
      </c>
      <c r="N704" s="90">
        <f t="shared" si="20"/>
        <v>684</v>
      </c>
      <c r="O704" s="91">
        <f t="shared" si="21"/>
        <v>4</v>
      </c>
      <c r="P704" s="111">
        <v>1</v>
      </c>
      <c r="Q704" s="111">
        <v>0</v>
      </c>
      <c r="R704" s="111">
        <v>0</v>
      </c>
      <c r="S704" s="115">
        <v>0</v>
      </c>
      <c r="T704" s="141">
        <v>960</v>
      </c>
      <c r="U704" s="109">
        <v>1</v>
      </c>
      <c r="V704" s="112">
        <v>2</v>
      </c>
      <c r="W704" s="109">
        <v>530</v>
      </c>
      <c r="X704" s="109">
        <v>4</v>
      </c>
      <c r="Y704" s="113">
        <v>2</v>
      </c>
      <c r="Z704" s="18" t="s">
        <v>102</v>
      </c>
      <c r="AA704" s="18" t="s">
        <v>102</v>
      </c>
      <c r="AB704" s="18" t="s">
        <v>101</v>
      </c>
      <c r="AC704" s="18" t="s">
        <v>101</v>
      </c>
      <c r="AD704" s="111">
        <v>16.680900000000001</v>
      </c>
      <c r="AE704" s="18" t="s">
        <v>101</v>
      </c>
      <c r="AF704" s="18" t="s">
        <v>102</v>
      </c>
      <c r="AG704" s="18" t="s">
        <v>102</v>
      </c>
      <c r="AH704" s="18" t="s">
        <v>102</v>
      </c>
      <c r="AI704" s="18" t="s">
        <v>102</v>
      </c>
      <c r="AJ704" s="18" t="s">
        <v>102</v>
      </c>
      <c r="AK704" s="18" t="s">
        <v>102</v>
      </c>
      <c r="AL704" s="18" t="s">
        <v>102</v>
      </c>
      <c r="AM704" s="19"/>
      <c r="AN704" s="20" t="s">
        <v>101</v>
      </c>
      <c r="AO704" s="20" t="s">
        <v>149</v>
      </c>
      <c r="AP704" s="109">
        <v>274</v>
      </c>
      <c r="AQ704" s="110" t="s">
        <v>100</v>
      </c>
      <c r="AR704" s="105">
        <v>274</v>
      </c>
    </row>
    <row r="705" spans="1:45" ht="16.5">
      <c r="A705" s="105">
        <v>276</v>
      </c>
      <c r="B705" s="111" t="s">
        <v>101</v>
      </c>
      <c r="C705" s="111">
        <v>88.2</v>
      </c>
      <c r="D705" s="111">
        <v>6.5</v>
      </c>
      <c r="E705" s="111">
        <v>1.5</v>
      </c>
      <c r="F705" s="111">
        <v>3.5</v>
      </c>
      <c r="G705" s="111">
        <v>0</v>
      </c>
      <c r="H705" s="111">
        <v>0</v>
      </c>
      <c r="I705" s="111">
        <v>0</v>
      </c>
      <c r="J705" s="111">
        <v>0</v>
      </c>
      <c r="K705" s="111">
        <v>0</v>
      </c>
      <c r="L705" s="111">
        <v>0</v>
      </c>
      <c r="M705" s="74" t="str">
        <f t="array" ref="M705">_xlfn.TEXTJOIN("-", TRUE, IF(C705:L705&gt;0, $C$2:$L$2, ""))</f>
        <v xml:space="preserve"> Ti-Al-Zr-Mo</v>
      </c>
      <c r="N705" s="90">
        <f t="shared" si="20"/>
        <v>684</v>
      </c>
      <c r="O705" s="91">
        <f t="shared" si="21"/>
        <v>4</v>
      </c>
      <c r="P705" s="111">
        <v>1</v>
      </c>
      <c r="Q705" s="111">
        <v>0</v>
      </c>
      <c r="R705" s="111">
        <v>0</v>
      </c>
      <c r="S705" s="115">
        <v>0</v>
      </c>
      <c r="T705" s="141">
        <v>960</v>
      </c>
      <c r="U705" s="109">
        <v>1</v>
      </c>
      <c r="V705" s="112">
        <v>2</v>
      </c>
      <c r="W705" s="109">
        <v>530</v>
      </c>
      <c r="X705" s="109">
        <v>12</v>
      </c>
      <c r="Y705" s="113">
        <v>2</v>
      </c>
      <c r="Z705" s="18" t="s">
        <v>102</v>
      </c>
      <c r="AA705" s="18" t="s">
        <v>102</v>
      </c>
      <c r="AB705" s="18" t="s">
        <v>101</v>
      </c>
      <c r="AC705" s="18" t="s">
        <v>101</v>
      </c>
      <c r="AD705" s="111">
        <v>15.4863</v>
      </c>
      <c r="AE705" s="18" t="s">
        <v>101</v>
      </c>
      <c r="AF705" s="18" t="s">
        <v>102</v>
      </c>
      <c r="AG705" s="18" t="s">
        <v>102</v>
      </c>
      <c r="AH705" s="18" t="s">
        <v>102</v>
      </c>
      <c r="AI705" s="18" t="s">
        <v>102</v>
      </c>
      <c r="AJ705" s="18" t="s">
        <v>102</v>
      </c>
      <c r="AK705" s="18" t="s">
        <v>102</v>
      </c>
      <c r="AL705" s="18" t="s">
        <v>102</v>
      </c>
      <c r="AM705" s="19"/>
      <c r="AN705" s="20" t="s">
        <v>101</v>
      </c>
      <c r="AO705" s="20" t="s">
        <v>149</v>
      </c>
      <c r="AP705" s="109">
        <v>276</v>
      </c>
      <c r="AQ705" s="110" t="s">
        <v>100</v>
      </c>
      <c r="AR705" s="105">
        <v>276</v>
      </c>
    </row>
    <row r="706" spans="1:45" ht="16.5">
      <c r="A706" s="105">
        <v>277</v>
      </c>
      <c r="B706" s="111" t="s">
        <v>101</v>
      </c>
      <c r="C706" s="111">
        <v>88.2</v>
      </c>
      <c r="D706" s="111">
        <v>6.5</v>
      </c>
      <c r="E706" s="111">
        <v>1.5</v>
      </c>
      <c r="F706" s="111">
        <v>3.5</v>
      </c>
      <c r="G706" s="111">
        <v>0</v>
      </c>
      <c r="H706" s="111">
        <v>0</v>
      </c>
      <c r="I706" s="111">
        <v>0</v>
      </c>
      <c r="J706" s="111">
        <v>0</v>
      </c>
      <c r="K706" s="111">
        <v>0</v>
      </c>
      <c r="L706" s="111">
        <v>0</v>
      </c>
      <c r="M706" s="74" t="str">
        <f t="array" ref="M706">_xlfn.TEXTJOIN("-", TRUE, IF(C706:L706&gt;0, $C$2:$L$2, ""))</f>
        <v xml:space="preserve"> Ti-Al-Zr-Mo</v>
      </c>
      <c r="N706" s="90">
        <f t="shared" si="20"/>
        <v>684</v>
      </c>
      <c r="O706" s="91">
        <f t="shared" si="21"/>
        <v>4</v>
      </c>
      <c r="P706" s="111">
        <v>1</v>
      </c>
      <c r="Q706" s="111">
        <v>0</v>
      </c>
      <c r="R706" s="111">
        <v>0</v>
      </c>
      <c r="S706" s="115">
        <v>0</v>
      </c>
      <c r="T706" s="141">
        <v>960</v>
      </c>
      <c r="U706" s="109">
        <v>1</v>
      </c>
      <c r="V706" s="112">
        <v>2</v>
      </c>
      <c r="W706" s="109">
        <v>530</v>
      </c>
      <c r="X706" s="109">
        <v>24</v>
      </c>
      <c r="Y706" s="113">
        <v>2</v>
      </c>
      <c r="Z706" s="18" t="s">
        <v>102</v>
      </c>
      <c r="AA706" s="18" t="s">
        <v>102</v>
      </c>
      <c r="AB706" s="18" t="s">
        <v>101</v>
      </c>
      <c r="AC706" s="18" t="s">
        <v>101</v>
      </c>
      <c r="AD706" s="111">
        <v>16.382300000000001</v>
      </c>
      <c r="AE706" s="18" t="s">
        <v>101</v>
      </c>
      <c r="AF706" s="18" t="s">
        <v>102</v>
      </c>
      <c r="AG706" s="18" t="s">
        <v>102</v>
      </c>
      <c r="AH706" s="18" t="s">
        <v>102</v>
      </c>
      <c r="AI706" s="18" t="s">
        <v>102</v>
      </c>
      <c r="AJ706" s="18" t="s">
        <v>102</v>
      </c>
      <c r="AK706" s="18" t="s">
        <v>102</v>
      </c>
      <c r="AL706" s="18" t="s">
        <v>102</v>
      </c>
      <c r="AM706" s="19"/>
      <c r="AN706" s="20" t="s">
        <v>101</v>
      </c>
      <c r="AO706" s="20" t="s">
        <v>149</v>
      </c>
      <c r="AP706" s="109">
        <v>277</v>
      </c>
      <c r="AQ706" s="110" t="s">
        <v>100</v>
      </c>
      <c r="AR706" s="105">
        <v>277</v>
      </c>
    </row>
    <row r="707" spans="1:45" ht="16.5">
      <c r="A707" s="105">
        <v>279</v>
      </c>
      <c r="B707" s="111" t="s">
        <v>101</v>
      </c>
      <c r="C707" s="111">
        <v>88.2</v>
      </c>
      <c r="D707" s="111">
        <v>6.5</v>
      </c>
      <c r="E707" s="111">
        <v>1.5</v>
      </c>
      <c r="F707" s="111">
        <v>3.5</v>
      </c>
      <c r="G707" s="111">
        <v>0</v>
      </c>
      <c r="H707" s="111">
        <v>0</v>
      </c>
      <c r="I707" s="111">
        <v>0</v>
      </c>
      <c r="J707" s="111">
        <v>0</v>
      </c>
      <c r="K707" s="111">
        <v>0</v>
      </c>
      <c r="L707" s="111">
        <v>0</v>
      </c>
      <c r="M707" s="74" t="str">
        <f t="array" ref="M707">_xlfn.TEXTJOIN("-", TRUE, IF(C707:L707&gt;0, $C$2:$L$2, ""))</f>
        <v xml:space="preserve"> Ti-Al-Zr-Mo</v>
      </c>
      <c r="N707" s="90">
        <f t="shared" ref="N707:N770" si="22">IF(COUNTIF(M$3:M$1206, M707)&gt;1, MATCH(M707, M:M, 0), "")</f>
        <v>684</v>
      </c>
      <c r="O707" s="91">
        <f t="shared" ref="O707:O770" si="23">COUNTIF(C707:L707, "&lt;&gt;0")</f>
        <v>4</v>
      </c>
      <c r="P707" s="111">
        <v>1</v>
      </c>
      <c r="Q707" s="111">
        <v>0</v>
      </c>
      <c r="R707" s="111">
        <v>0</v>
      </c>
      <c r="S707" s="115">
        <v>0</v>
      </c>
      <c r="T707" s="141">
        <v>980</v>
      </c>
      <c r="U707" s="109">
        <v>1</v>
      </c>
      <c r="V707" s="112">
        <v>1</v>
      </c>
      <c r="W707" s="109">
        <v>700</v>
      </c>
      <c r="X707" s="109">
        <v>6</v>
      </c>
      <c r="Y707" s="113">
        <v>2</v>
      </c>
      <c r="Z707" s="18" t="s">
        <v>102</v>
      </c>
      <c r="AA707" s="18" t="s">
        <v>102</v>
      </c>
      <c r="AB707" s="111">
        <v>1217</v>
      </c>
      <c r="AC707" s="111">
        <v>1046</v>
      </c>
      <c r="AD707" s="111">
        <v>10.656499999999999</v>
      </c>
      <c r="AE707" s="18" t="s">
        <v>101</v>
      </c>
      <c r="AF707" s="18" t="s">
        <v>102</v>
      </c>
      <c r="AG707" s="18" t="s">
        <v>102</v>
      </c>
      <c r="AH707" s="18" t="s">
        <v>102</v>
      </c>
      <c r="AI707" s="18" t="s">
        <v>102</v>
      </c>
      <c r="AJ707" s="18" t="s">
        <v>102</v>
      </c>
      <c r="AK707" s="18" t="s">
        <v>102</v>
      </c>
      <c r="AL707" s="18" t="s">
        <v>102</v>
      </c>
      <c r="AM707" s="19"/>
      <c r="AN707" s="20" t="s">
        <v>101</v>
      </c>
      <c r="AO707" s="20" t="s">
        <v>149</v>
      </c>
      <c r="AP707" s="109">
        <v>279</v>
      </c>
      <c r="AQ707" s="110" t="s">
        <v>100</v>
      </c>
      <c r="AR707" s="105">
        <v>279</v>
      </c>
    </row>
    <row r="708" spans="1:45" ht="16.5">
      <c r="A708" s="105">
        <v>280</v>
      </c>
      <c r="B708" s="111" t="s">
        <v>101</v>
      </c>
      <c r="C708" s="111">
        <v>88.2</v>
      </c>
      <c r="D708" s="111">
        <v>6.5</v>
      </c>
      <c r="E708" s="111">
        <v>1.5</v>
      </c>
      <c r="F708" s="111">
        <v>3.5</v>
      </c>
      <c r="G708" s="111">
        <v>0</v>
      </c>
      <c r="H708" s="111">
        <v>0</v>
      </c>
      <c r="I708" s="111">
        <v>0</v>
      </c>
      <c r="J708" s="111">
        <v>0</v>
      </c>
      <c r="K708" s="111">
        <v>0</v>
      </c>
      <c r="L708" s="111">
        <v>0</v>
      </c>
      <c r="M708" s="74" t="str">
        <f t="array" ref="M708">_xlfn.TEXTJOIN("-", TRUE, IF(C708:L708&gt;0, $C$2:$L$2, ""))</f>
        <v xml:space="preserve"> Ti-Al-Zr-Mo</v>
      </c>
      <c r="N708" s="90">
        <f t="shared" si="22"/>
        <v>684</v>
      </c>
      <c r="O708" s="91">
        <f t="shared" si="23"/>
        <v>4</v>
      </c>
      <c r="P708" s="111">
        <v>1</v>
      </c>
      <c r="Q708" s="111">
        <v>0</v>
      </c>
      <c r="R708" s="114">
        <v>0</v>
      </c>
      <c r="S708" s="144">
        <v>0</v>
      </c>
      <c r="T708" s="141">
        <v>980</v>
      </c>
      <c r="U708" s="109">
        <v>1</v>
      </c>
      <c r="V708" s="112">
        <v>1</v>
      </c>
      <c r="W708" s="109">
        <v>750</v>
      </c>
      <c r="X708" s="109">
        <v>6</v>
      </c>
      <c r="Y708" s="113">
        <v>2</v>
      </c>
      <c r="Z708" s="18" t="s">
        <v>102</v>
      </c>
      <c r="AA708" s="18" t="s">
        <v>102</v>
      </c>
      <c r="AB708" s="111">
        <v>1095</v>
      </c>
      <c r="AC708" s="111">
        <v>1034</v>
      </c>
      <c r="AD708" s="111">
        <v>13.5304</v>
      </c>
      <c r="AE708" s="18" t="s">
        <v>101</v>
      </c>
      <c r="AF708" s="18" t="s">
        <v>102</v>
      </c>
      <c r="AG708" s="18" t="s">
        <v>102</v>
      </c>
      <c r="AH708" s="18" t="s">
        <v>102</v>
      </c>
      <c r="AI708" s="18" t="s">
        <v>102</v>
      </c>
      <c r="AJ708" s="18" t="s">
        <v>102</v>
      </c>
      <c r="AK708" s="18" t="s">
        <v>102</v>
      </c>
      <c r="AL708" s="18" t="s">
        <v>102</v>
      </c>
      <c r="AM708" s="19"/>
      <c r="AN708" s="20" t="s">
        <v>101</v>
      </c>
      <c r="AO708" s="20" t="s">
        <v>149</v>
      </c>
      <c r="AP708" s="109">
        <v>280</v>
      </c>
      <c r="AQ708" s="110" t="s">
        <v>100</v>
      </c>
      <c r="AR708" s="105">
        <v>280</v>
      </c>
    </row>
    <row r="709" spans="1:45" ht="16.5">
      <c r="A709" s="105">
        <v>281</v>
      </c>
      <c r="B709" s="111" t="s">
        <v>101</v>
      </c>
      <c r="C709" s="111">
        <v>88.2</v>
      </c>
      <c r="D709" s="111">
        <v>6.5</v>
      </c>
      <c r="E709" s="111">
        <v>1.5</v>
      </c>
      <c r="F709" s="111">
        <v>3.5</v>
      </c>
      <c r="G709" s="111">
        <v>0</v>
      </c>
      <c r="H709" s="111">
        <v>0</v>
      </c>
      <c r="I709" s="111">
        <v>0</v>
      </c>
      <c r="J709" s="111">
        <v>0</v>
      </c>
      <c r="K709" s="111">
        <v>0</v>
      </c>
      <c r="L709" s="111">
        <v>0</v>
      </c>
      <c r="M709" s="74" t="str">
        <f t="array" ref="M709">_xlfn.TEXTJOIN("-", TRUE, IF(C709:L709&gt;0, $C$2:$L$2, ""))</f>
        <v xml:space="preserve"> Ti-Al-Zr-Mo</v>
      </c>
      <c r="N709" s="90">
        <f t="shared" si="22"/>
        <v>684</v>
      </c>
      <c r="O709" s="91">
        <f t="shared" si="23"/>
        <v>4</v>
      </c>
      <c r="P709" s="111">
        <v>1</v>
      </c>
      <c r="Q709" s="111">
        <v>0</v>
      </c>
      <c r="R709" s="111">
        <v>0</v>
      </c>
      <c r="S709" s="111">
        <v>0</v>
      </c>
      <c r="T709" s="141">
        <v>980</v>
      </c>
      <c r="U709" s="109">
        <v>1</v>
      </c>
      <c r="V709" s="112">
        <v>1</v>
      </c>
      <c r="W709" s="109">
        <v>800</v>
      </c>
      <c r="X709" s="109">
        <v>6</v>
      </c>
      <c r="Y709" s="113">
        <v>2</v>
      </c>
      <c r="Z709" s="18" t="s">
        <v>102</v>
      </c>
      <c r="AA709" s="18" t="s">
        <v>102</v>
      </c>
      <c r="AB709" s="111">
        <v>1008</v>
      </c>
      <c r="AC709" s="111">
        <v>937</v>
      </c>
      <c r="AD709" s="111">
        <v>15.642200000000001</v>
      </c>
      <c r="AE709" s="18" t="s">
        <v>101</v>
      </c>
      <c r="AF709" s="18" t="s">
        <v>102</v>
      </c>
      <c r="AG709" s="18" t="s">
        <v>102</v>
      </c>
      <c r="AH709" s="18" t="s">
        <v>102</v>
      </c>
      <c r="AI709" s="18" t="s">
        <v>102</v>
      </c>
      <c r="AJ709" s="18" t="s">
        <v>102</v>
      </c>
      <c r="AK709" s="18" t="s">
        <v>102</v>
      </c>
      <c r="AL709" s="18" t="s">
        <v>102</v>
      </c>
      <c r="AM709" s="19"/>
      <c r="AN709" s="20" t="s">
        <v>101</v>
      </c>
      <c r="AO709" s="20" t="s">
        <v>149</v>
      </c>
      <c r="AP709" s="109">
        <v>281</v>
      </c>
      <c r="AQ709" s="110" t="s">
        <v>100</v>
      </c>
      <c r="AR709" s="105">
        <v>281</v>
      </c>
    </row>
    <row r="710" spans="1:45" ht="16.5">
      <c r="A710" s="105">
        <v>282</v>
      </c>
      <c r="B710" s="111" t="s">
        <v>101</v>
      </c>
      <c r="C710" s="111">
        <v>88.2</v>
      </c>
      <c r="D710" s="111">
        <v>6.5</v>
      </c>
      <c r="E710" s="111">
        <v>1.5</v>
      </c>
      <c r="F710" s="111">
        <v>3.5</v>
      </c>
      <c r="G710" s="111">
        <v>0</v>
      </c>
      <c r="H710" s="111">
        <v>0</v>
      </c>
      <c r="I710" s="111">
        <v>0</v>
      </c>
      <c r="J710" s="111">
        <v>0</v>
      </c>
      <c r="K710" s="111">
        <v>0</v>
      </c>
      <c r="L710" s="111">
        <v>0</v>
      </c>
      <c r="M710" s="74" t="str">
        <f t="array" ref="M710">_xlfn.TEXTJOIN("-", TRUE, IF(C710:L710&gt;0, $C$2:$L$2, ""))</f>
        <v xml:space="preserve"> Ti-Al-Zr-Mo</v>
      </c>
      <c r="N710" s="90">
        <f t="shared" si="22"/>
        <v>684</v>
      </c>
      <c r="O710" s="91">
        <f t="shared" si="23"/>
        <v>4</v>
      </c>
      <c r="P710" s="111">
        <v>1</v>
      </c>
      <c r="Q710" s="111">
        <v>0</v>
      </c>
      <c r="R710" s="111">
        <v>0</v>
      </c>
      <c r="S710" s="111">
        <v>0</v>
      </c>
      <c r="T710" s="141">
        <v>990</v>
      </c>
      <c r="U710" s="109">
        <v>1</v>
      </c>
      <c r="V710" s="112">
        <v>1</v>
      </c>
      <c r="W710" s="109">
        <v>0</v>
      </c>
      <c r="X710" s="109">
        <v>0</v>
      </c>
      <c r="Y710" s="113">
        <v>0</v>
      </c>
      <c r="Z710" s="18" t="s">
        <v>102</v>
      </c>
      <c r="AA710" s="18" t="s">
        <v>102</v>
      </c>
      <c r="AB710" s="18" t="s">
        <v>101</v>
      </c>
      <c r="AC710" s="18" t="s">
        <v>101</v>
      </c>
      <c r="AD710" s="111">
        <v>14.747299999999999</v>
      </c>
      <c r="AE710" s="18" t="s">
        <v>101</v>
      </c>
      <c r="AF710" s="18" t="s">
        <v>102</v>
      </c>
      <c r="AG710" s="18" t="s">
        <v>102</v>
      </c>
      <c r="AH710" s="18" t="s">
        <v>102</v>
      </c>
      <c r="AI710" s="18" t="s">
        <v>102</v>
      </c>
      <c r="AJ710" s="18" t="s">
        <v>102</v>
      </c>
      <c r="AK710" s="18" t="s">
        <v>102</v>
      </c>
      <c r="AL710" s="18" t="s">
        <v>102</v>
      </c>
      <c r="AM710" s="19"/>
      <c r="AN710" s="20" t="s">
        <v>101</v>
      </c>
      <c r="AO710" s="20" t="s">
        <v>149</v>
      </c>
      <c r="AP710" s="109">
        <v>282</v>
      </c>
      <c r="AQ710" s="110" t="s">
        <v>100</v>
      </c>
      <c r="AR710" s="105">
        <v>282</v>
      </c>
    </row>
    <row r="711" spans="1:45" ht="16.5">
      <c r="A711" s="105">
        <v>283</v>
      </c>
      <c r="B711" s="111" t="s">
        <v>101</v>
      </c>
      <c r="C711" s="111">
        <v>88.2</v>
      </c>
      <c r="D711" s="111">
        <v>6.5</v>
      </c>
      <c r="E711" s="111">
        <v>1.5</v>
      </c>
      <c r="F711" s="111">
        <v>3.5</v>
      </c>
      <c r="G711" s="111">
        <v>0</v>
      </c>
      <c r="H711" s="111">
        <v>0</v>
      </c>
      <c r="I711" s="111">
        <v>0</v>
      </c>
      <c r="J711" s="111">
        <v>0</v>
      </c>
      <c r="K711" s="111">
        <v>0</v>
      </c>
      <c r="L711" s="111">
        <v>0</v>
      </c>
      <c r="M711" s="74" t="str">
        <f t="array" ref="M711">_xlfn.TEXTJOIN("-", TRUE, IF(C711:L711&gt;0, $C$2:$L$2, ""))</f>
        <v xml:space="preserve"> Ti-Al-Zr-Mo</v>
      </c>
      <c r="N711" s="90">
        <f t="shared" si="22"/>
        <v>684</v>
      </c>
      <c r="O711" s="91">
        <f t="shared" si="23"/>
        <v>4</v>
      </c>
      <c r="P711" s="111">
        <v>1</v>
      </c>
      <c r="Q711" s="111">
        <v>0</v>
      </c>
      <c r="R711" s="111">
        <v>0</v>
      </c>
      <c r="S711" s="111">
        <v>0</v>
      </c>
      <c r="T711" s="141">
        <v>990</v>
      </c>
      <c r="U711" s="109">
        <v>1</v>
      </c>
      <c r="V711" s="112">
        <v>1</v>
      </c>
      <c r="W711" s="109">
        <v>0</v>
      </c>
      <c r="X711" s="109">
        <v>0</v>
      </c>
      <c r="Y711" s="113">
        <v>0</v>
      </c>
      <c r="Z711" s="18" t="s">
        <v>102</v>
      </c>
      <c r="AA711" s="18" t="s">
        <v>102</v>
      </c>
      <c r="AB711" s="18" t="s">
        <v>101</v>
      </c>
      <c r="AC711" s="18" t="s">
        <v>101</v>
      </c>
      <c r="AD711" s="111">
        <v>16.362400000000001</v>
      </c>
      <c r="AE711" s="18" t="s">
        <v>101</v>
      </c>
      <c r="AF711" s="18" t="s">
        <v>102</v>
      </c>
      <c r="AG711" s="18" t="s">
        <v>102</v>
      </c>
      <c r="AH711" s="18" t="s">
        <v>102</v>
      </c>
      <c r="AI711" s="18" t="s">
        <v>102</v>
      </c>
      <c r="AJ711" s="18" t="s">
        <v>102</v>
      </c>
      <c r="AK711" s="18" t="s">
        <v>102</v>
      </c>
      <c r="AL711" s="18" t="s">
        <v>102</v>
      </c>
      <c r="AM711" s="19"/>
      <c r="AN711" s="20" t="s">
        <v>101</v>
      </c>
      <c r="AO711" s="20" t="s">
        <v>149</v>
      </c>
      <c r="AP711" s="109">
        <v>283</v>
      </c>
      <c r="AQ711" s="110" t="s">
        <v>100</v>
      </c>
      <c r="AR711" s="105">
        <v>283</v>
      </c>
    </row>
    <row r="712" spans="1:45" ht="16.5">
      <c r="A712" s="105">
        <v>284</v>
      </c>
      <c r="B712" s="111" t="s">
        <v>101</v>
      </c>
      <c r="C712" s="111">
        <v>88.2</v>
      </c>
      <c r="D712" s="111">
        <v>6.5</v>
      </c>
      <c r="E712" s="111">
        <v>1.5</v>
      </c>
      <c r="F712" s="111">
        <v>3.5</v>
      </c>
      <c r="G712" s="111">
        <v>0</v>
      </c>
      <c r="H712" s="111">
        <v>0</v>
      </c>
      <c r="I712" s="111">
        <v>0</v>
      </c>
      <c r="J712" s="111">
        <v>0</v>
      </c>
      <c r="K712" s="111">
        <v>0</v>
      </c>
      <c r="L712" s="111">
        <v>0</v>
      </c>
      <c r="M712" s="74" t="str">
        <f t="array" ref="M712">_xlfn.TEXTJOIN("-", TRUE, IF(C712:L712&gt;0, $C$2:$L$2, ""))</f>
        <v xml:space="preserve"> Ti-Al-Zr-Mo</v>
      </c>
      <c r="N712" s="90">
        <f t="shared" si="22"/>
        <v>684</v>
      </c>
      <c r="O712" s="91">
        <f t="shared" si="23"/>
        <v>4</v>
      </c>
      <c r="P712" s="111">
        <v>1</v>
      </c>
      <c r="Q712" s="111">
        <v>0</v>
      </c>
      <c r="R712" s="111">
        <v>0</v>
      </c>
      <c r="S712" s="111">
        <v>0</v>
      </c>
      <c r="T712" s="141">
        <v>990</v>
      </c>
      <c r="U712" s="109">
        <v>1</v>
      </c>
      <c r="V712" s="112">
        <v>1</v>
      </c>
      <c r="W712" s="109">
        <v>0</v>
      </c>
      <c r="X712" s="109">
        <v>0</v>
      </c>
      <c r="Y712" s="113">
        <v>0</v>
      </c>
      <c r="Z712" s="18" t="s">
        <v>102</v>
      </c>
      <c r="AA712" s="18" t="s">
        <v>102</v>
      </c>
      <c r="AB712" s="18" t="s">
        <v>101</v>
      </c>
      <c r="AC712" s="18" t="s">
        <v>101</v>
      </c>
      <c r="AD712" s="111">
        <v>17.0229</v>
      </c>
      <c r="AE712" s="18" t="s">
        <v>101</v>
      </c>
      <c r="AF712" s="18" t="s">
        <v>102</v>
      </c>
      <c r="AG712" s="18" t="s">
        <v>102</v>
      </c>
      <c r="AH712" s="18" t="s">
        <v>102</v>
      </c>
      <c r="AI712" s="18" t="s">
        <v>102</v>
      </c>
      <c r="AJ712" s="18" t="s">
        <v>102</v>
      </c>
      <c r="AK712" s="18" t="s">
        <v>102</v>
      </c>
      <c r="AL712" s="18" t="s">
        <v>102</v>
      </c>
      <c r="AM712" s="19"/>
      <c r="AN712" s="20" t="s">
        <v>101</v>
      </c>
      <c r="AO712" s="20" t="s">
        <v>149</v>
      </c>
      <c r="AP712" s="109">
        <v>284</v>
      </c>
      <c r="AQ712" s="110" t="s">
        <v>100</v>
      </c>
      <c r="AR712" s="105">
        <v>284</v>
      </c>
    </row>
    <row r="713" spans="1:45" ht="16.5">
      <c r="A713" s="105">
        <v>285</v>
      </c>
      <c r="B713" s="111" t="s">
        <v>101</v>
      </c>
      <c r="C713" s="111">
        <v>88.2</v>
      </c>
      <c r="D713" s="111">
        <v>6.5</v>
      </c>
      <c r="E713" s="111">
        <v>1.5</v>
      </c>
      <c r="F713" s="111">
        <v>3.5</v>
      </c>
      <c r="G713" s="111">
        <v>0</v>
      </c>
      <c r="H713" s="111">
        <v>0</v>
      </c>
      <c r="I713" s="111">
        <v>0</v>
      </c>
      <c r="J713" s="111">
        <v>0</v>
      </c>
      <c r="K713" s="111">
        <v>0</v>
      </c>
      <c r="L713" s="111">
        <v>0</v>
      </c>
      <c r="M713" s="74" t="str">
        <f t="array" ref="M713">_xlfn.TEXTJOIN("-", TRUE, IF(C713:L713&gt;0, $C$2:$L$2, ""))</f>
        <v xml:space="preserve"> Ti-Al-Zr-Mo</v>
      </c>
      <c r="N713" s="90">
        <f t="shared" si="22"/>
        <v>684</v>
      </c>
      <c r="O713" s="91">
        <f t="shared" si="23"/>
        <v>4</v>
      </c>
      <c r="P713" s="111">
        <v>1</v>
      </c>
      <c r="Q713" s="111">
        <v>0</v>
      </c>
      <c r="R713" s="111">
        <v>0</v>
      </c>
      <c r="S713" s="111">
        <v>0</v>
      </c>
      <c r="T713" s="141">
        <v>970</v>
      </c>
      <c r="U713" s="109">
        <v>1</v>
      </c>
      <c r="V713" s="112">
        <v>1</v>
      </c>
      <c r="W713" s="109">
        <v>0</v>
      </c>
      <c r="X713" s="109">
        <v>0</v>
      </c>
      <c r="Y713" s="113">
        <v>0</v>
      </c>
      <c r="Z713" s="18" t="s">
        <v>102</v>
      </c>
      <c r="AA713" s="18" t="s">
        <v>102</v>
      </c>
      <c r="AB713" s="18" t="s">
        <v>101</v>
      </c>
      <c r="AC713" s="18" t="s">
        <v>101</v>
      </c>
      <c r="AD713" s="111">
        <v>15.694800000000001</v>
      </c>
      <c r="AE713" s="18" t="s">
        <v>101</v>
      </c>
      <c r="AF713" s="18" t="s">
        <v>102</v>
      </c>
      <c r="AG713" s="18" t="s">
        <v>102</v>
      </c>
      <c r="AH713" s="18" t="s">
        <v>102</v>
      </c>
      <c r="AI713" s="18" t="s">
        <v>102</v>
      </c>
      <c r="AJ713" s="18" t="s">
        <v>102</v>
      </c>
      <c r="AK713" s="18" t="s">
        <v>102</v>
      </c>
      <c r="AL713" s="18" t="s">
        <v>102</v>
      </c>
      <c r="AM713" s="19"/>
      <c r="AN713" s="20" t="s">
        <v>101</v>
      </c>
      <c r="AO713" s="20" t="s">
        <v>149</v>
      </c>
      <c r="AP713" s="109">
        <v>285</v>
      </c>
      <c r="AQ713" s="110" t="s">
        <v>100</v>
      </c>
      <c r="AR713" s="105">
        <v>285</v>
      </c>
    </row>
    <row r="714" spans="1:45" ht="16.5">
      <c r="A714" s="105">
        <v>286</v>
      </c>
      <c r="B714" s="111" t="s">
        <v>101</v>
      </c>
      <c r="C714" s="111">
        <v>88.2</v>
      </c>
      <c r="D714" s="111">
        <v>6.5</v>
      </c>
      <c r="E714" s="111">
        <v>1.5</v>
      </c>
      <c r="F714" s="111">
        <v>3.5</v>
      </c>
      <c r="G714" s="111">
        <v>0</v>
      </c>
      <c r="H714" s="111">
        <v>0</v>
      </c>
      <c r="I714" s="111">
        <v>0</v>
      </c>
      <c r="J714" s="111">
        <v>0</v>
      </c>
      <c r="K714" s="111">
        <v>0</v>
      </c>
      <c r="L714" s="111">
        <v>0</v>
      </c>
      <c r="M714" s="74" t="str">
        <f t="array" ref="M714">_xlfn.TEXTJOIN("-", TRUE, IF(C714:L714&gt;0, $C$2:$L$2, ""))</f>
        <v xml:space="preserve"> Ti-Al-Zr-Mo</v>
      </c>
      <c r="N714" s="90">
        <f t="shared" si="22"/>
        <v>684</v>
      </c>
      <c r="O714" s="91">
        <f t="shared" si="23"/>
        <v>4</v>
      </c>
      <c r="P714" s="111">
        <v>1</v>
      </c>
      <c r="Q714" s="111">
        <v>0</v>
      </c>
      <c r="R714" s="111">
        <v>0</v>
      </c>
      <c r="S714" s="111">
        <v>0</v>
      </c>
      <c r="T714" s="141">
        <v>970</v>
      </c>
      <c r="U714" s="109">
        <v>1</v>
      </c>
      <c r="V714" s="112">
        <v>1</v>
      </c>
      <c r="W714" s="109">
        <v>0</v>
      </c>
      <c r="X714" s="109">
        <v>0</v>
      </c>
      <c r="Y714" s="113">
        <v>0</v>
      </c>
      <c r="Z714" s="18" t="s">
        <v>102</v>
      </c>
      <c r="AA714" s="18" t="s">
        <v>102</v>
      </c>
      <c r="AB714" s="18" t="s">
        <v>101</v>
      </c>
      <c r="AC714" s="18" t="s">
        <v>101</v>
      </c>
      <c r="AD714" s="111">
        <v>16.764399999999998</v>
      </c>
      <c r="AE714" s="18" t="s">
        <v>101</v>
      </c>
      <c r="AF714" s="18" t="s">
        <v>102</v>
      </c>
      <c r="AG714" s="18" t="s">
        <v>102</v>
      </c>
      <c r="AH714" s="18" t="s">
        <v>102</v>
      </c>
      <c r="AI714" s="18" t="s">
        <v>102</v>
      </c>
      <c r="AJ714" s="18" t="s">
        <v>102</v>
      </c>
      <c r="AK714" s="18" t="s">
        <v>102</v>
      </c>
      <c r="AL714" s="18" t="s">
        <v>102</v>
      </c>
      <c r="AM714" s="19"/>
      <c r="AN714" s="20" t="s">
        <v>101</v>
      </c>
      <c r="AO714" s="20" t="s">
        <v>149</v>
      </c>
      <c r="AP714" s="109">
        <v>286</v>
      </c>
      <c r="AQ714" s="110" t="s">
        <v>100</v>
      </c>
      <c r="AR714" s="105">
        <v>286</v>
      </c>
    </row>
    <row r="715" spans="1:45" ht="16.5">
      <c r="A715" s="105">
        <v>287</v>
      </c>
      <c r="B715" s="111" t="s">
        <v>101</v>
      </c>
      <c r="C715" s="111">
        <v>88.2</v>
      </c>
      <c r="D715" s="111">
        <v>6.5</v>
      </c>
      <c r="E715" s="111">
        <v>1.5</v>
      </c>
      <c r="F715" s="111">
        <v>3.5</v>
      </c>
      <c r="G715" s="111">
        <v>0</v>
      </c>
      <c r="H715" s="111">
        <v>0</v>
      </c>
      <c r="I715" s="111">
        <v>0</v>
      </c>
      <c r="J715" s="111">
        <v>0</v>
      </c>
      <c r="K715" s="111">
        <v>0</v>
      </c>
      <c r="L715" s="111">
        <v>0</v>
      </c>
      <c r="M715" s="74" t="str">
        <f t="array" ref="M715">_xlfn.TEXTJOIN("-", TRUE, IF(C715:L715&gt;0, $C$2:$L$2, ""))</f>
        <v xml:space="preserve"> Ti-Al-Zr-Mo</v>
      </c>
      <c r="N715" s="90">
        <f t="shared" si="22"/>
        <v>684</v>
      </c>
      <c r="O715" s="91">
        <f t="shared" si="23"/>
        <v>4</v>
      </c>
      <c r="P715" s="111">
        <v>1</v>
      </c>
      <c r="Q715" s="111">
        <v>0</v>
      </c>
      <c r="R715" s="111">
        <v>0</v>
      </c>
      <c r="S715" s="111">
        <v>0</v>
      </c>
      <c r="T715" s="141">
        <v>970</v>
      </c>
      <c r="U715" s="109">
        <v>1</v>
      </c>
      <c r="V715" s="112">
        <v>1</v>
      </c>
      <c r="W715" s="109">
        <v>0</v>
      </c>
      <c r="X715" s="109">
        <v>0</v>
      </c>
      <c r="Y715" s="113">
        <v>0</v>
      </c>
      <c r="Z715" s="18" t="s">
        <v>102</v>
      </c>
      <c r="AA715" s="18" t="s">
        <v>102</v>
      </c>
      <c r="AB715" s="18" t="s">
        <v>101</v>
      </c>
      <c r="AC715" s="18" t="s">
        <v>101</v>
      </c>
      <c r="AD715" s="111">
        <v>17.355399999999999</v>
      </c>
      <c r="AE715" s="18" t="s">
        <v>101</v>
      </c>
      <c r="AF715" s="18" t="s">
        <v>102</v>
      </c>
      <c r="AG715" s="18" t="s">
        <v>102</v>
      </c>
      <c r="AH715" s="18" t="s">
        <v>102</v>
      </c>
      <c r="AI715" s="18" t="s">
        <v>102</v>
      </c>
      <c r="AJ715" s="18" t="s">
        <v>102</v>
      </c>
      <c r="AK715" s="18" t="s">
        <v>102</v>
      </c>
      <c r="AL715" s="18" t="s">
        <v>102</v>
      </c>
      <c r="AM715" s="19"/>
      <c r="AN715" s="20" t="s">
        <v>101</v>
      </c>
      <c r="AO715" s="20" t="s">
        <v>149</v>
      </c>
      <c r="AP715" s="109">
        <v>287</v>
      </c>
      <c r="AQ715" s="110" t="s">
        <v>100</v>
      </c>
      <c r="AR715" s="105">
        <v>287</v>
      </c>
    </row>
    <row r="716" spans="1:45" ht="16.5">
      <c r="A716" s="37">
        <v>73</v>
      </c>
      <c r="B716" s="44"/>
      <c r="C716" s="44">
        <v>88.055000000000007</v>
      </c>
      <c r="D716" s="44">
        <v>5.87</v>
      </c>
      <c r="E716" s="44">
        <v>0</v>
      </c>
      <c r="F716" s="44">
        <v>0</v>
      </c>
      <c r="G716" s="44">
        <v>4.7699999999999996</v>
      </c>
      <c r="H716" s="44">
        <v>0</v>
      </c>
      <c r="I716" s="44">
        <v>0.56000000000000005</v>
      </c>
      <c r="J716" s="44">
        <v>0</v>
      </c>
      <c r="K716" s="44">
        <v>0</v>
      </c>
      <c r="L716" s="44">
        <v>0</v>
      </c>
      <c r="M716" s="74" t="str">
        <f t="array" ref="M716">_xlfn.TEXTJOIN("-", TRUE, IF(C716:L716&gt;0, $C$2:$L$2, ""))</f>
        <v xml:space="preserve"> Ti-Al-V-Nb</v>
      </c>
      <c r="N716" s="90">
        <f t="shared" si="22"/>
        <v>716</v>
      </c>
      <c r="O716" s="91">
        <f t="shared" si="23"/>
        <v>4</v>
      </c>
      <c r="P716" s="44" t="s">
        <v>81</v>
      </c>
      <c r="Q716" s="44" t="s">
        <v>81</v>
      </c>
      <c r="R716" s="44" t="s">
        <v>81</v>
      </c>
      <c r="S716" s="44" t="s">
        <v>81</v>
      </c>
      <c r="T716" s="37">
        <v>700</v>
      </c>
      <c r="U716" s="44">
        <v>1</v>
      </c>
      <c r="V716" s="44">
        <v>2</v>
      </c>
      <c r="W716" s="44">
        <v>0</v>
      </c>
      <c r="X716" s="44">
        <v>0</v>
      </c>
      <c r="Y716" s="44">
        <v>0</v>
      </c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5"/>
      <c r="AO716" s="45" t="s">
        <v>239</v>
      </c>
      <c r="AP716" s="44">
        <v>15</v>
      </c>
      <c r="AQ716" s="41" t="s">
        <v>83</v>
      </c>
      <c r="AR716" s="37">
        <v>73</v>
      </c>
    </row>
    <row r="717" spans="1:45" ht="16.5">
      <c r="A717" s="37">
        <v>74</v>
      </c>
      <c r="B717" s="44"/>
      <c r="C717" s="44">
        <v>88.055000000000007</v>
      </c>
      <c r="D717" s="44">
        <v>5.87</v>
      </c>
      <c r="E717" s="44">
        <v>0</v>
      </c>
      <c r="F717" s="44">
        <v>0</v>
      </c>
      <c r="G717" s="44">
        <v>4.7699999999999996</v>
      </c>
      <c r="H717" s="44">
        <v>0</v>
      </c>
      <c r="I717" s="44">
        <v>0.56000000000000005</v>
      </c>
      <c r="J717" s="44">
        <v>0</v>
      </c>
      <c r="K717" s="44">
        <v>0</v>
      </c>
      <c r="L717" s="44">
        <v>0</v>
      </c>
      <c r="M717" s="74" t="str">
        <f t="array" ref="M717">_xlfn.TEXTJOIN("-", TRUE, IF(C717:L717&gt;0, $C$2:$L$2, ""))</f>
        <v xml:space="preserve"> Ti-Al-V-Nb</v>
      </c>
      <c r="N717" s="90">
        <f t="shared" si="22"/>
        <v>716</v>
      </c>
      <c r="O717" s="91">
        <f t="shared" si="23"/>
        <v>4</v>
      </c>
      <c r="P717" s="44" t="s">
        <v>81</v>
      </c>
      <c r="Q717" s="44" t="s">
        <v>81</v>
      </c>
      <c r="R717" s="44" t="s">
        <v>81</v>
      </c>
      <c r="S717" s="44" t="s">
        <v>81</v>
      </c>
      <c r="T717" s="37">
        <v>800</v>
      </c>
      <c r="U717" s="44">
        <v>1</v>
      </c>
      <c r="V717" s="44">
        <v>2</v>
      </c>
      <c r="W717" s="44">
        <v>0</v>
      </c>
      <c r="X717" s="44">
        <v>0</v>
      </c>
      <c r="Y717" s="44">
        <v>0</v>
      </c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5"/>
      <c r="AO717" s="45" t="s">
        <v>239</v>
      </c>
      <c r="AP717" s="44">
        <v>15</v>
      </c>
      <c r="AQ717" s="41" t="s">
        <v>83</v>
      </c>
      <c r="AR717" s="37">
        <v>74</v>
      </c>
    </row>
    <row r="718" spans="1:45" ht="16.5">
      <c r="A718" s="37">
        <v>75</v>
      </c>
      <c r="B718" s="44"/>
      <c r="C718" s="44">
        <v>88.055000000000007</v>
      </c>
      <c r="D718" s="44">
        <v>5.87</v>
      </c>
      <c r="E718" s="44">
        <v>0</v>
      </c>
      <c r="F718" s="44">
        <v>0</v>
      </c>
      <c r="G718" s="44">
        <v>4.7699999999999996</v>
      </c>
      <c r="H718" s="44">
        <v>0</v>
      </c>
      <c r="I718" s="44">
        <v>0.56000000000000005</v>
      </c>
      <c r="J718" s="44">
        <v>0</v>
      </c>
      <c r="K718" s="44">
        <v>0</v>
      </c>
      <c r="L718" s="44">
        <v>0</v>
      </c>
      <c r="M718" s="74" t="str">
        <f t="array" ref="M718">_xlfn.TEXTJOIN("-", TRUE, IF(C718:L718&gt;0, $C$2:$L$2, ""))</f>
        <v xml:space="preserve"> Ti-Al-V-Nb</v>
      </c>
      <c r="N718" s="90">
        <f t="shared" si="22"/>
        <v>716</v>
      </c>
      <c r="O718" s="91">
        <f t="shared" si="23"/>
        <v>4</v>
      </c>
      <c r="P718" s="44" t="s">
        <v>81</v>
      </c>
      <c r="Q718" s="44" t="s">
        <v>81</v>
      </c>
      <c r="R718" s="44" t="s">
        <v>81</v>
      </c>
      <c r="S718" s="44" t="s">
        <v>81</v>
      </c>
      <c r="T718" s="37">
        <v>900</v>
      </c>
      <c r="U718" s="44">
        <v>1</v>
      </c>
      <c r="V718" s="44">
        <v>2</v>
      </c>
      <c r="W718" s="44">
        <v>0</v>
      </c>
      <c r="X718" s="44">
        <v>0</v>
      </c>
      <c r="Y718" s="44">
        <v>0</v>
      </c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5"/>
      <c r="AO718" s="45" t="s">
        <v>239</v>
      </c>
      <c r="AP718" s="44">
        <v>15</v>
      </c>
      <c r="AQ718" s="41" t="s">
        <v>83</v>
      </c>
      <c r="AR718" s="37">
        <v>75</v>
      </c>
    </row>
    <row r="719" spans="1:45" ht="16.5">
      <c r="A719" s="37">
        <v>76</v>
      </c>
      <c r="B719" s="44"/>
      <c r="C719" s="44">
        <v>88.055000000000007</v>
      </c>
      <c r="D719" s="44">
        <v>5.87</v>
      </c>
      <c r="E719" s="44">
        <v>0</v>
      </c>
      <c r="F719" s="44">
        <v>0</v>
      </c>
      <c r="G719" s="44">
        <v>4.7699999999999996</v>
      </c>
      <c r="H719" s="44">
        <v>0</v>
      </c>
      <c r="I719" s="44">
        <v>0.56000000000000005</v>
      </c>
      <c r="J719" s="44">
        <v>0</v>
      </c>
      <c r="K719" s="44">
        <v>0</v>
      </c>
      <c r="L719" s="44">
        <v>0</v>
      </c>
      <c r="M719" s="74" t="str">
        <f t="array" ref="M719">_xlfn.TEXTJOIN("-", TRUE, IF(C719:L719&gt;0, $C$2:$L$2, ""))</f>
        <v xml:space="preserve"> Ti-Al-V-Nb</v>
      </c>
      <c r="N719" s="90">
        <f t="shared" si="22"/>
        <v>716</v>
      </c>
      <c r="O719" s="91">
        <f t="shared" si="23"/>
        <v>4</v>
      </c>
      <c r="P719" s="44" t="s">
        <v>81</v>
      </c>
      <c r="Q719" s="44" t="s">
        <v>81</v>
      </c>
      <c r="R719" s="44" t="s">
        <v>81</v>
      </c>
      <c r="S719" s="44" t="s">
        <v>81</v>
      </c>
      <c r="T719" s="37">
        <v>1000</v>
      </c>
      <c r="U719" s="44">
        <v>1</v>
      </c>
      <c r="V719" s="44">
        <v>2</v>
      </c>
      <c r="W719" s="44">
        <v>0</v>
      </c>
      <c r="X719" s="44">
        <v>0</v>
      </c>
      <c r="Y719" s="44">
        <v>0</v>
      </c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5"/>
      <c r="AO719" s="45" t="s">
        <v>239</v>
      </c>
      <c r="AP719" s="44">
        <v>15</v>
      </c>
      <c r="AQ719" s="41" t="s">
        <v>83</v>
      </c>
      <c r="AR719" s="37">
        <v>76</v>
      </c>
    </row>
    <row r="720" spans="1:45" ht="16.5">
      <c r="A720" s="37">
        <v>153</v>
      </c>
      <c r="B720" s="44"/>
      <c r="C720" s="44">
        <v>89</v>
      </c>
      <c r="D720" s="44">
        <v>6</v>
      </c>
      <c r="E720" s="44">
        <v>0</v>
      </c>
      <c r="F720" s="44">
        <v>0</v>
      </c>
      <c r="G720" s="44">
        <v>4</v>
      </c>
      <c r="H720" s="44">
        <v>0</v>
      </c>
      <c r="I720" s="44">
        <v>0.5</v>
      </c>
      <c r="J720" s="44">
        <v>0</v>
      </c>
      <c r="K720" s="44">
        <v>0</v>
      </c>
      <c r="L720" s="44">
        <v>0</v>
      </c>
      <c r="M720" s="74" t="str">
        <f t="array" ref="M720">_xlfn.TEXTJOIN("-", TRUE, IF(C720:L720&gt;0, $C$2:$L$2, ""))</f>
        <v xml:space="preserve"> Ti-Al-V-Nb</v>
      </c>
      <c r="N720" s="90">
        <f t="shared" si="22"/>
        <v>716</v>
      </c>
      <c r="O720" s="91">
        <f t="shared" si="23"/>
        <v>4</v>
      </c>
      <c r="P720" s="44" t="s">
        <v>81</v>
      </c>
      <c r="Q720" s="44">
        <v>2</v>
      </c>
      <c r="R720" s="44">
        <v>1</v>
      </c>
      <c r="S720" s="44">
        <v>920</v>
      </c>
      <c r="T720" s="37">
        <v>0</v>
      </c>
      <c r="U720" s="44">
        <v>0</v>
      </c>
      <c r="V720" s="44">
        <v>0</v>
      </c>
      <c r="W720" s="44">
        <v>0</v>
      </c>
      <c r="X720" s="44">
        <v>0</v>
      </c>
      <c r="Y720" s="44">
        <v>0</v>
      </c>
      <c r="Z720" s="44"/>
      <c r="AA720" s="44"/>
      <c r="AB720" s="44">
        <v>975</v>
      </c>
      <c r="AC720" s="44">
        <v>955</v>
      </c>
      <c r="AD720" s="44">
        <v>17</v>
      </c>
      <c r="AE720" s="44"/>
      <c r="AF720" s="44"/>
      <c r="AG720" s="44"/>
      <c r="AH720" s="44"/>
      <c r="AI720" s="44"/>
      <c r="AJ720" s="44"/>
      <c r="AK720" s="44"/>
      <c r="AL720" s="44">
        <v>72</v>
      </c>
      <c r="AM720" s="44"/>
      <c r="AN720" s="45"/>
      <c r="AO720" s="45" t="s">
        <v>240</v>
      </c>
      <c r="AP720" s="44">
        <v>40</v>
      </c>
      <c r="AQ720" s="41" t="s">
        <v>83</v>
      </c>
      <c r="AR720" s="37">
        <v>153</v>
      </c>
      <c r="AS720" s="10" t="s">
        <v>151</v>
      </c>
    </row>
    <row r="721" spans="1:46" ht="16.5">
      <c r="A721" s="37">
        <v>154</v>
      </c>
      <c r="B721" s="44"/>
      <c r="C721" s="44">
        <v>89</v>
      </c>
      <c r="D721" s="44">
        <v>6</v>
      </c>
      <c r="E721" s="44">
        <v>0</v>
      </c>
      <c r="F721" s="44">
        <v>0</v>
      </c>
      <c r="G721" s="44">
        <v>4</v>
      </c>
      <c r="H721" s="44">
        <v>0</v>
      </c>
      <c r="I721" s="44">
        <v>0.5</v>
      </c>
      <c r="J721" s="44">
        <v>0</v>
      </c>
      <c r="K721" s="44">
        <v>0</v>
      </c>
      <c r="L721" s="44">
        <v>0</v>
      </c>
      <c r="M721" s="74" t="str">
        <f t="array" ref="M721">_xlfn.TEXTJOIN("-", TRUE, IF(C721:L721&gt;0, $C$2:$L$2, ""))</f>
        <v xml:space="preserve"> Ti-Al-V-Nb</v>
      </c>
      <c r="N721" s="90">
        <f t="shared" si="22"/>
        <v>716</v>
      </c>
      <c r="O721" s="91">
        <f t="shared" si="23"/>
        <v>4</v>
      </c>
      <c r="P721" s="44" t="s">
        <v>81</v>
      </c>
      <c r="Q721" s="44">
        <v>2</v>
      </c>
      <c r="R721" s="56">
        <v>1</v>
      </c>
      <c r="S721" s="56">
        <v>920</v>
      </c>
      <c r="T721" s="44">
        <v>750</v>
      </c>
      <c r="U721" s="44">
        <v>1</v>
      </c>
      <c r="V721" s="44">
        <v>2</v>
      </c>
      <c r="W721" s="44">
        <v>0</v>
      </c>
      <c r="X721" s="44">
        <v>0</v>
      </c>
      <c r="Y721" s="44">
        <v>0</v>
      </c>
      <c r="Z721" s="44"/>
      <c r="AA721" s="44"/>
      <c r="AB721" s="44">
        <v>932</v>
      </c>
      <c r="AC721" s="44">
        <v>905</v>
      </c>
      <c r="AD721" s="44">
        <v>17.5</v>
      </c>
      <c r="AE721" s="44"/>
      <c r="AF721" s="44"/>
      <c r="AG721" s="44"/>
      <c r="AH721" s="44"/>
      <c r="AI721" s="44"/>
      <c r="AJ721" s="44"/>
      <c r="AK721" s="44"/>
      <c r="AL721" s="44"/>
      <c r="AM721" s="44"/>
      <c r="AN721" s="45"/>
      <c r="AO721" s="45" t="s">
        <v>240</v>
      </c>
      <c r="AP721" s="44">
        <v>40</v>
      </c>
      <c r="AQ721" s="41" t="s">
        <v>83</v>
      </c>
      <c r="AR721" s="37">
        <v>154</v>
      </c>
      <c r="AS721" s="10" t="s">
        <v>151</v>
      </c>
    </row>
    <row r="722" spans="1:46" ht="16.5">
      <c r="A722" s="37">
        <v>155</v>
      </c>
      <c r="B722" s="44"/>
      <c r="C722" s="44">
        <v>89</v>
      </c>
      <c r="D722" s="44">
        <v>6</v>
      </c>
      <c r="E722" s="44">
        <v>0</v>
      </c>
      <c r="F722" s="44">
        <v>0</v>
      </c>
      <c r="G722" s="44">
        <v>4</v>
      </c>
      <c r="H722" s="44">
        <v>0</v>
      </c>
      <c r="I722" s="44">
        <v>0.5</v>
      </c>
      <c r="J722" s="44">
        <v>0</v>
      </c>
      <c r="K722" s="44">
        <v>0</v>
      </c>
      <c r="L722" s="44">
        <v>0</v>
      </c>
      <c r="M722" s="74" t="str">
        <f t="array" ref="M722">_xlfn.TEXTJOIN("-", TRUE, IF(C722:L722&gt;0, $C$2:$L$2, ""))</f>
        <v xml:space="preserve"> Ti-Al-V-Nb</v>
      </c>
      <c r="N722" s="90">
        <f t="shared" si="22"/>
        <v>716</v>
      </c>
      <c r="O722" s="91">
        <f t="shared" si="23"/>
        <v>4</v>
      </c>
      <c r="P722" s="44" t="s">
        <v>81</v>
      </c>
      <c r="Q722" s="44">
        <v>2</v>
      </c>
      <c r="R722" s="44">
        <v>1</v>
      </c>
      <c r="S722" s="44">
        <v>920</v>
      </c>
      <c r="T722" s="44">
        <v>800</v>
      </c>
      <c r="U722" s="44">
        <v>1</v>
      </c>
      <c r="V722" s="44">
        <v>2</v>
      </c>
      <c r="W722" s="44">
        <v>0</v>
      </c>
      <c r="X722" s="44">
        <v>0</v>
      </c>
      <c r="Y722" s="44">
        <v>0</v>
      </c>
      <c r="Z722" s="44"/>
      <c r="AA722" s="44"/>
      <c r="AB722" s="44">
        <v>960</v>
      </c>
      <c r="AC722" s="44">
        <v>913</v>
      </c>
      <c r="AD722" s="44">
        <v>18.3</v>
      </c>
      <c r="AE722" s="44"/>
      <c r="AF722" s="44"/>
      <c r="AG722" s="44"/>
      <c r="AH722" s="44"/>
      <c r="AI722" s="44"/>
      <c r="AJ722" s="44"/>
      <c r="AK722" s="44"/>
      <c r="AL722" s="44"/>
      <c r="AM722" s="44"/>
      <c r="AN722" s="45"/>
      <c r="AO722" s="45" t="s">
        <v>240</v>
      </c>
      <c r="AP722" s="44">
        <v>40</v>
      </c>
      <c r="AQ722" s="41" t="s">
        <v>83</v>
      </c>
      <c r="AR722" s="37">
        <v>155</v>
      </c>
      <c r="AS722" s="10" t="s">
        <v>151</v>
      </c>
    </row>
    <row r="723" spans="1:46" ht="16.5">
      <c r="A723" s="37">
        <v>156</v>
      </c>
      <c r="B723" s="44"/>
      <c r="C723" s="44">
        <v>89</v>
      </c>
      <c r="D723" s="44">
        <v>6</v>
      </c>
      <c r="E723" s="44">
        <v>0</v>
      </c>
      <c r="F723" s="44">
        <v>0</v>
      </c>
      <c r="G723" s="44">
        <v>4</v>
      </c>
      <c r="H723" s="44">
        <v>0</v>
      </c>
      <c r="I723" s="44">
        <v>0.5</v>
      </c>
      <c r="J723" s="44">
        <v>0</v>
      </c>
      <c r="K723" s="44">
        <v>0</v>
      </c>
      <c r="L723" s="44">
        <v>0</v>
      </c>
      <c r="M723" s="74" t="str">
        <f t="array" ref="M723">_xlfn.TEXTJOIN("-", TRUE, IF(C723:L723&gt;0, $C$2:$L$2, ""))</f>
        <v xml:space="preserve"> Ti-Al-V-Nb</v>
      </c>
      <c r="N723" s="90">
        <f t="shared" si="22"/>
        <v>716</v>
      </c>
      <c r="O723" s="91">
        <f t="shared" si="23"/>
        <v>4</v>
      </c>
      <c r="P723" s="44" t="s">
        <v>81</v>
      </c>
      <c r="Q723" s="44">
        <v>2</v>
      </c>
      <c r="R723" s="44">
        <v>1</v>
      </c>
      <c r="S723" s="44">
        <v>920</v>
      </c>
      <c r="T723" s="44">
        <v>850</v>
      </c>
      <c r="U723" s="44">
        <v>1</v>
      </c>
      <c r="V723" s="44">
        <v>2</v>
      </c>
      <c r="W723" s="44">
        <v>0</v>
      </c>
      <c r="X723" s="44">
        <v>0</v>
      </c>
      <c r="Y723" s="44">
        <v>0</v>
      </c>
      <c r="Z723" s="44"/>
      <c r="AA723" s="44"/>
      <c r="AB723" s="44">
        <v>948</v>
      </c>
      <c r="AC723" s="44">
        <v>900</v>
      </c>
      <c r="AD723" s="44">
        <v>17</v>
      </c>
      <c r="AE723" s="44"/>
      <c r="AF723" s="44"/>
      <c r="AG723" s="44"/>
      <c r="AH723" s="44"/>
      <c r="AI723" s="44"/>
      <c r="AJ723" s="44"/>
      <c r="AK723" s="44"/>
      <c r="AL723" s="44"/>
      <c r="AM723" s="44"/>
      <c r="AN723" s="45"/>
      <c r="AO723" s="45" t="s">
        <v>240</v>
      </c>
      <c r="AP723" s="44">
        <v>40</v>
      </c>
      <c r="AQ723" s="41" t="s">
        <v>83</v>
      </c>
      <c r="AR723" s="37">
        <v>156</v>
      </c>
      <c r="AS723" s="10" t="s">
        <v>151</v>
      </c>
    </row>
    <row r="724" spans="1:46" ht="16.5">
      <c r="A724" s="37">
        <v>157</v>
      </c>
      <c r="B724" s="44"/>
      <c r="C724" s="44">
        <v>89</v>
      </c>
      <c r="D724" s="44">
        <v>6</v>
      </c>
      <c r="E724" s="44">
        <v>0</v>
      </c>
      <c r="F724" s="44">
        <v>0</v>
      </c>
      <c r="G724" s="44">
        <v>4</v>
      </c>
      <c r="H724" s="44">
        <v>0</v>
      </c>
      <c r="I724" s="44">
        <v>0.5</v>
      </c>
      <c r="J724" s="44">
        <v>0</v>
      </c>
      <c r="K724" s="44">
        <v>0</v>
      </c>
      <c r="L724" s="44">
        <v>0</v>
      </c>
      <c r="M724" s="74" t="str">
        <f t="array" ref="M724">_xlfn.TEXTJOIN("-", TRUE, IF(C724:L724&gt;0, $C$2:$L$2, ""))</f>
        <v xml:space="preserve"> Ti-Al-V-Nb</v>
      </c>
      <c r="N724" s="90">
        <f t="shared" si="22"/>
        <v>716</v>
      </c>
      <c r="O724" s="91">
        <f t="shared" si="23"/>
        <v>4</v>
      </c>
      <c r="P724" s="44" t="s">
        <v>81</v>
      </c>
      <c r="Q724" s="44">
        <v>2</v>
      </c>
      <c r="R724" s="44">
        <v>1</v>
      </c>
      <c r="S724" s="44">
        <v>920</v>
      </c>
      <c r="T724" s="44">
        <v>900</v>
      </c>
      <c r="U724" s="44">
        <v>1</v>
      </c>
      <c r="V724" s="44">
        <v>2</v>
      </c>
      <c r="W724" s="44">
        <v>0</v>
      </c>
      <c r="X724" s="44">
        <v>0</v>
      </c>
      <c r="Y724" s="44">
        <v>0</v>
      </c>
      <c r="Z724" s="44"/>
      <c r="AA724" s="44"/>
      <c r="AB724" s="44">
        <v>950</v>
      </c>
      <c r="AC724" s="44">
        <v>900</v>
      </c>
      <c r="AD724" s="44">
        <v>18</v>
      </c>
      <c r="AE724" s="44"/>
      <c r="AF724" s="44"/>
      <c r="AG724" s="44"/>
      <c r="AH724" s="44"/>
      <c r="AI724" s="44"/>
      <c r="AJ724" s="44"/>
      <c r="AK724" s="44"/>
      <c r="AL724" s="44">
        <v>140</v>
      </c>
      <c r="AM724" s="44"/>
      <c r="AN724" s="45"/>
      <c r="AO724" s="45" t="s">
        <v>240</v>
      </c>
      <c r="AP724" s="44">
        <v>40</v>
      </c>
      <c r="AQ724" s="41" t="s">
        <v>83</v>
      </c>
      <c r="AR724" s="37">
        <v>157</v>
      </c>
      <c r="AS724" s="10" t="s">
        <v>151</v>
      </c>
    </row>
    <row r="725" spans="1:46" ht="16.5">
      <c r="A725" s="37">
        <v>158</v>
      </c>
      <c r="B725" s="44"/>
      <c r="C725" s="44">
        <v>89</v>
      </c>
      <c r="D725" s="44">
        <v>6</v>
      </c>
      <c r="E725" s="44">
        <v>0</v>
      </c>
      <c r="F725" s="44">
        <v>0</v>
      </c>
      <c r="G725" s="44">
        <v>4</v>
      </c>
      <c r="H725" s="44">
        <v>0</v>
      </c>
      <c r="I725" s="44">
        <v>0.5</v>
      </c>
      <c r="J725" s="44">
        <v>0</v>
      </c>
      <c r="K725" s="44">
        <v>0</v>
      </c>
      <c r="L725" s="44">
        <v>0</v>
      </c>
      <c r="M725" s="74" t="str">
        <f t="array" ref="M725">_xlfn.TEXTJOIN("-", TRUE, IF(C725:L725&gt;0, $C$2:$L$2, ""))</f>
        <v xml:space="preserve"> Ti-Al-V-Nb</v>
      </c>
      <c r="N725" s="90">
        <f t="shared" si="22"/>
        <v>716</v>
      </c>
      <c r="O725" s="91">
        <f t="shared" si="23"/>
        <v>4</v>
      </c>
      <c r="P725" s="44" t="s">
        <v>81</v>
      </c>
      <c r="Q725" s="44">
        <v>2</v>
      </c>
      <c r="R725" s="44">
        <v>1</v>
      </c>
      <c r="S725" s="44">
        <v>1020</v>
      </c>
      <c r="T725" s="44">
        <v>0</v>
      </c>
      <c r="U725" s="44">
        <v>0</v>
      </c>
      <c r="V725" s="44">
        <v>0</v>
      </c>
      <c r="W725" s="44">
        <v>0</v>
      </c>
      <c r="X725" s="44">
        <v>0</v>
      </c>
      <c r="Y725" s="44">
        <v>0</v>
      </c>
      <c r="Z725" s="44"/>
      <c r="AA725" s="44"/>
      <c r="AB725" s="44">
        <v>1027</v>
      </c>
      <c r="AC725" s="44">
        <v>995</v>
      </c>
      <c r="AD725" s="44">
        <v>18</v>
      </c>
      <c r="AE725" s="44"/>
      <c r="AF725" s="44"/>
      <c r="AG725" s="44"/>
      <c r="AH725" s="44"/>
      <c r="AI725" s="44"/>
      <c r="AJ725" s="44"/>
      <c r="AK725" s="44"/>
      <c r="AL725" s="44">
        <v>55</v>
      </c>
      <c r="AM725" s="44"/>
      <c r="AN725" s="45"/>
      <c r="AO725" s="45" t="s">
        <v>240</v>
      </c>
      <c r="AP725" s="44">
        <v>40</v>
      </c>
      <c r="AQ725" s="41" t="s">
        <v>83</v>
      </c>
      <c r="AR725" s="37">
        <v>158</v>
      </c>
      <c r="AS725" s="10" t="s">
        <v>151</v>
      </c>
    </row>
    <row r="726" spans="1:46" ht="16.5">
      <c r="A726" s="37">
        <v>159</v>
      </c>
      <c r="B726" s="44"/>
      <c r="C726" s="44">
        <v>89</v>
      </c>
      <c r="D726" s="44">
        <v>6</v>
      </c>
      <c r="E726" s="44">
        <v>0</v>
      </c>
      <c r="F726" s="44">
        <v>0</v>
      </c>
      <c r="G726" s="44">
        <v>4</v>
      </c>
      <c r="H726" s="44">
        <v>0</v>
      </c>
      <c r="I726" s="44">
        <v>0.5</v>
      </c>
      <c r="J726" s="44">
        <v>0</v>
      </c>
      <c r="K726" s="44">
        <v>0</v>
      </c>
      <c r="L726" s="44">
        <v>0</v>
      </c>
      <c r="M726" s="74" t="str">
        <f t="array" ref="M726">_xlfn.TEXTJOIN("-", TRUE, IF(C726:L726&gt;0, $C$2:$L$2, ""))</f>
        <v xml:space="preserve"> Ti-Al-V-Nb</v>
      </c>
      <c r="N726" s="90">
        <f t="shared" si="22"/>
        <v>716</v>
      </c>
      <c r="O726" s="91">
        <f t="shared" si="23"/>
        <v>4</v>
      </c>
      <c r="P726" s="44" t="s">
        <v>81</v>
      </c>
      <c r="Q726" s="44">
        <v>2</v>
      </c>
      <c r="R726" s="44">
        <v>1</v>
      </c>
      <c r="S726" s="44">
        <v>1020</v>
      </c>
      <c r="T726" s="44">
        <v>750</v>
      </c>
      <c r="U726" s="44">
        <v>1</v>
      </c>
      <c r="V726" s="44">
        <v>2</v>
      </c>
      <c r="W726" s="44">
        <v>0</v>
      </c>
      <c r="X726" s="44">
        <v>0</v>
      </c>
      <c r="Y726" s="44">
        <v>0</v>
      </c>
      <c r="Z726" s="44"/>
      <c r="AA726" s="44"/>
      <c r="AB726" s="44">
        <v>1005</v>
      </c>
      <c r="AC726" s="44">
        <v>964</v>
      </c>
      <c r="AD726" s="44">
        <v>15.8</v>
      </c>
      <c r="AE726" s="44"/>
      <c r="AF726" s="44"/>
      <c r="AG726" s="44"/>
      <c r="AH726" s="44"/>
      <c r="AI726" s="44"/>
      <c r="AJ726" s="44"/>
      <c r="AK726" s="44"/>
      <c r="AL726" s="44"/>
      <c r="AM726" s="44"/>
      <c r="AN726" s="45"/>
      <c r="AO726" s="45" t="s">
        <v>240</v>
      </c>
      <c r="AP726" s="44">
        <v>40</v>
      </c>
      <c r="AQ726" s="41" t="s">
        <v>83</v>
      </c>
      <c r="AR726" s="37">
        <v>159</v>
      </c>
      <c r="AS726" s="10" t="s">
        <v>151</v>
      </c>
    </row>
    <row r="727" spans="1:46" ht="16.5">
      <c r="A727" s="37">
        <v>160</v>
      </c>
      <c r="B727" s="44"/>
      <c r="C727" s="44">
        <v>89</v>
      </c>
      <c r="D727" s="44">
        <v>6</v>
      </c>
      <c r="E727" s="44">
        <v>0</v>
      </c>
      <c r="F727" s="44">
        <v>0</v>
      </c>
      <c r="G727" s="44">
        <v>4</v>
      </c>
      <c r="H727" s="44">
        <v>0</v>
      </c>
      <c r="I727" s="44">
        <v>0.5</v>
      </c>
      <c r="J727" s="44">
        <v>0</v>
      </c>
      <c r="K727" s="44">
        <v>0</v>
      </c>
      <c r="L727" s="44">
        <v>0</v>
      </c>
      <c r="M727" s="74" t="str">
        <f t="array" ref="M727">_xlfn.TEXTJOIN("-", TRUE, IF(C727:L727&gt;0, $C$2:$L$2, ""))</f>
        <v xml:space="preserve"> Ti-Al-V-Nb</v>
      </c>
      <c r="N727" s="90">
        <f t="shared" si="22"/>
        <v>716</v>
      </c>
      <c r="O727" s="91">
        <f t="shared" si="23"/>
        <v>4</v>
      </c>
      <c r="P727" s="44" t="s">
        <v>81</v>
      </c>
      <c r="Q727" s="44">
        <v>2</v>
      </c>
      <c r="R727" s="44">
        <v>1</v>
      </c>
      <c r="S727" s="44">
        <v>1020</v>
      </c>
      <c r="T727" s="44">
        <v>800</v>
      </c>
      <c r="U727" s="44">
        <v>1</v>
      </c>
      <c r="V727" s="44">
        <v>2</v>
      </c>
      <c r="W727" s="44">
        <v>0</v>
      </c>
      <c r="X727" s="44">
        <v>0</v>
      </c>
      <c r="Y727" s="44">
        <v>0</v>
      </c>
      <c r="Z727" s="44"/>
      <c r="AA727" s="44"/>
      <c r="AB727" s="44">
        <v>987</v>
      </c>
      <c r="AC727" s="44">
        <v>950</v>
      </c>
      <c r="AD727" s="44">
        <v>16.7</v>
      </c>
      <c r="AE727" s="44"/>
      <c r="AF727" s="44"/>
      <c r="AG727" s="44"/>
      <c r="AH727" s="44"/>
      <c r="AI727" s="44"/>
      <c r="AJ727" s="44"/>
      <c r="AK727" s="44"/>
      <c r="AL727" s="44"/>
      <c r="AM727" s="44"/>
      <c r="AN727" s="45"/>
      <c r="AO727" s="45" t="s">
        <v>240</v>
      </c>
      <c r="AP727" s="44">
        <v>40</v>
      </c>
      <c r="AQ727" s="41" t="s">
        <v>83</v>
      </c>
      <c r="AR727" s="37">
        <v>160</v>
      </c>
      <c r="AS727" s="10" t="s">
        <v>151</v>
      </c>
    </row>
    <row r="728" spans="1:46" ht="16.5">
      <c r="A728" s="37">
        <v>161</v>
      </c>
      <c r="B728" s="44"/>
      <c r="C728" s="44">
        <v>89</v>
      </c>
      <c r="D728" s="44">
        <v>6</v>
      </c>
      <c r="E728" s="44">
        <v>0</v>
      </c>
      <c r="F728" s="44">
        <v>0</v>
      </c>
      <c r="G728" s="44">
        <v>4</v>
      </c>
      <c r="H728" s="44">
        <v>0</v>
      </c>
      <c r="I728" s="44">
        <v>0.5</v>
      </c>
      <c r="J728" s="44">
        <v>0</v>
      </c>
      <c r="K728" s="44">
        <v>0</v>
      </c>
      <c r="L728" s="44">
        <v>0</v>
      </c>
      <c r="M728" s="74" t="str">
        <f t="array" ref="M728">_xlfn.TEXTJOIN("-", TRUE, IF(C728:L728&gt;0, $C$2:$L$2, ""))</f>
        <v xml:space="preserve"> Ti-Al-V-Nb</v>
      </c>
      <c r="N728" s="90">
        <f t="shared" si="22"/>
        <v>716</v>
      </c>
      <c r="O728" s="91">
        <f t="shared" si="23"/>
        <v>4</v>
      </c>
      <c r="P728" s="44" t="s">
        <v>81</v>
      </c>
      <c r="Q728" s="44">
        <v>2</v>
      </c>
      <c r="R728" s="44">
        <v>1</v>
      </c>
      <c r="S728" s="44">
        <v>1020</v>
      </c>
      <c r="T728" s="44">
        <v>850</v>
      </c>
      <c r="U728" s="44">
        <v>1</v>
      </c>
      <c r="V728" s="44">
        <v>2</v>
      </c>
      <c r="W728" s="44">
        <v>0</v>
      </c>
      <c r="X728" s="44">
        <v>0</v>
      </c>
      <c r="Y728" s="44">
        <v>0</v>
      </c>
      <c r="Z728" s="44"/>
      <c r="AA728" s="44"/>
      <c r="AB728" s="44">
        <v>983</v>
      </c>
      <c r="AC728" s="44">
        <v>940</v>
      </c>
      <c r="AD728" s="44">
        <v>17</v>
      </c>
      <c r="AE728" s="44"/>
      <c r="AF728" s="44"/>
      <c r="AG728" s="44"/>
      <c r="AH728" s="44"/>
      <c r="AI728" s="44"/>
      <c r="AJ728" s="44"/>
      <c r="AK728" s="44"/>
      <c r="AL728" s="44"/>
      <c r="AM728" s="44"/>
      <c r="AN728" s="45"/>
      <c r="AO728" s="45" t="s">
        <v>240</v>
      </c>
      <c r="AP728" s="44">
        <v>40</v>
      </c>
      <c r="AQ728" s="41" t="s">
        <v>83</v>
      </c>
      <c r="AR728" s="37">
        <v>161</v>
      </c>
      <c r="AS728" s="10" t="s">
        <v>151</v>
      </c>
    </row>
    <row r="729" spans="1:46" ht="16.5">
      <c r="A729" s="37">
        <v>162</v>
      </c>
      <c r="B729" s="44"/>
      <c r="C729" s="44">
        <v>89</v>
      </c>
      <c r="D729" s="44">
        <v>6</v>
      </c>
      <c r="E729" s="44">
        <v>0</v>
      </c>
      <c r="F729" s="44">
        <v>0</v>
      </c>
      <c r="G729" s="44">
        <v>4</v>
      </c>
      <c r="H729" s="44">
        <v>0</v>
      </c>
      <c r="I729" s="44">
        <v>0.5</v>
      </c>
      <c r="J729" s="44">
        <v>0</v>
      </c>
      <c r="K729" s="44">
        <v>0</v>
      </c>
      <c r="L729" s="44">
        <v>0</v>
      </c>
      <c r="M729" s="74" t="str">
        <f t="array" ref="M729">_xlfn.TEXTJOIN("-", TRUE, IF(C729:L729&gt;0, $C$2:$L$2, ""))</f>
        <v xml:space="preserve"> Ti-Al-V-Nb</v>
      </c>
      <c r="N729" s="90">
        <f t="shared" si="22"/>
        <v>716</v>
      </c>
      <c r="O729" s="91">
        <f t="shared" si="23"/>
        <v>4</v>
      </c>
      <c r="P729" s="44" t="s">
        <v>81</v>
      </c>
      <c r="Q729" s="44">
        <v>2</v>
      </c>
      <c r="R729" s="44">
        <v>1</v>
      </c>
      <c r="S729" s="44">
        <v>1020</v>
      </c>
      <c r="T729" s="44">
        <v>900</v>
      </c>
      <c r="U729" s="44">
        <v>1</v>
      </c>
      <c r="V729" s="44">
        <v>2</v>
      </c>
      <c r="W729" s="44">
        <v>0</v>
      </c>
      <c r="X729" s="44">
        <v>0</v>
      </c>
      <c r="Y729" s="44">
        <v>0</v>
      </c>
      <c r="Z729" s="44"/>
      <c r="AA729" s="44"/>
      <c r="AB729" s="44">
        <v>967</v>
      </c>
      <c r="AC729" s="44">
        <v>927</v>
      </c>
      <c r="AD729" s="44">
        <v>17</v>
      </c>
      <c r="AE729" s="44"/>
      <c r="AF729" s="44"/>
      <c r="AG729" s="44"/>
      <c r="AH729" s="44"/>
      <c r="AI729" s="44"/>
      <c r="AJ729" s="44"/>
      <c r="AK729" s="44"/>
      <c r="AL729" s="44">
        <v>100</v>
      </c>
      <c r="AM729" s="44"/>
      <c r="AN729" s="45"/>
      <c r="AO729" s="45" t="s">
        <v>240</v>
      </c>
      <c r="AP729" s="44">
        <v>40</v>
      </c>
      <c r="AQ729" s="41" t="s">
        <v>83</v>
      </c>
      <c r="AR729" s="37">
        <v>162</v>
      </c>
      <c r="AS729" s="10" t="s">
        <v>151</v>
      </c>
    </row>
    <row r="730" spans="1:46" ht="16.5">
      <c r="A730" s="37">
        <v>79</v>
      </c>
      <c r="B730" s="44"/>
      <c r="C730" s="44">
        <v>86.19</v>
      </c>
      <c r="D730" s="44">
        <v>4.7</v>
      </c>
      <c r="E730" s="44">
        <v>0</v>
      </c>
      <c r="F730" s="44">
        <v>6.26</v>
      </c>
      <c r="G730" s="44">
        <v>0</v>
      </c>
      <c r="H730" s="44">
        <v>0</v>
      </c>
      <c r="I730" s="44">
        <v>0</v>
      </c>
      <c r="J730" s="44">
        <v>2.85</v>
      </c>
      <c r="K730" s="44">
        <v>0</v>
      </c>
      <c r="L730" s="44">
        <v>0</v>
      </c>
      <c r="M730" s="74" t="str">
        <f t="array" ref="M730">_xlfn.TEXTJOIN("-", TRUE, IF(C730:L730&gt;0, $C$2:$L$2, ""))</f>
        <v xml:space="preserve"> Ti-Al-Mo-Cr</v>
      </c>
      <c r="N730" s="90">
        <f t="shared" si="22"/>
        <v>730</v>
      </c>
      <c r="O730" s="91">
        <f t="shared" si="23"/>
        <v>4</v>
      </c>
      <c r="P730" s="44">
        <v>2</v>
      </c>
      <c r="Q730" s="145">
        <v>1</v>
      </c>
      <c r="R730" s="44" t="s">
        <v>81</v>
      </c>
      <c r="S730" s="44" t="s">
        <v>81</v>
      </c>
      <c r="T730" s="44">
        <v>890</v>
      </c>
      <c r="U730" s="44">
        <v>0.5</v>
      </c>
      <c r="V730" s="44">
        <v>1</v>
      </c>
      <c r="W730" s="44">
        <v>760</v>
      </c>
      <c r="X730" s="44">
        <v>0.5</v>
      </c>
      <c r="Y730" s="44">
        <v>1</v>
      </c>
      <c r="Z730" s="44"/>
      <c r="AA730" s="44"/>
      <c r="AB730" s="44">
        <v>993.4</v>
      </c>
      <c r="AC730" s="44">
        <v>370.3</v>
      </c>
      <c r="AD730" s="44">
        <v>21.8</v>
      </c>
      <c r="AE730" s="44"/>
      <c r="AF730" s="44"/>
      <c r="AG730" s="44"/>
      <c r="AH730" s="44"/>
      <c r="AI730" s="44"/>
      <c r="AJ730" s="44"/>
      <c r="AK730" s="44">
        <v>8.6999999999999993</v>
      </c>
      <c r="AL730" s="44"/>
      <c r="AM730" s="44"/>
      <c r="AN730" s="45"/>
      <c r="AO730" s="45" t="s">
        <v>278</v>
      </c>
      <c r="AP730" s="44">
        <v>17</v>
      </c>
      <c r="AQ730" s="41" t="s">
        <v>83</v>
      </c>
      <c r="AR730" s="128" t="s">
        <v>536</v>
      </c>
      <c r="AS730" s="10" t="s">
        <v>151</v>
      </c>
      <c r="AT730" s="11"/>
    </row>
    <row r="731" spans="1:46" ht="16.5">
      <c r="A731" s="37">
        <v>83</v>
      </c>
      <c r="B731" s="44"/>
      <c r="C731" s="44">
        <v>86.19</v>
      </c>
      <c r="D731" s="44">
        <v>4.7</v>
      </c>
      <c r="E731" s="44">
        <v>0</v>
      </c>
      <c r="F731" s="44">
        <v>6.26</v>
      </c>
      <c r="G731" s="44">
        <v>0</v>
      </c>
      <c r="H731" s="44">
        <v>0</v>
      </c>
      <c r="I731" s="44">
        <v>0</v>
      </c>
      <c r="J731" s="44">
        <v>2.85</v>
      </c>
      <c r="K731" s="44">
        <v>0</v>
      </c>
      <c r="L731" s="44">
        <v>0</v>
      </c>
      <c r="M731" s="74" t="str">
        <f t="array" ref="M731">_xlfn.TEXTJOIN("-", TRUE, IF(C731:L731&gt;0, $C$2:$L$2, ""))</f>
        <v xml:space="preserve"> Ti-Al-Mo-Cr</v>
      </c>
      <c r="N731" s="90">
        <f t="shared" si="22"/>
        <v>730</v>
      </c>
      <c r="O731" s="91">
        <f t="shared" si="23"/>
        <v>4</v>
      </c>
      <c r="P731" s="44">
        <v>2</v>
      </c>
      <c r="Q731" s="44">
        <v>1</v>
      </c>
      <c r="R731" s="44" t="s">
        <v>81</v>
      </c>
      <c r="S731" s="44" t="s">
        <v>81</v>
      </c>
      <c r="T731" s="44">
        <v>890</v>
      </c>
      <c r="U731" s="44">
        <v>0.5</v>
      </c>
      <c r="V731" s="44">
        <v>1</v>
      </c>
      <c r="W731" s="44">
        <v>0</v>
      </c>
      <c r="X731" s="44">
        <v>0</v>
      </c>
      <c r="Y731" s="44">
        <v>0</v>
      </c>
      <c r="Z731" s="44"/>
      <c r="AA731" s="44"/>
      <c r="AB731" s="44">
        <v>1145.4000000000001</v>
      </c>
      <c r="AC731" s="44">
        <v>343</v>
      </c>
      <c r="AD731" s="44">
        <v>20.5</v>
      </c>
      <c r="AE731" s="44"/>
      <c r="AF731" s="44"/>
      <c r="AG731" s="44"/>
      <c r="AH731" s="44"/>
      <c r="AI731" s="44"/>
      <c r="AJ731" s="44"/>
      <c r="AK731" s="44">
        <v>10.3</v>
      </c>
      <c r="AL731" s="44"/>
      <c r="AM731" s="44"/>
      <c r="AN731" s="45"/>
      <c r="AO731" s="45" t="s">
        <v>242</v>
      </c>
      <c r="AP731" s="44">
        <v>19</v>
      </c>
      <c r="AQ731" s="41" t="s">
        <v>83</v>
      </c>
      <c r="AR731" s="128" t="s">
        <v>537</v>
      </c>
      <c r="AS731" s="10" t="s">
        <v>151</v>
      </c>
      <c r="AT731" s="11"/>
    </row>
    <row r="732" spans="1:46" ht="16.5">
      <c r="A732" s="37">
        <v>84</v>
      </c>
      <c r="B732" s="44"/>
      <c r="C732" s="44">
        <v>86.19</v>
      </c>
      <c r="D732" s="44">
        <v>4.7</v>
      </c>
      <c r="E732" s="44">
        <v>0</v>
      </c>
      <c r="F732" s="44">
        <v>6.26</v>
      </c>
      <c r="G732" s="44">
        <v>0</v>
      </c>
      <c r="H732" s="44">
        <v>0</v>
      </c>
      <c r="I732" s="44">
        <v>0</v>
      </c>
      <c r="J732" s="44">
        <v>2.85</v>
      </c>
      <c r="K732" s="44">
        <v>0</v>
      </c>
      <c r="L732" s="44">
        <v>0</v>
      </c>
      <c r="M732" s="74" t="str">
        <f t="array" ref="M732">_xlfn.TEXTJOIN("-", TRUE, IF(C732:L732&gt;0, $C$2:$L$2, ""))</f>
        <v xml:space="preserve"> Ti-Al-Mo-Cr</v>
      </c>
      <c r="N732" s="90">
        <f t="shared" si="22"/>
        <v>730</v>
      </c>
      <c r="O732" s="91">
        <f t="shared" si="23"/>
        <v>4</v>
      </c>
      <c r="P732" s="44">
        <v>2</v>
      </c>
      <c r="Q732" s="44">
        <v>1</v>
      </c>
      <c r="R732" s="44" t="s">
        <v>81</v>
      </c>
      <c r="S732" s="44" t="s">
        <v>81</v>
      </c>
      <c r="T732" s="44">
        <v>780</v>
      </c>
      <c r="U732" s="44">
        <v>0.5</v>
      </c>
      <c r="V732" s="44">
        <v>1</v>
      </c>
      <c r="W732" s="44">
        <v>0</v>
      </c>
      <c r="X732" s="44">
        <v>0</v>
      </c>
      <c r="Y732" s="44">
        <v>0</v>
      </c>
      <c r="Z732" s="44"/>
      <c r="AA732" s="44"/>
      <c r="AB732" s="44">
        <v>1085.7</v>
      </c>
      <c r="AC732" s="44">
        <v>937</v>
      </c>
      <c r="AD732" s="44">
        <v>19.5</v>
      </c>
      <c r="AE732" s="44"/>
      <c r="AF732" s="44"/>
      <c r="AG732" s="44"/>
      <c r="AH732" s="44"/>
      <c r="AI732" s="44"/>
      <c r="AJ732" s="44"/>
      <c r="AK732" s="44">
        <v>17.600000000000001</v>
      </c>
      <c r="AL732" s="44"/>
      <c r="AM732" s="44"/>
      <c r="AN732" s="45"/>
      <c r="AO732" s="45" t="s">
        <v>242</v>
      </c>
      <c r="AP732" s="44">
        <v>19</v>
      </c>
      <c r="AQ732" s="41" t="s">
        <v>83</v>
      </c>
      <c r="AR732" s="128" t="s">
        <v>242</v>
      </c>
      <c r="AS732" s="10" t="s">
        <v>151</v>
      </c>
      <c r="AT732" s="11"/>
    </row>
    <row r="733" spans="1:46" ht="16.5">
      <c r="A733" s="105">
        <v>447</v>
      </c>
      <c r="B733" s="111" t="s">
        <v>113</v>
      </c>
      <c r="C733" s="109">
        <v>74.63</v>
      </c>
      <c r="D733" s="109">
        <v>0</v>
      </c>
      <c r="E733" s="109">
        <v>0</v>
      </c>
      <c r="F733" s="109">
        <v>0</v>
      </c>
      <c r="G733" s="109">
        <v>0</v>
      </c>
      <c r="H733" s="109">
        <v>0</v>
      </c>
      <c r="I733" s="109">
        <v>16.220000000000002</v>
      </c>
      <c r="J733" s="109">
        <v>2.15</v>
      </c>
      <c r="K733" s="109">
        <v>7.0000000000000009</v>
      </c>
      <c r="L733" s="109">
        <v>0</v>
      </c>
      <c r="M733" s="74" t="str">
        <f t="array" ref="M733">_xlfn.TEXTJOIN("-", TRUE, IF(C733:L733&gt;0, $C$2:$L$2, ""))</f>
        <v xml:space="preserve"> Ti-Nb-Cr-Fe</v>
      </c>
      <c r="N733" s="90">
        <f t="shared" si="22"/>
        <v>733</v>
      </c>
      <c r="O733" s="91">
        <f t="shared" si="23"/>
        <v>4</v>
      </c>
      <c r="P733" s="109">
        <v>1</v>
      </c>
      <c r="Q733" s="146" t="s">
        <v>173</v>
      </c>
      <c r="R733" s="111">
        <v>0</v>
      </c>
      <c r="S733" s="111">
        <v>0</v>
      </c>
      <c r="T733" s="111">
        <v>0</v>
      </c>
      <c r="U733" s="111">
        <v>0</v>
      </c>
      <c r="V733" s="109">
        <v>0</v>
      </c>
      <c r="W733" s="111">
        <v>0</v>
      </c>
      <c r="X733" s="111">
        <v>0</v>
      </c>
      <c r="Y733" s="111">
        <v>0</v>
      </c>
      <c r="Z733" s="109">
        <v>99</v>
      </c>
      <c r="AA733" s="111" t="s">
        <v>113</v>
      </c>
      <c r="AB733" s="111" t="s">
        <v>113</v>
      </c>
      <c r="AC733" s="109">
        <v>1097</v>
      </c>
      <c r="AD733" s="111" t="s">
        <v>113</v>
      </c>
      <c r="AE733" s="111" t="s">
        <v>113</v>
      </c>
      <c r="AF733" s="111" t="s">
        <v>113</v>
      </c>
      <c r="AG733" s="111" t="s">
        <v>113</v>
      </c>
      <c r="AH733" s="111" t="s">
        <v>113</v>
      </c>
      <c r="AI733" s="111" t="s">
        <v>113</v>
      </c>
      <c r="AJ733" s="111" t="s">
        <v>113</v>
      </c>
      <c r="AK733" s="111" t="s">
        <v>113</v>
      </c>
      <c r="AL733" s="111" t="s">
        <v>113</v>
      </c>
      <c r="AM733" s="111"/>
      <c r="AN733" s="111" t="s">
        <v>113</v>
      </c>
      <c r="AO733" s="111" t="s">
        <v>114</v>
      </c>
      <c r="AP733" s="109">
        <v>447</v>
      </c>
      <c r="AQ733" s="110" t="s">
        <v>100</v>
      </c>
      <c r="AR733" s="105">
        <v>447</v>
      </c>
    </row>
    <row r="734" spans="1:46" ht="16.5">
      <c r="A734" s="105">
        <v>448</v>
      </c>
      <c r="B734" s="111" t="s">
        <v>113</v>
      </c>
      <c r="C734" s="109">
        <v>72.44</v>
      </c>
      <c r="D734" s="109">
        <v>0</v>
      </c>
      <c r="E734" s="109">
        <v>0</v>
      </c>
      <c r="F734" s="109">
        <v>0</v>
      </c>
      <c r="G734" s="109">
        <v>0</v>
      </c>
      <c r="H734" s="109">
        <v>0</v>
      </c>
      <c r="I734" s="109">
        <v>16.25</v>
      </c>
      <c r="J734" s="109">
        <v>4.3</v>
      </c>
      <c r="K734" s="109">
        <v>7.01</v>
      </c>
      <c r="L734" s="109">
        <v>0</v>
      </c>
      <c r="M734" s="74" t="str">
        <f t="array" ref="M734">_xlfn.TEXTJOIN("-", TRUE, IF(C734:L734&gt;0, $C$2:$L$2, ""))</f>
        <v xml:space="preserve"> Ti-Nb-Cr-Fe</v>
      </c>
      <c r="N734" s="90">
        <f t="shared" si="22"/>
        <v>733</v>
      </c>
      <c r="O734" s="91">
        <f t="shared" si="23"/>
        <v>4</v>
      </c>
      <c r="P734" s="109">
        <v>1</v>
      </c>
      <c r="Q734" s="146" t="s">
        <v>173</v>
      </c>
      <c r="R734" s="111">
        <v>0</v>
      </c>
      <c r="S734" s="111">
        <v>0</v>
      </c>
      <c r="T734" s="111">
        <v>0</v>
      </c>
      <c r="U734" s="111">
        <v>0</v>
      </c>
      <c r="V734" s="109">
        <v>0</v>
      </c>
      <c r="W734" s="111">
        <v>0</v>
      </c>
      <c r="X734" s="111">
        <v>0</v>
      </c>
      <c r="Y734" s="111">
        <v>0</v>
      </c>
      <c r="Z734" s="109">
        <v>81</v>
      </c>
      <c r="AA734" s="111" t="s">
        <v>113</v>
      </c>
      <c r="AB734" s="111" t="s">
        <v>113</v>
      </c>
      <c r="AC734" s="109">
        <v>947</v>
      </c>
      <c r="AD734" s="111" t="s">
        <v>113</v>
      </c>
      <c r="AE734" s="111" t="s">
        <v>113</v>
      </c>
      <c r="AF734" s="111" t="s">
        <v>113</v>
      </c>
      <c r="AG734" s="111" t="s">
        <v>113</v>
      </c>
      <c r="AH734" s="111" t="s">
        <v>113</v>
      </c>
      <c r="AI734" s="111" t="s">
        <v>113</v>
      </c>
      <c r="AJ734" s="111" t="s">
        <v>113</v>
      </c>
      <c r="AK734" s="111" t="s">
        <v>113</v>
      </c>
      <c r="AL734" s="111" t="s">
        <v>113</v>
      </c>
      <c r="AM734" s="111"/>
      <c r="AN734" s="111" t="s">
        <v>113</v>
      </c>
      <c r="AO734" s="111" t="s">
        <v>114</v>
      </c>
      <c r="AP734" s="109">
        <v>448</v>
      </c>
      <c r="AQ734" s="110" t="s">
        <v>100</v>
      </c>
      <c r="AR734" s="105">
        <v>448</v>
      </c>
    </row>
    <row r="735" spans="1:46" ht="16.5">
      <c r="A735" s="105">
        <v>449</v>
      </c>
      <c r="B735" s="111" t="s">
        <v>113</v>
      </c>
      <c r="C735" s="109">
        <v>70.23</v>
      </c>
      <c r="D735" s="109">
        <v>0</v>
      </c>
      <c r="E735" s="109">
        <v>0</v>
      </c>
      <c r="F735" s="109">
        <v>0</v>
      </c>
      <c r="G735" s="109">
        <v>0</v>
      </c>
      <c r="H735" s="109">
        <v>0</v>
      </c>
      <c r="I735" s="109">
        <v>16.28</v>
      </c>
      <c r="J735" s="109">
        <v>6.47</v>
      </c>
      <c r="K735" s="109">
        <v>7.02</v>
      </c>
      <c r="L735" s="109">
        <v>0</v>
      </c>
      <c r="M735" s="74" t="str">
        <f t="array" ref="M735">_xlfn.TEXTJOIN("-", TRUE, IF(C735:L735&gt;0, $C$2:$L$2, ""))</f>
        <v xml:space="preserve"> Ti-Nb-Cr-Fe</v>
      </c>
      <c r="N735" s="90">
        <f t="shared" si="22"/>
        <v>733</v>
      </c>
      <c r="O735" s="91">
        <f t="shared" si="23"/>
        <v>4</v>
      </c>
      <c r="P735" s="109">
        <v>1</v>
      </c>
      <c r="Q735" s="146" t="s">
        <v>173</v>
      </c>
      <c r="R735" s="111">
        <v>0</v>
      </c>
      <c r="S735" s="111">
        <v>0</v>
      </c>
      <c r="T735" s="111">
        <v>0</v>
      </c>
      <c r="U735" s="111">
        <v>0</v>
      </c>
      <c r="V735" s="109">
        <v>0</v>
      </c>
      <c r="W735" s="111">
        <v>0</v>
      </c>
      <c r="X735" s="111">
        <v>0</v>
      </c>
      <c r="Y735" s="111">
        <v>0</v>
      </c>
      <c r="Z735" s="109">
        <v>77</v>
      </c>
      <c r="AA735" s="111" t="s">
        <v>113</v>
      </c>
      <c r="AB735" s="111" t="s">
        <v>113</v>
      </c>
      <c r="AC735" s="109">
        <v>922</v>
      </c>
      <c r="AD735" s="111" t="s">
        <v>113</v>
      </c>
      <c r="AE735" s="111" t="s">
        <v>113</v>
      </c>
      <c r="AF735" s="111" t="s">
        <v>113</v>
      </c>
      <c r="AG735" s="111" t="s">
        <v>113</v>
      </c>
      <c r="AH735" s="111" t="s">
        <v>113</v>
      </c>
      <c r="AI735" s="111" t="s">
        <v>113</v>
      </c>
      <c r="AJ735" s="111" t="s">
        <v>113</v>
      </c>
      <c r="AK735" s="111" t="s">
        <v>113</v>
      </c>
      <c r="AL735" s="111" t="s">
        <v>113</v>
      </c>
      <c r="AM735" s="111"/>
      <c r="AN735" s="111" t="s">
        <v>113</v>
      </c>
      <c r="AO735" s="111" t="s">
        <v>232</v>
      </c>
      <c r="AP735" s="109">
        <v>449</v>
      </c>
      <c r="AQ735" s="110" t="s">
        <v>100</v>
      </c>
      <c r="AR735" s="105">
        <v>449</v>
      </c>
    </row>
    <row r="736" spans="1:46" ht="16.5">
      <c r="A736" s="105">
        <v>450</v>
      </c>
      <c r="B736" s="111" t="s">
        <v>113</v>
      </c>
      <c r="C736" s="109">
        <v>68.010000000000005</v>
      </c>
      <c r="D736" s="109">
        <v>0</v>
      </c>
      <c r="E736" s="109">
        <v>0</v>
      </c>
      <c r="F736" s="109">
        <v>0</v>
      </c>
      <c r="G736" s="109">
        <v>0</v>
      </c>
      <c r="H736" s="109">
        <v>0</v>
      </c>
      <c r="I736" s="109">
        <v>16.309999999999999</v>
      </c>
      <c r="J736" s="109">
        <v>8.64</v>
      </c>
      <c r="K736" s="109">
        <v>7.04</v>
      </c>
      <c r="L736" s="109">
        <v>0</v>
      </c>
      <c r="M736" s="74" t="str">
        <f t="array" ref="M736">_xlfn.TEXTJOIN("-", TRUE, IF(C736:L736&gt;0, $C$2:$L$2, ""))</f>
        <v xml:space="preserve"> Ti-Nb-Cr-Fe</v>
      </c>
      <c r="N736" s="90">
        <f t="shared" si="22"/>
        <v>733</v>
      </c>
      <c r="O736" s="91">
        <f t="shared" si="23"/>
        <v>4</v>
      </c>
      <c r="P736" s="109">
        <v>1</v>
      </c>
      <c r="Q736" s="146" t="s">
        <v>173</v>
      </c>
      <c r="R736" s="111">
        <v>0</v>
      </c>
      <c r="S736" s="111">
        <v>0</v>
      </c>
      <c r="T736" s="111">
        <v>0</v>
      </c>
      <c r="U736" s="111">
        <v>0</v>
      </c>
      <c r="V736" s="109">
        <v>0</v>
      </c>
      <c r="W736" s="111">
        <v>0</v>
      </c>
      <c r="X736" s="111">
        <v>0</v>
      </c>
      <c r="Y736" s="111">
        <v>0</v>
      </c>
      <c r="Z736" s="109">
        <v>72</v>
      </c>
      <c r="AA736" s="111" t="s">
        <v>113</v>
      </c>
      <c r="AB736" s="111" t="s">
        <v>113</v>
      </c>
      <c r="AC736" s="109">
        <v>941</v>
      </c>
      <c r="AD736" s="111" t="s">
        <v>113</v>
      </c>
      <c r="AE736" s="111" t="s">
        <v>113</v>
      </c>
      <c r="AF736" s="111" t="s">
        <v>113</v>
      </c>
      <c r="AG736" s="111" t="s">
        <v>113</v>
      </c>
      <c r="AH736" s="111" t="s">
        <v>113</v>
      </c>
      <c r="AI736" s="111" t="s">
        <v>113</v>
      </c>
      <c r="AJ736" s="111" t="s">
        <v>113</v>
      </c>
      <c r="AK736" s="111" t="s">
        <v>113</v>
      </c>
      <c r="AL736" s="111" t="s">
        <v>113</v>
      </c>
      <c r="AM736" s="111"/>
      <c r="AN736" s="111" t="s">
        <v>113</v>
      </c>
      <c r="AO736" s="111" t="s">
        <v>114</v>
      </c>
      <c r="AP736" s="109">
        <v>450</v>
      </c>
      <c r="AQ736" s="110" t="s">
        <v>100</v>
      </c>
      <c r="AR736" s="105">
        <v>450</v>
      </c>
    </row>
    <row r="737" spans="1:44" ht="16.5">
      <c r="A737" s="105">
        <v>67</v>
      </c>
      <c r="B737" s="111" t="s">
        <v>101</v>
      </c>
      <c r="C737" s="111">
        <v>79.099999999999994</v>
      </c>
      <c r="D737" s="111">
        <v>3</v>
      </c>
      <c r="E737" s="111">
        <v>0</v>
      </c>
      <c r="F737" s="111">
        <v>15</v>
      </c>
      <c r="G737" s="111">
        <v>0</v>
      </c>
      <c r="H737" s="111">
        <v>0</v>
      </c>
      <c r="I737" s="111">
        <v>2.7</v>
      </c>
      <c r="J737" s="111">
        <v>0</v>
      </c>
      <c r="K737" s="111">
        <v>0</v>
      </c>
      <c r="L737" s="111">
        <v>0</v>
      </c>
      <c r="M737" s="74" t="str">
        <f t="array" ref="M737">_xlfn.TEXTJOIN("-", TRUE, IF(C737:L737&gt;0, $C$2:$L$2, ""))</f>
        <v xml:space="preserve"> Ti-Al-Mo-Nb</v>
      </c>
      <c r="N737" s="90">
        <f t="shared" si="22"/>
        <v>737</v>
      </c>
      <c r="O737" s="91">
        <f t="shared" si="23"/>
        <v>4</v>
      </c>
      <c r="P737" s="111">
        <v>1</v>
      </c>
      <c r="Q737" s="111">
        <v>0</v>
      </c>
      <c r="R737" s="111">
        <v>0</v>
      </c>
      <c r="S737" s="115">
        <v>0</v>
      </c>
      <c r="T737" s="141">
        <v>850</v>
      </c>
      <c r="U737" s="109">
        <v>0.58333333300000001</v>
      </c>
      <c r="V737" s="112">
        <v>1</v>
      </c>
      <c r="W737" s="109">
        <v>520</v>
      </c>
      <c r="X737" s="109">
        <v>8</v>
      </c>
      <c r="Y737" s="113">
        <v>2</v>
      </c>
      <c r="Z737" s="18" t="s">
        <v>102</v>
      </c>
      <c r="AA737" s="18" t="s">
        <v>102</v>
      </c>
      <c r="AB737" s="111">
        <v>1307.3499999999999</v>
      </c>
      <c r="AC737" s="111">
        <v>1183.6400000000001</v>
      </c>
      <c r="AD737" s="111">
        <v>6.5414099999999999</v>
      </c>
      <c r="AE737" s="18" t="s">
        <v>101</v>
      </c>
      <c r="AF737" s="18" t="s">
        <v>102</v>
      </c>
      <c r="AG737" s="18" t="s">
        <v>102</v>
      </c>
      <c r="AH737" s="18" t="s">
        <v>102</v>
      </c>
      <c r="AI737" s="18" t="s">
        <v>102</v>
      </c>
      <c r="AJ737" s="18" t="s">
        <v>102</v>
      </c>
      <c r="AK737" s="18" t="s">
        <v>102</v>
      </c>
      <c r="AL737" s="18" t="s">
        <v>102</v>
      </c>
      <c r="AM737" s="19"/>
      <c r="AN737" s="20" t="s">
        <v>101</v>
      </c>
      <c r="AO737" s="20" t="s">
        <v>103</v>
      </c>
      <c r="AP737" s="109">
        <v>67</v>
      </c>
      <c r="AQ737" s="110" t="s">
        <v>100</v>
      </c>
      <c r="AR737" s="105">
        <v>67</v>
      </c>
    </row>
    <row r="738" spans="1:44" ht="16.5">
      <c r="A738" s="105">
        <v>68</v>
      </c>
      <c r="B738" s="111" t="s">
        <v>101</v>
      </c>
      <c r="C738" s="111">
        <v>79.099999999999994</v>
      </c>
      <c r="D738" s="111">
        <v>3</v>
      </c>
      <c r="E738" s="111">
        <v>0</v>
      </c>
      <c r="F738" s="111">
        <v>15</v>
      </c>
      <c r="G738" s="111">
        <v>0</v>
      </c>
      <c r="H738" s="111">
        <v>0</v>
      </c>
      <c r="I738" s="111">
        <v>2.7</v>
      </c>
      <c r="J738" s="111">
        <v>0</v>
      </c>
      <c r="K738" s="111">
        <v>0</v>
      </c>
      <c r="L738" s="111">
        <v>0</v>
      </c>
      <c r="M738" s="74" t="str">
        <f t="array" ref="M738">_xlfn.TEXTJOIN("-", TRUE, IF(C738:L738&gt;0, $C$2:$L$2, ""))</f>
        <v xml:space="preserve"> Ti-Al-Mo-Nb</v>
      </c>
      <c r="N738" s="90">
        <f t="shared" si="22"/>
        <v>737</v>
      </c>
      <c r="O738" s="91">
        <f t="shared" si="23"/>
        <v>4</v>
      </c>
      <c r="P738" s="111">
        <v>1</v>
      </c>
      <c r="Q738" s="111">
        <v>0</v>
      </c>
      <c r="R738" s="111">
        <v>0</v>
      </c>
      <c r="S738" s="115">
        <v>0</v>
      </c>
      <c r="T738" s="141">
        <v>900</v>
      </c>
      <c r="U738" s="109">
        <v>0.58333333300000001</v>
      </c>
      <c r="V738" s="112">
        <v>1</v>
      </c>
      <c r="W738" s="109">
        <v>520</v>
      </c>
      <c r="X738" s="109">
        <v>8</v>
      </c>
      <c r="Y738" s="113">
        <v>2</v>
      </c>
      <c r="Z738" s="18" t="s">
        <v>102</v>
      </c>
      <c r="AA738" s="18" t="s">
        <v>102</v>
      </c>
      <c r="AB738" s="111">
        <v>1309.0899999999999</v>
      </c>
      <c r="AC738" s="111">
        <v>1216.29</v>
      </c>
      <c r="AD738" s="111">
        <v>6.0193000000000003</v>
      </c>
      <c r="AE738" s="18" t="s">
        <v>101</v>
      </c>
      <c r="AF738" s="18" t="s">
        <v>102</v>
      </c>
      <c r="AG738" s="18" t="s">
        <v>102</v>
      </c>
      <c r="AH738" s="18" t="s">
        <v>102</v>
      </c>
      <c r="AI738" s="18" t="s">
        <v>102</v>
      </c>
      <c r="AJ738" s="18" t="s">
        <v>102</v>
      </c>
      <c r="AK738" s="18" t="s">
        <v>102</v>
      </c>
      <c r="AL738" s="18" t="s">
        <v>102</v>
      </c>
      <c r="AM738" s="19"/>
      <c r="AN738" s="20" t="s">
        <v>101</v>
      </c>
      <c r="AO738" s="20" t="s">
        <v>103</v>
      </c>
      <c r="AP738" s="109">
        <v>68</v>
      </c>
      <c r="AQ738" s="110" t="s">
        <v>100</v>
      </c>
      <c r="AR738" s="105">
        <v>68</v>
      </c>
    </row>
    <row r="739" spans="1:44" ht="16.5">
      <c r="A739" s="105">
        <v>69</v>
      </c>
      <c r="B739" s="111" t="s">
        <v>101</v>
      </c>
      <c r="C739" s="111">
        <v>79.099999999999994</v>
      </c>
      <c r="D739" s="111">
        <v>3</v>
      </c>
      <c r="E739" s="111">
        <v>0</v>
      </c>
      <c r="F739" s="111">
        <v>15</v>
      </c>
      <c r="G739" s="111">
        <v>0</v>
      </c>
      <c r="H739" s="111">
        <v>0</v>
      </c>
      <c r="I739" s="111">
        <v>2.7</v>
      </c>
      <c r="J739" s="111">
        <v>0</v>
      </c>
      <c r="K739" s="111">
        <v>0</v>
      </c>
      <c r="L739" s="111">
        <v>0</v>
      </c>
      <c r="M739" s="74" t="str">
        <f t="array" ref="M739">_xlfn.TEXTJOIN("-", TRUE, IF(C739:L739&gt;0, $C$2:$L$2, ""))</f>
        <v xml:space="preserve"> Ti-Al-Mo-Nb</v>
      </c>
      <c r="N739" s="90">
        <f t="shared" si="22"/>
        <v>737</v>
      </c>
      <c r="O739" s="91">
        <f t="shared" si="23"/>
        <v>4</v>
      </c>
      <c r="P739" s="111">
        <v>1</v>
      </c>
      <c r="Q739" s="111">
        <v>0</v>
      </c>
      <c r="R739" s="111">
        <v>0</v>
      </c>
      <c r="S739" s="115">
        <v>0</v>
      </c>
      <c r="T739" s="141">
        <v>950</v>
      </c>
      <c r="U739" s="109">
        <v>0.58333333300000001</v>
      </c>
      <c r="V739" s="112">
        <v>1</v>
      </c>
      <c r="W739" s="109">
        <v>520</v>
      </c>
      <c r="X739" s="109">
        <v>8</v>
      </c>
      <c r="Y739" s="113">
        <v>2</v>
      </c>
      <c r="Z739" s="18" t="s">
        <v>102</v>
      </c>
      <c r="AA739" s="18" t="s">
        <v>102</v>
      </c>
      <c r="AB739" s="111">
        <v>1303.3900000000001</v>
      </c>
      <c r="AC739" s="111">
        <v>1210.6099999999999</v>
      </c>
      <c r="AD739" s="111">
        <v>6.5129099999999998</v>
      </c>
      <c r="AE739" s="18" t="s">
        <v>101</v>
      </c>
      <c r="AF739" s="18" t="s">
        <v>102</v>
      </c>
      <c r="AG739" s="18" t="s">
        <v>102</v>
      </c>
      <c r="AH739" s="18" t="s">
        <v>102</v>
      </c>
      <c r="AI739" s="18" t="s">
        <v>102</v>
      </c>
      <c r="AJ739" s="18" t="s">
        <v>102</v>
      </c>
      <c r="AK739" s="18" t="s">
        <v>102</v>
      </c>
      <c r="AL739" s="18" t="s">
        <v>102</v>
      </c>
      <c r="AM739" s="19"/>
      <c r="AN739" s="20" t="s">
        <v>101</v>
      </c>
      <c r="AO739" s="20" t="s">
        <v>103</v>
      </c>
      <c r="AP739" s="109">
        <v>69</v>
      </c>
      <c r="AQ739" s="110" t="s">
        <v>100</v>
      </c>
      <c r="AR739" s="105">
        <v>69</v>
      </c>
    </row>
    <row r="740" spans="1:44" ht="16.5">
      <c r="A740" s="105">
        <v>70</v>
      </c>
      <c r="B740" s="111" t="s">
        <v>101</v>
      </c>
      <c r="C740" s="111">
        <v>79.099999999999994</v>
      </c>
      <c r="D740" s="111">
        <v>3</v>
      </c>
      <c r="E740" s="111">
        <v>0</v>
      </c>
      <c r="F740" s="111">
        <v>15</v>
      </c>
      <c r="G740" s="111">
        <v>0</v>
      </c>
      <c r="H740" s="111">
        <v>0</v>
      </c>
      <c r="I740" s="111">
        <v>2.7</v>
      </c>
      <c r="J740" s="111">
        <v>0</v>
      </c>
      <c r="K740" s="111">
        <v>0</v>
      </c>
      <c r="L740" s="111">
        <v>0</v>
      </c>
      <c r="M740" s="74" t="str">
        <f t="array" ref="M740">_xlfn.TEXTJOIN("-", TRUE, IF(C740:L740&gt;0, $C$2:$L$2, ""))</f>
        <v xml:space="preserve"> Ti-Al-Mo-Nb</v>
      </c>
      <c r="N740" s="90">
        <f t="shared" si="22"/>
        <v>737</v>
      </c>
      <c r="O740" s="91">
        <f t="shared" si="23"/>
        <v>4</v>
      </c>
      <c r="P740" s="111">
        <v>1</v>
      </c>
      <c r="Q740" s="111">
        <v>0</v>
      </c>
      <c r="R740" s="111">
        <v>0</v>
      </c>
      <c r="S740" s="115">
        <v>0</v>
      </c>
      <c r="T740" s="141">
        <v>750</v>
      </c>
      <c r="U740" s="109">
        <v>0.58333333300000001</v>
      </c>
      <c r="V740" s="112">
        <v>1</v>
      </c>
      <c r="W740" s="109">
        <v>420</v>
      </c>
      <c r="X740" s="109">
        <v>8</v>
      </c>
      <c r="Y740" s="113">
        <v>2</v>
      </c>
      <c r="Z740" s="18" t="s">
        <v>102</v>
      </c>
      <c r="AA740" s="18" t="s">
        <v>102</v>
      </c>
      <c r="AB740" s="111">
        <v>1078.21</v>
      </c>
      <c r="AC740" s="111">
        <v>957.37699999999995</v>
      </c>
      <c r="AD740" s="111">
        <v>10.9091</v>
      </c>
      <c r="AE740" s="18" t="s">
        <v>101</v>
      </c>
      <c r="AF740" s="18" t="s">
        <v>102</v>
      </c>
      <c r="AG740" s="18" t="s">
        <v>102</v>
      </c>
      <c r="AH740" s="18" t="s">
        <v>102</v>
      </c>
      <c r="AI740" s="18" t="s">
        <v>102</v>
      </c>
      <c r="AJ740" s="18" t="s">
        <v>102</v>
      </c>
      <c r="AK740" s="18" t="s">
        <v>102</v>
      </c>
      <c r="AL740" s="18" t="s">
        <v>102</v>
      </c>
      <c r="AM740" s="19"/>
      <c r="AN740" s="20" t="s">
        <v>101</v>
      </c>
      <c r="AO740" s="20" t="s">
        <v>103</v>
      </c>
      <c r="AP740" s="109">
        <v>70</v>
      </c>
      <c r="AQ740" s="110" t="s">
        <v>100</v>
      </c>
      <c r="AR740" s="105">
        <v>70</v>
      </c>
    </row>
    <row r="741" spans="1:44" ht="16.5">
      <c r="A741" s="105">
        <v>71</v>
      </c>
      <c r="B741" s="111" t="s">
        <v>101</v>
      </c>
      <c r="C741" s="111">
        <v>79.099999999999994</v>
      </c>
      <c r="D741" s="111">
        <v>3</v>
      </c>
      <c r="E741" s="111">
        <v>0</v>
      </c>
      <c r="F741" s="111">
        <v>15</v>
      </c>
      <c r="G741" s="111">
        <v>0</v>
      </c>
      <c r="H741" s="111">
        <v>0</v>
      </c>
      <c r="I741" s="111">
        <v>2.7</v>
      </c>
      <c r="J741" s="111">
        <v>0</v>
      </c>
      <c r="K741" s="111">
        <v>0</v>
      </c>
      <c r="L741" s="111">
        <v>0</v>
      </c>
      <c r="M741" s="74" t="str">
        <f t="array" ref="M741">_xlfn.TEXTJOIN("-", TRUE, IF(C741:L741&gt;0, $C$2:$L$2, ""))</f>
        <v xml:space="preserve"> Ti-Al-Mo-Nb</v>
      </c>
      <c r="N741" s="90">
        <f t="shared" si="22"/>
        <v>737</v>
      </c>
      <c r="O741" s="91">
        <f t="shared" si="23"/>
        <v>4</v>
      </c>
      <c r="P741" s="111">
        <v>1</v>
      </c>
      <c r="Q741" s="111">
        <v>0</v>
      </c>
      <c r="R741" s="111">
        <v>0</v>
      </c>
      <c r="S741" s="115">
        <v>0</v>
      </c>
      <c r="T741" s="141">
        <v>750</v>
      </c>
      <c r="U741" s="109">
        <v>0.58333333300000001</v>
      </c>
      <c r="V741" s="112">
        <v>1</v>
      </c>
      <c r="W741" s="109">
        <v>470</v>
      </c>
      <c r="X741" s="109">
        <v>8</v>
      </c>
      <c r="Y741" s="113">
        <v>2</v>
      </c>
      <c r="Z741" s="18" t="s">
        <v>102</v>
      </c>
      <c r="AA741" s="18" t="s">
        <v>102</v>
      </c>
      <c r="AB741" s="111">
        <v>1143</v>
      </c>
      <c r="AC741" s="111">
        <v>987.79399999999998</v>
      </c>
      <c r="AD741" s="111">
        <v>7.3140499999999999</v>
      </c>
      <c r="AE741" s="18" t="s">
        <v>101</v>
      </c>
      <c r="AF741" s="18" t="s">
        <v>102</v>
      </c>
      <c r="AG741" s="18" t="s">
        <v>102</v>
      </c>
      <c r="AH741" s="18" t="s">
        <v>102</v>
      </c>
      <c r="AI741" s="18" t="s">
        <v>102</v>
      </c>
      <c r="AJ741" s="18" t="s">
        <v>102</v>
      </c>
      <c r="AK741" s="18" t="s">
        <v>102</v>
      </c>
      <c r="AL741" s="18" t="s">
        <v>102</v>
      </c>
      <c r="AM741" s="19"/>
      <c r="AN741" s="20" t="s">
        <v>101</v>
      </c>
      <c r="AO741" s="20" t="s">
        <v>103</v>
      </c>
      <c r="AP741" s="109">
        <v>71</v>
      </c>
      <c r="AQ741" s="110" t="s">
        <v>100</v>
      </c>
      <c r="AR741" s="105">
        <v>71</v>
      </c>
    </row>
    <row r="742" spans="1:44" ht="16.5">
      <c r="A742" s="105">
        <v>73</v>
      </c>
      <c r="B742" s="111" t="s">
        <v>101</v>
      </c>
      <c r="C742" s="111">
        <v>79.099999999999994</v>
      </c>
      <c r="D742" s="111">
        <v>3</v>
      </c>
      <c r="E742" s="111">
        <v>0</v>
      </c>
      <c r="F742" s="111">
        <v>15</v>
      </c>
      <c r="G742" s="111">
        <v>0</v>
      </c>
      <c r="H742" s="111">
        <v>0</v>
      </c>
      <c r="I742" s="111">
        <v>2.7</v>
      </c>
      <c r="J742" s="111">
        <v>0</v>
      </c>
      <c r="K742" s="111">
        <v>0</v>
      </c>
      <c r="L742" s="111">
        <v>0</v>
      </c>
      <c r="M742" s="74" t="str">
        <f t="array" ref="M742">_xlfn.TEXTJOIN("-", TRUE, IF(C742:L742&gt;0, $C$2:$L$2, ""))</f>
        <v xml:space="preserve"> Ti-Al-Mo-Nb</v>
      </c>
      <c r="N742" s="90">
        <f t="shared" si="22"/>
        <v>737</v>
      </c>
      <c r="O742" s="91">
        <f t="shared" si="23"/>
        <v>4</v>
      </c>
      <c r="P742" s="111">
        <v>1</v>
      </c>
      <c r="Q742" s="111">
        <v>0</v>
      </c>
      <c r="R742" s="111">
        <v>0</v>
      </c>
      <c r="S742" s="115">
        <v>0</v>
      </c>
      <c r="T742" s="141">
        <v>750</v>
      </c>
      <c r="U742" s="109">
        <v>0.58333333300000001</v>
      </c>
      <c r="V742" s="112">
        <v>1</v>
      </c>
      <c r="W742" s="109">
        <v>570</v>
      </c>
      <c r="X742" s="109">
        <v>8</v>
      </c>
      <c r="Y742" s="113">
        <v>2</v>
      </c>
      <c r="Z742" s="18" t="s">
        <v>102</v>
      </c>
      <c r="AA742" s="18" t="s">
        <v>102</v>
      </c>
      <c r="AB742" s="111">
        <v>1174.67</v>
      </c>
      <c r="AC742" s="111">
        <v>1054.8800000000001</v>
      </c>
      <c r="AD742" s="111">
        <v>6.69421</v>
      </c>
      <c r="AE742" s="18" t="s">
        <v>101</v>
      </c>
      <c r="AF742" s="18" t="s">
        <v>102</v>
      </c>
      <c r="AG742" s="18" t="s">
        <v>102</v>
      </c>
      <c r="AH742" s="18" t="s">
        <v>102</v>
      </c>
      <c r="AI742" s="18" t="s">
        <v>102</v>
      </c>
      <c r="AJ742" s="18" t="s">
        <v>102</v>
      </c>
      <c r="AK742" s="18" t="s">
        <v>102</v>
      </c>
      <c r="AL742" s="18" t="s">
        <v>102</v>
      </c>
      <c r="AM742" s="19"/>
      <c r="AN742" s="20" t="s">
        <v>101</v>
      </c>
      <c r="AO742" s="20" t="s">
        <v>103</v>
      </c>
      <c r="AP742" s="109">
        <v>73</v>
      </c>
      <c r="AQ742" s="110" t="s">
        <v>100</v>
      </c>
      <c r="AR742" s="105">
        <v>73</v>
      </c>
    </row>
    <row r="743" spans="1:44" ht="16.5">
      <c r="A743" s="105">
        <v>74</v>
      </c>
      <c r="B743" s="111" t="s">
        <v>101</v>
      </c>
      <c r="C743" s="111">
        <v>79.099999999999994</v>
      </c>
      <c r="D743" s="111">
        <v>3</v>
      </c>
      <c r="E743" s="111">
        <v>0</v>
      </c>
      <c r="F743" s="111">
        <v>15</v>
      </c>
      <c r="G743" s="111">
        <v>0</v>
      </c>
      <c r="H743" s="111">
        <v>0</v>
      </c>
      <c r="I743" s="111">
        <v>2.7</v>
      </c>
      <c r="J743" s="111">
        <v>0</v>
      </c>
      <c r="K743" s="111">
        <v>0</v>
      </c>
      <c r="L743" s="111">
        <v>0</v>
      </c>
      <c r="M743" s="74" t="str">
        <f t="array" ref="M743">_xlfn.TEXTJOIN("-", TRUE, IF(C743:L743&gt;0, $C$2:$L$2, ""))</f>
        <v xml:space="preserve"> Ti-Al-Mo-Nb</v>
      </c>
      <c r="N743" s="90">
        <f t="shared" si="22"/>
        <v>737</v>
      </c>
      <c r="O743" s="91">
        <f t="shared" si="23"/>
        <v>4</v>
      </c>
      <c r="P743" s="111">
        <v>1</v>
      </c>
      <c r="Q743" s="111">
        <v>0</v>
      </c>
      <c r="R743" s="111">
        <v>0</v>
      </c>
      <c r="S743" s="115">
        <v>0</v>
      </c>
      <c r="T743" s="141">
        <v>750</v>
      </c>
      <c r="U743" s="109">
        <v>0.58333333300000001</v>
      </c>
      <c r="V743" s="112">
        <v>1</v>
      </c>
      <c r="W743" s="109">
        <v>620</v>
      </c>
      <c r="X743" s="109">
        <v>8</v>
      </c>
      <c r="Y743" s="113">
        <v>2</v>
      </c>
      <c r="Z743" s="18" t="s">
        <v>102</v>
      </c>
      <c r="AA743" s="18" t="s">
        <v>102</v>
      </c>
      <c r="AB743" s="111">
        <v>901.96400000000006</v>
      </c>
      <c r="AC743" s="111">
        <v>885.29399999999998</v>
      </c>
      <c r="AD743" s="111">
        <v>14.504099999999999</v>
      </c>
      <c r="AE743" s="18" t="s">
        <v>101</v>
      </c>
      <c r="AF743" s="18" t="s">
        <v>102</v>
      </c>
      <c r="AG743" s="18" t="s">
        <v>102</v>
      </c>
      <c r="AH743" s="18" t="s">
        <v>102</v>
      </c>
      <c r="AI743" s="18" t="s">
        <v>102</v>
      </c>
      <c r="AJ743" s="18" t="s">
        <v>102</v>
      </c>
      <c r="AK743" s="18" t="s">
        <v>102</v>
      </c>
      <c r="AL743" s="18" t="s">
        <v>102</v>
      </c>
      <c r="AM743" s="19"/>
      <c r="AN743" s="20" t="s">
        <v>101</v>
      </c>
      <c r="AO743" s="20" t="s">
        <v>103</v>
      </c>
      <c r="AP743" s="109">
        <v>74</v>
      </c>
      <c r="AQ743" s="110" t="s">
        <v>100</v>
      </c>
      <c r="AR743" s="105">
        <v>74</v>
      </c>
    </row>
    <row r="744" spans="1:44" ht="16.5">
      <c r="A744" s="105">
        <v>75</v>
      </c>
      <c r="B744" s="111" t="s">
        <v>101</v>
      </c>
      <c r="C744" s="111">
        <v>79.099999999999994</v>
      </c>
      <c r="D744" s="111">
        <v>3</v>
      </c>
      <c r="E744" s="111">
        <v>0</v>
      </c>
      <c r="F744" s="111">
        <v>15</v>
      </c>
      <c r="G744" s="111">
        <v>0</v>
      </c>
      <c r="H744" s="111">
        <v>0</v>
      </c>
      <c r="I744" s="111">
        <v>2.7</v>
      </c>
      <c r="J744" s="111">
        <v>0</v>
      </c>
      <c r="K744" s="111">
        <v>0</v>
      </c>
      <c r="L744" s="111">
        <v>0</v>
      </c>
      <c r="M744" s="74" t="str">
        <f t="array" ref="M744">_xlfn.TEXTJOIN("-", TRUE, IF(C744:L744&gt;0, $C$2:$L$2, ""))</f>
        <v xml:space="preserve"> Ti-Al-Mo-Nb</v>
      </c>
      <c r="N744" s="90">
        <f t="shared" si="22"/>
        <v>737</v>
      </c>
      <c r="O744" s="91">
        <f t="shared" si="23"/>
        <v>4</v>
      </c>
      <c r="P744" s="111">
        <v>1</v>
      </c>
      <c r="Q744" s="111">
        <v>0</v>
      </c>
      <c r="R744" s="111">
        <v>0</v>
      </c>
      <c r="S744" s="115">
        <v>0</v>
      </c>
      <c r="T744" s="141">
        <v>855</v>
      </c>
      <c r="U744" s="109">
        <v>0.58333333300000001</v>
      </c>
      <c r="V744" s="112">
        <v>1</v>
      </c>
      <c r="W744" s="109">
        <v>520</v>
      </c>
      <c r="X744" s="109">
        <v>4</v>
      </c>
      <c r="Y744" s="113">
        <v>2</v>
      </c>
      <c r="Z744" s="18" t="s">
        <v>102</v>
      </c>
      <c r="AA744" s="18" t="s">
        <v>102</v>
      </c>
      <c r="AB744" s="111">
        <v>1218.8599999999999</v>
      </c>
      <c r="AC744" s="111">
        <v>1137.5999999999999</v>
      </c>
      <c r="AD744" s="111">
        <v>6.1979199999999999</v>
      </c>
      <c r="AE744" s="18" t="s">
        <v>101</v>
      </c>
      <c r="AF744" s="18" t="s">
        <v>102</v>
      </c>
      <c r="AG744" s="18" t="s">
        <v>102</v>
      </c>
      <c r="AH744" s="18" t="s">
        <v>102</v>
      </c>
      <c r="AI744" s="18" t="s">
        <v>102</v>
      </c>
      <c r="AJ744" s="18" t="s">
        <v>102</v>
      </c>
      <c r="AK744" s="18" t="s">
        <v>102</v>
      </c>
      <c r="AL744" s="18" t="s">
        <v>102</v>
      </c>
      <c r="AM744" s="19"/>
      <c r="AN744" s="20" t="s">
        <v>101</v>
      </c>
      <c r="AO744" s="20" t="s">
        <v>103</v>
      </c>
      <c r="AP744" s="109">
        <v>75</v>
      </c>
      <c r="AQ744" s="110" t="s">
        <v>100</v>
      </c>
      <c r="AR744" s="105">
        <v>75</v>
      </c>
    </row>
    <row r="745" spans="1:44" ht="16.5">
      <c r="A745" s="105">
        <v>76</v>
      </c>
      <c r="B745" s="111" t="s">
        <v>101</v>
      </c>
      <c r="C745" s="111">
        <v>79.099999999999994</v>
      </c>
      <c r="D745" s="111">
        <v>3</v>
      </c>
      <c r="E745" s="111">
        <v>0</v>
      </c>
      <c r="F745" s="111">
        <v>15</v>
      </c>
      <c r="G745" s="111">
        <v>0</v>
      </c>
      <c r="H745" s="111">
        <v>0</v>
      </c>
      <c r="I745" s="111">
        <v>2.7</v>
      </c>
      <c r="J745" s="111">
        <v>0</v>
      </c>
      <c r="K745" s="111">
        <v>0</v>
      </c>
      <c r="L745" s="111">
        <v>0</v>
      </c>
      <c r="M745" s="74" t="str">
        <f t="array" ref="M745">_xlfn.TEXTJOIN("-", TRUE, IF(C745:L745&gt;0, $C$2:$L$2, ""))</f>
        <v xml:space="preserve"> Ti-Al-Mo-Nb</v>
      </c>
      <c r="N745" s="90">
        <f t="shared" si="22"/>
        <v>737</v>
      </c>
      <c r="O745" s="91">
        <f t="shared" si="23"/>
        <v>4</v>
      </c>
      <c r="P745" s="111">
        <v>1</v>
      </c>
      <c r="Q745" s="111">
        <v>0</v>
      </c>
      <c r="R745" s="111">
        <v>0</v>
      </c>
      <c r="S745" s="115">
        <v>0</v>
      </c>
      <c r="T745" s="141">
        <v>855</v>
      </c>
      <c r="U745" s="109">
        <v>0.58333333300000001</v>
      </c>
      <c r="V745" s="112">
        <v>1</v>
      </c>
      <c r="W745" s="109">
        <v>520</v>
      </c>
      <c r="X745" s="109">
        <v>6</v>
      </c>
      <c r="Y745" s="113">
        <v>2</v>
      </c>
      <c r="Z745" s="18" t="s">
        <v>102</v>
      </c>
      <c r="AA745" s="18" t="s">
        <v>102</v>
      </c>
      <c r="AB745" s="111">
        <v>1258.6400000000001</v>
      </c>
      <c r="AC745" s="111">
        <v>1172.19</v>
      </c>
      <c r="AD745" s="111">
        <v>6.4895800000000001</v>
      </c>
      <c r="AE745" s="18" t="s">
        <v>101</v>
      </c>
      <c r="AF745" s="18" t="s">
        <v>102</v>
      </c>
      <c r="AG745" s="18" t="s">
        <v>102</v>
      </c>
      <c r="AH745" s="18" t="s">
        <v>102</v>
      </c>
      <c r="AI745" s="18" t="s">
        <v>102</v>
      </c>
      <c r="AJ745" s="18" t="s">
        <v>102</v>
      </c>
      <c r="AK745" s="18" t="s">
        <v>102</v>
      </c>
      <c r="AL745" s="18" t="s">
        <v>102</v>
      </c>
      <c r="AM745" s="19"/>
      <c r="AN745" s="20" t="s">
        <v>101</v>
      </c>
      <c r="AO745" s="20" t="s">
        <v>103</v>
      </c>
      <c r="AP745" s="109">
        <v>76</v>
      </c>
      <c r="AQ745" s="110" t="s">
        <v>100</v>
      </c>
      <c r="AR745" s="105">
        <v>76</v>
      </c>
    </row>
    <row r="746" spans="1:44" ht="16.5">
      <c r="A746" s="105">
        <v>77</v>
      </c>
      <c r="B746" s="111" t="s">
        <v>101</v>
      </c>
      <c r="C746" s="111">
        <v>79.099999999999994</v>
      </c>
      <c r="D746" s="111">
        <v>3</v>
      </c>
      <c r="E746" s="111">
        <v>0</v>
      </c>
      <c r="F746" s="111">
        <v>15</v>
      </c>
      <c r="G746" s="111">
        <v>0</v>
      </c>
      <c r="H746" s="111">
        <v>0</v>
      </c>
      <c r="I746" s="111">
        <v>2.7</v>
      </c>
      <c r="J746" s="111">
        <v>0</v>
      </c>
      <c r="K746" s="111">
        <v>0</v>
      </c>
      <c r="L746" s="111">
        <v>0</v>
      </c>
      <c r="M746" s="74" t="str">
        <f t="array" ref="M746">_xlfn.TEXTJOIN("-", TRUE, IF(C746:L746&gt;0, $C$2:$L$2, ""))</f>
        <v xml:space="preserve"> Ti-Al-Mo-Nb</v>
      </c>
      <c r="N746" s="90">
        <f t="shared" si="22"/>
        <v>737</v>
      </c>
      <c r="O746" s="91">
        <f t="shared" si="23"/>
        <v>4</v>
      </c>
      <c r="P746" s="111">
        <v>1</v>
      </c>
      <c r="Q746" s="111">
        <v>0</v>
      </c>
      <c r="R746" s="111">
        <v>0</v>
      </c>
      <c r="S746" s="115">
        <v>0</v>
      </c>
      <c r="T746" s="141">
        <v>855</v>
      </c>
      <c r="U746" s="109">
        <v>0.58333333300000001</v>
      </c>
      <c r="V746" s="112">
        <v>1</v>
      </c>
      <c r="W746" s="109">
        <v>520</v>
      </c>
      <c r="X746" s="109">
        <v>8</v>
      </c>
      <c r="Y746" s="113">
        <v>2</v>
      </c>
      <c r="Z746" s="18" t="s">
        <v>102</v>
      </c>
      <c r="AA746" s="18" t="s">
        <v>102</v>
      </c>
      <c r="AB746" s="111">
        <v>1311.98</v>
      </c>
      <c r="AC746" s="111">
        <v>1185.94</v>
      </c>
      <c r="AD746" s="111">
        <v>6.1979199999999999</v>
      </c>
      <c r="AE746" s="18" t="s">
        <v>101</v>
      </c>
      <c r="AF746" s="18" t="s">
        <v>102</v>
      </c>
      <c r="AG746" s="18" t="s">
        <v>102</v>
      </c>
      <c r="AH746" s="18" t="s">
        <v>102</v>
      </c>
      <c r="AI746" s="18" t="s">
        <v>102</v>
      </c>
      <c r="AJ746" s="18" t="s">
        <v>102</v>
      </c>
      <c r="AK746" s="18" t="s">
        <v>102</v>
      </c>
      <c r="AL746" s="18" t="s">
        <v>102</v>
      </c>
      <c r="AM746" s="19"/>
      <c r="AN746" s="20" t="s">
        <v>101</v>
      </c>
      <c r="AO746" s="20" t="s">
        <v>103</v>
      </c>
      <c r="AP746" s="109">
        <v>77</v>
      </c>
      <c r="AQ746" s="110" t="s">
        <v>100</v>
      </c>
      <c r="AR746" s="105">
        <v>77</v>
      </c>
    </row>
    <row r="747" spans="1:44" ht="16.5">
      <c r="A747" s="105">
        <v>78</v>
      </c>
      <c r="B747" s="111" t="s">
        <v>101</v>
      </c>
      <c r="C747" s="111">
        <v>79.099999999999994</v>
      </c>
      <c r="D747" s="111">
        <v>3</v>
      </c>
      <c r="E747" s="111">
        <v>0</v>
      </c>
      <c r="F747" s="111">
        <v>15</v>
      </c>
      <c r="G747" s="111">
        <v>0</v>
      </c>
      <c r="H747" s="111">
        <v>0</v>
      </c>
      <c r="I747" s="111">
        <v>2.7</v>
      </c>
      <c r="J747" s="111">
        <v>0</v>
      </c>
      <c r="K747" s="111">
        <v>0</v>
      </c>
      <c r="L747" s="111">
        <v>0</v>
      </c>
      <c r="M747" s="74" t="str">
        <f t="array" ref="M747">_xlfn.TEXTJOIN("-", TRUE, IF(C747:L747&gt;0, $C$2:$L$2, ""))</f>
        <v xml:space="preserve"> Ti-Al-Mo-Nb</v>
      </c>
      <c r="N747" s="90">
        <f t="shared" si="22"/>
        <v>737</v>
      </c>
      <c r="O747" s="91">
        <f t="shared" si="23"/>
        <v>4</v>
      </c>
      <c r="P747" s="111">
        <v>1</v>
      </c>
      <c r="Q747" s="111">
        <v>0</v>
      </c>
      <c r="R747" s="111">
        <v>0</v>
      </c>
      <c r="S747" s="115">
        <v>0</v>
      </c>
      <c r="T747" s="141">
        <v>855</v>
      </c>
      <c r="U747" s="109">
        <v>0.58333333300000001</v>
      </c>
      <c r="V747" s="112">
        <v>1</v>
      </c>
      <c r="W747" s="109">
        <v>520</v>
      </c>
      <c r="X747" s="109">
        <v>10</v>
      </c>
      <c r="Y747" s="113">
        <v>2</v>
      </c>
      <c r="Z747" s="18" t="s">
        <v>102</v>
      </c>
      <c r="AA747" s="18" t="s">
        <v>102</v>
      </c>
      <c r="AB747" s="111">
        <v>1263.23</v>
      </c>
      <c r="AC747" s="111">
        <v>1181.98</v>
      </c>
      <c r="AD747" s="111">
        <v>6.78125</v>
      </c>
      <c r="AE747" s="18" t="s">
        <v>101</v>
      </c>
      <c r="AF747" s="18" t="s">
        <v>102</v>
      </c>
      <c r="AG747" s="18" t="s">
        <v>102</v>
      </c>
      <c r="AH747" s="18" t="s">
        <v>102</v>
      </c>
      <c r="AI747" s="18" t="s">
        <v>102</v>
      </c>
      <c r="AJ747" s="18" t="s">
        <v>102</v>
      </c>
      <c r="AK747" s="18" t="s">
        <v>102</v>
      </c>
      <c r="AL747" s="18" t="s">
        <v>102</v>
      </c>
      <c r="AM747" s="19"/>
      <c r="AN747" s="20" t="s">
        <v>101</v>
      </c>
      <c r="AO747" s="20" t="s">
        <v>103</v>
      </c>
      <c r="AP747" s="109">
        <v>78</v>
      </c>
      <c r="AQ747" s="110" t="s">
        <v>100</v>
      </c>
      <c r="AR747" s="105">
        <v>78</v>
      </c>
    </row>
    <row r="748" spans="1:44" ht="16.5">
      <c r="A748" s="105">
        <v>79</v>
      </c>
      <c r="B748" s="111" t="s">
        <v>101</v>
      </c>
      <c r="C748" s="111">
        <v>79.099999999999994</v>
      </c>
      <c r="D748" s="111">
        <v>3</v>
      </c>
      <c r="E748" s="111">
        <v>0</v>
      </c>
      <c r="F748" s="111">
        <v>15</v>
      </c>
      <c r="G748" s="111">
        <v>0</v>
      </c>
      <c r="H748" s="111">
        <v>0</v>
      </c>
      <c r="I748" s="111">
        <v>2.7</v>
      </c>
      <c r="J748" s="111">
        <v>0</v>
      </c>
      <c r="K748" s="111">
        <v>0</v>
      </c>
      <c r="L748" s="111">
        <v>0</v>
      </c>
      <c r="M748" s="74" t="str">
        <f t="array" ref="M748">_xlfn.TEXTJOIN("-", TRUE, IF(C748:L748&gt;0, $C$2:$L$2, ""))</f>
        <v xml:space="preserve"> Ti-Al-Mo-Nb</v>
      </c>
      <c r="N748" s="90">
        <f t="shared" si="22"/>
        <v>737</v>
      </c>
      <c r="O748" s="91">
        <f t="shared" si="23"/>
        <v>4</v>
      </c>
      <c r="P748" s="111">
        <v>1</v>
      </c>
      <c r="Q748" s="111">
        <v>0</v>
      </c>
      <c r="R748" s="111">
        <v>0</v>
      </c>
      <c r="S748" s="115">
        <v>0</v>
      </c>
      <c r="T748" s="141">
        <v>855</v>
      </c>
      <c r="U748" s="109">
        <v>0.58333333300000001</v>
      </c>
      <c r="V748" s="112">
        <v>1</v>
      </c>
      <c r="W748" s="109">
        <v>520</v>
      </c>
      <c r="X748" s="109">
        <v>12</v>
      </c>
      <c r="Y748" s="113">
        <v>2</v>
      </c>
      <c r="Z748" s="18" t="s">
        <v>102</v>
      </c>
      <c r="AA748" s="18" t="s">
        <v>102</v>
      </c>
      <c r="AB748" s="111">
        <v>1275.94</v>
      </c>
      <c r="AC748" s="111">
        <v>1193.6500000000001</v>
      </c>
      <c r="AD748" s="111">
        <v>5.25</v>
      </c>
      <c r="AE748" s="18" t="s">
        <v>101</v>
      </c>
      <c r="AF748" s="18" t="s">
        <v>102</v>
      </c>
      <c r="AG748" s="18" t="s">
        <v>102</v>
      </c>
      <c r="AH748" s="18" t="s">
        <v>102</v>
      </c>
      <c r="AI748" s="18" t="s">
        <v>102</v>
      </c>
      <c r="AJ748" s="18" t="s">
        <v>102</v>
      </c>
      <c r="AK748" s="18" t="s">
        <v>102</v>
      </c>
      <c r="AL748" s="18" t="s">
        <v>102</v>
      </c>
      <c r="AM748" s="19"/>
      <c r="AN748" s="20" t="s">
        <v>101</v>
      </c>
      <c r="AO748" s="20" t="s">
        <v>103</v>
      </c>
      <c r="AP748" s="109">
        <v>79</v>
      </c>
      <c r="AQ748" s="110" t="s">
        <v>100</v>
      </c>
      <c r="AR748" s="105">
        <v>79</v>
      </c>
    </row>
    <row r="749" spans="1:44" ht="16.5">
      <c r="A749" s="105">
        <v>92</v>
      </c>
      <c r="B749" s="111" t="s">
        <v>101</v>
      </c>
      <c r="C749" s="111">
        <v>86.63</v>
      </c>
      <c r="D749" s="111">
        <v>5</v>
      </c>
      <c r="E749" s="111">
        <v>0</v>
      </c>
      <c r="F749" s="111">
        <v>6.65</v>
      </c>
      <c r="G749" s="111">
        <v>0</v>
      </c>
      <c r="H749" s="111">
        <v>0</v>
      </c>
      <c r="I749" s="111">
        <v>0</v>
      </c>
      <c r="J749" s="111">
        <v>0</v>
      </c>
      <c r="K749" s="111">
        <v>1.62</v>
      </c>
      <c r="L749" s="111">
        <v>0</v>
      </c>
      <c r="M749" s="74" t="str">
        <f t="array" ref="M749">_xlfn.TEXTJOIN("-", TRUE, IF(C749:L749&gt;0, $C$2:$L$2, ""))</f>
        <v xml:space="preserve"> Ti-Al-Mo-Fe</v>
      </c>
      <c r="N749" s="90">
        <f t="shared" si="22"/>
        <v>749</v>
      </c>
      <c r="O749" s="91">
        <f t="shared" si="23"/>
        <v>4</v>
      </c>
      <c r="P749" s="111">
        <v>1</v>
      </c>
      <c r="Q749" s="111">
        <v>2</v>
      </c>
      <c r="R749" s="111">
        <v>800</v>
      </c>
      <c r="S749" s="111">
        <v>0</v>
      </c>
      <c r="T749" s="109">
        <v>780</v>
      </c>
      <c r="U749" s="109">
        <v>1</v>
      </c>
      <c r="V749" s="112">
        <v>2</v>
      </c>
      <c r="W749" s="109">
        <v>560</v>
      </c>
      <c r="X749" s="109">
        <v>6</v>
      </c>
      <c r="Y749" s="113">
        <v>2</v>
      </c>
      <c r="Z749" s="18" t="s">
        <v>102</v>
      </c>
      <c r="AA749" s="18" t="s">
        <v>102</v>
      </c>
      <c r="AB749" s="111">
        <v>1126.5899999999999</v>
      </c>
      <c r="AC749" s="111">
        <v>1070.49</v>
      </c>
      <c r="AD749" s="111">
        <v>18.5685</v>
      </c>
      <c r="AE749" s="18" t="s">
        <v>101</v>
      </c>
      <c r="AF749" s="18" t="s">
        <v>102</v>
      </c>
      <c r="AG749" s="18" t="s">
        <v>102</v>
      </c>
      <c r="AH749" s="18" t="s">
        <v>102</v>
      </c>
      <c r="AI749" s="18" t="s">
        <v>102</v>
      </c>
      <c r="AJ749" s="18" t="s">
        <v>102</v>
      </c>
      <c r="AK749" s="18" t="s">
        <v>102</v>
      </c>
      <c r="AL749" s="18" t="s">
        <v>102</v>
      </c>
      <c r="AM749" s="19"/>
      <c r="AN749" s="20" t="s">
        <v>101</v>
      </c>
      <c r="AO749" s="20" t="s">
        <v>103</v>
      </c>
      <c r="AP749" s="109">
        <v>92</v>
      </c>
      <c r="AQ749" s="110" t="s">
        <v>100</v>
      </c>
      <c r="AR749" s="105">
        <v>92</v>
      </c>
    </row>
    <row r="750" spans="1:44" ht="16.5">
      <c r="A750" s="105">
        <v>93</v>
      </c>
      <c r="B750" s="111" t="s">
        <v>101</v>
      </c>
      <c r="C750" s="111">
        <v>86.63</v>
      </c>
      <c r="D750" s="111">
        <v>5</v>
      </c>
      <c r="E750" s="111">
        <v>0</v>
      </c>
      <c r="F750" s="111">
        <v>6.65</v>
      </c>
      <c r="G750" s="111">
        <v>0</v>
      </c>
      <c r="H750" s="111">
        <v>0</v>
      </c>
      <c r="I750" s="111">
        <v>0</v>
      </c>
      <c r="J750" s="111">
        <v>0</v>
      </c>
      <c r="K750" s="111">
        <v>1.62</v>
      </c>
      <c r="L750" s="111">
        <v>0</v>
      </c>
      <c r="M750" s="74" t="str">
        <f t="array" ref="M750">_xlfn.TEXTJOIN("-", TRUE, IF(C750:L750&gt;0, $C$2:$L$2, ""))</f>
        <v xml:space="preserve"> Ti-Al-Mo-Fe</v>
      </c>
      <c r="N750" s="90">
        <f t="shared" si="22"/>
        <v>749</v>
      </c>
      <c r="O750" s="91">
        <f t="shared" si="23"/>
        <v>4</v>
      </c>
      <c r="P750" s="111">
        <v>1</v>
      </c>
      <c r="Q750" s="111">
        <v>2</v>
      </c>
      <c r="R750" s="111">
        <v>800</v>
      </c>
      <c r="S750" s="111">
        <v>0</v>
      </c>
      <c r="T750" s="109">
        <v>780</v>
      </c>
      <c r="U750" s="109">
        <v>1</v>
      </c>
      <c r="V750" s="112">
        <v>2</v>
      </c>
      <c r="W750" s="109">
        <v>560</v>
      </c>
      <c r="X750" s="109">
        <v>6</v>
      </c>
      <c r="Y750" s="113">
        <v>2</v>
      </c>
      <c r="Z750" s="18" t="s">
        <v>102</v>
      </c>
      <c r="AA750" s="18" t="s">
        <v>102</v>
      </c>
      <c r="AB750" s="111">
        <v>1160.2</v>
      </c>
      <c r="AC750" s="111">
        <v>1131.97</v>
      </c>
      <c r="AD750" s="111">
        <v>17.604500000000002</v>
      </c>
      <c r="AE750" s="18" t="s">
        <v>101</v>
      </c>
      <c r="AF750" s="18" t="s">
        <v>102</v>
      </c>
      <c r="AG750" s="18" t="s">
        <v>102</v>
      </c>
      <c r="AH750" s="18" t="s">
        <v>102</v>
      </c>
      <c r="AI750" s="18" t="s">
        <v>102</v>
      </c>
      <c r="AJ750" s="18" t="s">
        <v>102</v>
      </c>
      <c r="AK750" s="18" t="s">
        <v>102</v>
      </c>
      <c r="AL750" s="18" t="s">
        <v>102</v>
      </c>
      <c r="AM750" s="19"/>
      <c r="AN750" s="20" t="s">
        <v>101</v>
      </c>
      <c r="AO750" s="20" t="s">
        <v>103</v>
      </c>
      <c r="AP750" s="109">
        <v>93</v>
      </c>
      <c r="AQ750" s="110" t="s">
        <v>100</v>
      </c>
      <c r="AR750" s="105">
        <v>93</v>
      </c>
    </row>
    <row r="751" spans="1:44" ht="16.5">
      <c r="A751" s="105">
        <v>94</v>
      </c>
      <c r="B751" s="111" t="s">
        <v>101</v>
      </c>
      <c r="C751" s="111">
        <v>86.63</v>
      </c>
      <c r="D751" s="111">
        <v>5</v>
      </c>
      <c r="E751" s="111">
        <v>0</v>
      </c>
      <c r="F751" s="111">
        <v>6.65</v>
      </c>
      <c r="G751" s="111">
        <v>0</v>
      </c>
      <c r="H751" s="111">
        <v>0</v>
      </c>
      <c r="I751" s="111">
        <v>0</v>
      </c>
      <c r="J751" s="111">
        <v>0</v>
      </c>
      <c r="K751" s="111">
        <v>1.62</v>
      </c>
      <c r="L751" s="111">
        <v>0</v>
      </c>
      <c r="M751" s="74" t="str">
        <f t="array" ref="M751">_xlfn.TEXTJOIN("-", TRUE, IF(C751:L751&gt;0, $C$2:$L$2, ""))</f>
        <v xml:space="preserve"> Ti-Al-Mo-Fe</v>
      </c>
      <c r="N751" s="90">
        <f t="shared" si="22"/>
        <v>749</v>
      </c>
      <c r="O751" s="91">
        <f t="shared" si="23"/>
        <v>4</v>
      </c>
      <c r="P751" s="111">
        <v>1</v>
      </c>
      <c r="Q751" s="111">
        <v>2</v>
      </c>
      <c r="R751" s="111">
        <v>800</v>
      </c>
      <c r="S751" s="111">
        <v>0</v>
      </c>
      <c r="T751" s="109">
        <v>780</v>
      </c>
      <c r="U751" s="109">
        <v>1</v>
      </c>
      <c r="V751" s="112">
        <v>2</v>
      </c>
      <c r="W751" s="109">
        <v>560</v>
      </c>
      <c r="X751" s="109">
        <v>6</v>
      </c>
      <c r="Y751" s="113">
        <v>2</v>
      </c>
      <c r="Z751" s="18" t="s">
        <v>102</v>
      </c>
      <c r="AA751" s="18" t="s">
        <v>102</v>
      </c>
      <c r="AB751" s="111">
        <v>1098.76</v>
      </c>
      <c r="AC751" s="111">
        <v>1066.3900000000001</v>
      </c>
      <c r="AD751" s="111">
        <v>18.0625</v>
      </c>
      <c r="AE751" s="18" t="s">
        <v>101</v>
      </c>
      <c r="AF751" s="18" t="s">
        <v>102</v>
      </c>
      <c r="AG751" s="18" t="s">
        <v>102</v>
      </c>
      <c r="AH751" s="18" t="s">
        <v>102</v>
      </c>
      <c r="AI751" s="18" t="s">
        <v>102</v>
      </c>
      <c r="AJ751" s="18" t="s">
        <v>102</v>
      </c>
      <c r="AK751" s="18" t="s">
        <v>102</v>
      </c>
      <c r="AL751" s="18" t="s">
        <v>102</v>
      </c>
      <c r="AM751" s="19"/>
      <c r="AN751" s="20" t="s">
        <v>101</v>
      </c>
      <c r="AO751" s="20" t="s">
        <v>103</v>
      </c>
      <c r="AP751" s="109">
        <v>94</v>
      </c>
      <c r="AQ751" s="110" t="s">
        <v>100</v>
      </c>
      <c r="AR751" s="105">
        <v>94</v>
      </c>
    </row>
    <row r="752" spans="1:44" ht="16.5">
      <c r="A752" s="105">
        <v>95</v>
      </c>
      <c r="B752" s="111" t="s">
        <v>101</v>
      </c>
      <c r="C752" s="111">
        <v>86.63</v>
      </c>
      <c r="D752" s="111">
        <v>5</v>
      </c>
      <c r="E752" s="111">
        <v>0</v>
      </c>
      <c r="F752" s="111">
        <v>6.65</v>
      </c>
      <c r="G752" s="111">
        <v>0</v>
      </c>
      <c r="H752" s="111">
        <v>0</v>
      </c>
      <c r="I752" s="111">
        <v>0</v>
      </c>
      <c r="J752" s="111">
        <v>0</v>
      </c>
      <c r="K752" s="111">
        <v>1.62</v>
      </c>
      <c r="L752" s="111">
        <v>0</v>
      </c>
      <c r="M752" s="74" t="str">
        <f t="array" ref="M752">_xlfn.TEXTJOIN("-", TRUE, IF(C752:L752&gt;0, $C$2:$L$2, ""))</f>
        <v xml:space="preserve"> Ti-Al-Mo-Fe</v>
      </c>
      <c r="N752" s="90">
        <f t="shared" si="22"/>
        <v>749</v>
      </c>
      <c r="O752" s="91">
        <f t="shared" si="23"/>
        <v>4</v>
      </c>
      <c r="P752" s="111">
        <v>1</v>
      </c>
      <c r="Q752" s="111">
        <v>2</v>
      </c>
      <c r="R752" s="111">
        <v>830</v>
      </c>
      <c r="S752" s="111">
        <v>0</v>
      </c>
      <c r="T752" s="109">
        <v>780</v>
      </c>
      <c r="U752" s="109">
        <v>1</v>
      </c>
      <c r="V752" s="112">
        <v>2</v>
      </c>
      <c r="W752" s="109">
        <v>560</v>
      </c>
      <c r="X752" s="109">
        <v>6</v>
      </c>
      <c r="Y752" s="113">
        <v>2</v>
      </c>
      <c r="Z752" s="18" t="s">
        <v>102</v>
      </c>
      <c r="AA752" s="18" t="s">
        <v>102</v>
      </c>
      <c r="AB752" s="111">
        <v>1180.3</v>
      </c>
      <c r="AC752" s="111">
        <v>1110.1099999999999</v>
      </c>
      <c r="AD752" s="111">
        <v>15.9626</v>
      </c>
      <c r="AE752" s="18" t="s">
        <v>101</v>
      </c>
      <c r="AF752" s="18" t="s">
        <v>102</v>
      </c>
      <c r="AG752" s="18" t="s">
        <v>102</v>
      </c>
      <c r="AH752" s="18" t="s">
        <v>102</v>
      </c>
      <c r="AI752" s="18" t="s">
        <v>102</v>
      </c>
      <c r="AJ752" s="18" t="s">
        <v>102</v>
      </c>
      <c r="AK752" s="18" t="s">
        <v>102</v>
      </c>
      <c r="AL752" s="18" t="s">
        <v>102</v>
      </c>
      <c r="AM752" s="19"/>
      <c r="AN752" s="20" t="s">
        <v>101</v>
      </c>
      <c r="AO752" s="20" t="s">
        <v>103</v>
      </c>
      <c r="AP752" s="109">
        <v>95</v>
      </c>
      <c r="AQ752" s="110" t="s">
        <v>100</v>
      </c>
      <c r="AR752" s="105">
        <v>95</v>
      </c>
    </row>
    <row r="753" spans="1:44" ht="16.5">
      <c r="A753" s="105">
        <v>96</v>
      </c>
      <c r="B753" s="111" t="s">
        <v>101</v>
      </c>
      <c r="C753" s="111">
        <v>86.63</v>
      </c>
      <c r="D753" s="111">
        <v>5</v>
      </c>
      <c r="E753" s="111">
        <v>0</v>
      </c>
      <c r="F753" s="111">
        <v>6.65</v>
      </c>
      <c r="G753" s="111">
        <v>0</v>
      </c>
      <c r="H753" s="111">
        <v>0</v>
      </c>
      <c r="I753" s="111">
        <v>0</v>
      </c>
      <c r="J753" s="111">
        <v>0</v>
      </c>
      <c r="K753" s="111">
        <v>1.62</v>
      </c>
      <c r="L753" s="111">
        <v>0</v>
      </c>
      <c r="M753" s="74" t="str">
        <f t="array" ref="M753">_xlfn.TEXTJOIN("-", TRUE, IF(C753:L753&gt;0, $C$2:$L$2, ""))</f>
        <v xml:space="preserve"> Ti-Al-Mo-Fe</v>
      </c>
      <c r="N753" s="90">
        <f t="shared" si="22"/>
        <v>749</v>
      </c>
      <c r="O753" s="91">
        <f t="shared" si="23"/>
        <v>4</v>
      </c>
      <c r="P753" s="111">
        <v>1</v>
      </c>
      <c r="Q753" s="111">
        <v>2</v>
      </c>
      <c r="R753" s="111">
        <v>830</v>
      </c>
      <c r="S753" s="111">
        <v>0</v>
      </c>
      <c r="T753" s="109">
        <v>780</v>
      </c>
      <c r="U753" s="109">
        <v>1</v>
      </c>
      <c r="V753" s="112">
        <v>2</v>
      </c>
      <c r="W753" s="109">
        <v>560</v>
      </c>
      <c r="X753" s="109">
        <v>6</v>
      </c>
      <c r="Y753" s="113">
        <v>2</v>
      </c>
      <c r="Z753" s="18" t="s">
        <v>102</v>
      </c>
      <c r="AA753" s="18" t="s">
        <v>102</v>
      </c>
      <c r="AB753" s="111">
        <v>1178.0999999999999</v>
      </c>
      <c r="AC753" s="111">
        <v>1145.6300000000001</v>
      </c>
      <c r="AD753" s="111">
        <v>13.6577</v>
      </c>
      <c r="AE753" s="18" t="s">
        <v>101</v>
      </c>
      <c r="AF753" s="18" t="s">
        <v>102</v>
      </c>
      <c r="AG753" s="18" t="s">
        <v>102</v>
      </c>
      <c r="AH753" s="18" t="s">
        <v>102</v>
      </c>
      <c r="AI753" s="18" t="s">
        <v>102</v>
      </c>
      <c r="AJ753" s="18" t="s">
        <v>102</v>
      </c>
      <c r="AK753" s="18" t="s">
        <v>102</v>
      </c>
      <c r="AL753" s="18" t="s">
        <v>102</v>
      </c>
      <c r="AM753" s="19"/>
      <c r="AN753" s="20" t="s">
        <v>101</v>
      </c>
      <c r="AO753" s="20" t="s">
        <v>103</v>
      </c>
      <c r="AP753" s="109">
        <v>96</v>
      </c>
      <c r="AQ753" s="110" t="s">
        <v>100</v>
      </c>
      <c r="AR753" s="105">
        <v>96</v>
      </c>
    </row>
    <row r="754" spans="1:44" ht="16.5">
      <c r="A754" s="105">
        <v>97</v>
      </c>
      <c r="B754" s="111" t="s">
        <v>101</v>
      </c>
      <c r="C754" s="111">
        <v>86.63</v>
      </c>
      <c r="D754" s="111">
        <v>5</v>
      </c>
      <c r="E754" s="111">
        <v>0</v>
      </c>
      <c r="F754" s="111">
        <v>6.65</v>
      </c>
      <c r="G754" s="111">
        <v>0</v>
      </c>
      <c r="H754" s="111">
        <v>0</v>
      </c>
      <c r="I754" s="111">
        <v>0</v>
      </c>
      <c r="J754" s="111">
        <v>0</v>
      </c>
      <c r="K754" s="111">
        <v>1.62</v>
      </c>
      <c r="L754" s="111">
        <v>0</v>
      </c>
      <c r="M754" s="74" t="str">
        <f t="array" ref="M754">_xlfn.TEXTJOIN("-", TRUE, IF(C754:L754&gt;0, $C$2:$L$2, ""))</f>
        <v xml:space="preserve"> Ti-Al-Mo-Fe</v>
      </c>
      <c r="N754" s="90">
        <f t="shared" si="22"/>
        <v>749</v>
      </c>
      <c r="O754" s="91">
        <f t="shared" si="23"/>
        <v>4</v>
      </c>
      <c r="P754" s="111">
        <v>1</v>
      </c>
      <c r="Q754" s="111">
        <v>2</v>
      </c>
      <c r="R754" s="111">
        <v>830</v>
      </c>
      <c r="S754" s="111">
        <v>0</v>
      </c>
      <c r="T754" s="109">
        <v>780</v>
      </c>
      <c r="U754" s="109">
        <v>1</v>
      </c>
      <c r="V754" s="112">
        <v>2</v>
      </c>
      <c r="W754" s="109">
        <v>560</v>
      </c>
      <c r="X754" s="109">
        <v>6</v>
      </c>
      <c r="Y754" s="113">
        <v>2</v>
      </c>
      <c r="Z754" s="18" t="s">
        <v>102</v>
      </c>
      <c r="AA754" s="18" t="s">
        <v>102</v>
      </c>
      <c r="AB754" s="111">
        <v>1188.3</v>
      </c>
      <c r="AC754" s="111">
        <v>1144.26</v>
      </c>
      <c r="AD754" s="111">
        <v>11.9832</v>
      </c>
      <c r="AE754" s="18" t="s">
        <v>101</v>
      </c>
      <c r="AF754" s="18" t="s">
        <v>102</v>
      </c>
      <c r="AG754" s="18" t="s">
        <v>102</v>
      </c>
      <c r="AH754" s="18" t="s">
        <v>102</v>
      </c>
      <c r="AI754" s="18" t="s">
        <v>102</v>
      </c>
      <c r="AJ754" s="18" t="s">
        <v>102</v>
      </c>
      <c r="AK754" s="18" t="s">
        <v>102</v>
      </c>
      <c r="AL754" s="18" t="s">
        <v>102</v>
      </c>
      <c r="AM754" s="19"/>
      <c r="AN754" s="20" t="s">
        <v>101</v>
      </c>
      <c r="AO754" s="20" t="s">
        <v>103</v>
      </c>
      <c r="AP754" s="109">
        <v>97</v>
      </c>
      <c r="AQ754" s="110" t="s">
        <v>100</v>
      </c>
      <c r="AR754" s="105">
        <v>97</v>
      </c>
    </row>
    <row r="755" spans="1:44" ht="16.5">
      <c r="A755" s="105">
        <v>98</v>
      </c>
      <c r="B755" s="111" t="s">
        <v>101</v>
      </c>
      <c r="C755" s="111">
        <v>86.63</v>
      </c>
      <c r="D755" s="111">
        <v>5</v>
      </c>
      <c r="E755" s="111">
        <v>0</v>
      </c>
      <c r="F755" s="111">
        <v>6.65</v>
      </c>
      <c r="G755" s="111">
        <v>0</v>
      </c>
      <c r="H755" s="111">
        <v>0</v>
      </c>
      <c r="I755" s="111">
        <v>0</v>
      </c>
      <c r="J755" s="111">
        <v>0</v>
      </c>
      <c r="K755" s="111">
        <v>1.62</v>
      </c>
      <c r="L755" s="111">
        <v>0</v>
      </c>
      <c r="M755" s="74" t="str">
        <f t="array" ref="M755">_xlfn.TEXTJOIN("-", TRUE, IF(C755:L755&gt;0, $C$2:$L$2, ""))</f>
        <v xml:space="preserve"> Ti-Al-Mo-Fe</v>
      </c>
      <c r="N755" s="90">
        <f t="shared" si="22"/>
        <v>749</v>
      </c>
      <c r="O755" s="91">
        <f t="shared" si="23"/>
        <v>4</v>
      </c>
      <c r="P755" s="111">
        <v>1</v>
      </c>
      <c r="Q755" s="111">
        <v>2</v>
      </c>
      <c r="R755" s="111">
        <v>860</v>
      </c>
      <c r="S755" s="111">
        <v>0</v>
      </c>
      <c r="T755" s="109">
        <v>780</v>
      </c>
      <c r="U755" s="109">
        <v>1</v>
      </c>
      <c r="V755" s="112">
        <v>2</v>
      </c>
      <c r="W755" s="109">
        <v>560</v>
      </c>
      <c r="X755" s="109">
        <v>6</v>
      </c>
      <c r="Y755" s="113">
        <v>2</v>
      </c>
      <c r="Z755" s="18" t="s">
        <v>102</v>
      </c>
      <c r="AA755" s="18" t="s">
        <v>102</v>
      </c>
      <c r="AB755" s="111">
        <v>1172.04</v>
      </c>
      <c r="AC755" s="111">
        <v>1122.4000000000001</v>
      </c>
      <c r="AD755" s="111">
        <v>17.9375</v>
      </c>
      <c r="AE755" s="18" t="s">
        <v>101</v>
      </c>
      <c r="AF755" s="18" t="s">
        <v>102</v>
      </c>
      <c r="AG755" s="18" t="s">
        <v>102</v>
      </c>
      <c r="AH755" s="18" t="s">
        <v>102</v>
      </c>
      <c r="AI755" s="18" t="s">
        <v>102</v>
      </c>
      <c r="AJ755" s="18" t="s">
        <v>102</v>
      </c>
      <c r="AK755" s="18" t="s">
        <v>102</v>
      </c>
      <c r="AL755" s="18" t="s">
        <v>102</v>
      </c>
      <c r="AM755" s="19"/>
      <c r="AN755" s="20" t="s">
        <v>101</v>
      </c>
      <c r="AO755" s="20" t="s">
        <v>103</v>
      </c>
      <c r="AP755" s="109">
        <v>98</v>
      </c>
      <c r="AQ755" s="110" t="s">
        <v>100</v>
      </c>
      <c r="AR755" s="105">
        <v>98</v>
      </c>
    </row>
    <row r="756" spans="1:44" ht="16.5">
      <c r="A756" s="105">
        <v>99</v>
      </c>
      <c r="B756" s="111" t="s">
        <v>101</v>
      </c>
      <c r="C756" s="111">
        <v>86.63</v>
      </c>
      <c r="D756" s="111">
        <v>5</v>
      </c>
      <c r="E756" s="111">
        <v>0</v>
      </c>
      <c r="F756" s="111">
        <v>6.65</v>
      </c>
      <c r="G756" s="111">
        <v>0</v>
      </c>
      <c r="H756" s="111">
        <v>0</v>
      </c>
      <c r="I756" s="111">
        <v>0</v>
      </c>
      <c r="J756" s="111">
        <v>0</v>
      </c>
      <c r="K756" s="111">
        <v>1.62</v>
      </c>
      <c r="L756" s="111">
        <v>0</v>
      </c>
      <c r="M756" s="74" t="str">
        <f t="array" ref="M756">_xlfn.TEXTJOIN("-", TRUE, IF(C756:L756&gt;0, $C$2:$L$2, ""))</f>
        <v xml:space="preserve"> Ti-Al-Mo-Fe</v>
      </c>
      <c r="N756" s="90">
        <f t="shared" si="22"/>
        <v>749</v>
      </c>
      <c r="O756" s="91">
        <f t="shared" si="23"/>
        <v>4</v>
      </c>
      <c r="P756" s="111">
        <v>1</v>
      </c>
      <c r="Q756" s="111">
        <v>2</v>
      </c>
      <c r="R756" s="111">
        <v>860</v>
      </c>
      <c r="S756" s="111">
        <v>0</v>
      </c>
      <c r="T756" s="109">
        <v>780</v>
      </c>
      <c r="U756" s="109">
        <v>1</v>
      </c>
      <c r="V756" s="112">
        <v>2</v>
      </c>
      <c r="W756" s="109">
        <v>560</v>
      </c>
      <c r="X756" s="109">
        <v>6</v>
      </c>
      <c r="Y756" s="113">
        <v>2</v>
      </c>
      <c r="Z756" s="18" t="s">
        <v>102</v>
      </c>
      <c r="AA756" s="18" t="s">
        <v>102</v>
      </c>
      <c r="AB756" s="111">
        <v>1173.96</v>
      </c>
      <c r="AC756" s="111">
        <v>1136.07</v>
      </c>
      <c r="AD756" s="111">
        <v>15.394299999999999</v>
      </c>
      <c r="AE756" s="18" t="s">
        <v>101</v>
      </c>
      <c r="AF756" s="18" t="s">
        <v>102</v>
      </c>
      <c r="AG756" s="18" t="s">
        <v>102</v>
      </c>
      <c r="AH756" s="18" t="s">
        <v>102</v>
      </c>
      <c r="AI756" s="18" t="s">
        <v>102</v>
      </c>
      <c r="AJ756" s="18" t="s">
        <v>102</v>
      </c>
      <c r="AK756" s="18" t="s">
        <v>102</v>
      </c>
      <c r="AL756" s="18" t="s">
        <v>102</v>
      </c>
      <c r="AM756" s="19"/>
      <c r="AN756" s="20" t="s">
        <v>101</v>
      </c>
      <c r="AO756" s="20" t="s">
        <v>103</v>
      </c>
      <c r="AP756" s="109">
        <v>99</v>
      </c>
      <c r="AQ756" s="110" t="s">
        <v>100</v>
      </c>
      <c r="AR756" s="105">
        <v>99</v>
      </c>
    </row>
    <row r="757" spans="1:44" ht="16.5">
      <c r="A757" s="105">
        <v>100</v>
      </c>
      <c r="B757" s="111" t="s">
        <v>101</v>
      </c>
      <c r="C757" s="111">
        <v>86.63</v>
      </c>
      <c r="D757" s="111">
        <v>5</v>
      </c>
      <c r="E757" s="111">
        <v>0</v>
      </c>
      <c r="F757" s="111">
        <v>6.65</v>
      </c>
      <c r="G757" s="111">
        <v>0</v>
      </c>
      <c r="H757" s="111">
        <v>0</v>
      </c>
      <c r="I757" s="111">
        <v>0</v>
      </c>
      <c r="J757" s="111">
        <v>0</v>
      </c>
      <c r="K757" s="111">
        <v>1.62</v>
      </c>
      <c r="L757" s="111">
        <v>0</v>
      </c>
      <c r="M757" s="74" t="str">
        <f t="array" ref="M757">_xlfn.TEXTJOIN("-", TRUE, IF(C757:L757&gt;0, $C$2:$L$2, ""))</f>
        <v xml:space="preserve"> Ti-Al-Mo-Fe</v>
      </c>
      <c r="N757" s="90">
        <f t="shared" si="22"/>
        <v>749</v>
      </c>
      <c r="O757" s="91">
        <f t="shared" si="23"/>
        <v>4</v>
      </c>
      <c r="P757" s="111">
        <v>1</v>
      </c>
      <c r="Q757" s="111">
        <v>2</v>
      </c>
      <c r="R757" s="111">
        <v>860</v>
      </c>
      <c r="S757" s="111">
        <v>0</v>
      </c>
      <c r="T757" s="109">
        <v>780</v>
      </c>
      <c r="U757" s="109">
        <v>1</v>
      </c>
      <c r="V757" s="112">
        <v>2</v>
      </c>
      <c r="W757" s="109">
        <v>560</v>
      </c>
      <c r="X757" s="109">
        <v>6</v>
      </c>
      <c r="Y757" s="113">
        <v>2</v>
      </c>
      <c r="Z757" s="18" t="s">
        <v>102</v>
      </c>
      <c r="AA757" s="18" t="s">
        <v>102</v>
      </c>
      <c r="AB757" s="111">
        <v>1173.1400000000001</v>
      </c>
      <c r="AC757" s="111">
        <v>1133.33</v>
      </c>
      <c r="AD757" s="111">
        <v>12.5359</v>
      </c>
      <c r="AE757" s="18" t="s">
        <v>101</v>
      </c>
      <c r="AF757" s="18" t="s">
        <v>102</v>
      </c>
      <c r="AG757" s="18" t="s">
        <v>102</v>
      </c>
      <c r="AH757" s="18" t="s">
        <v>102</v>
      </c>
      <c r="AI757" s="18" t="s">
        <v>102</v>
      </c>
      <c r="AJ757" s="18" t="s">
        <v>102</v>
      </c>
      <c r="AK757" s="18" t="s">
        <v>102</v>
      </c>
      <c r="AL757" s="18" t="s">
        <v>102</v>
      </c>
      <c r="AM757" s="19"/>
      <c r="AN757" s="20" t="s">
        <v>101</v>
      </c>
      <c r="AO757" s="20" t="s">
        <v>103</v>
      </c>
      <c r="AP757" s="109">
        <v>100</v>
      </c>
      <c r="AQ757" s="110" t="s">
        <v>100</v>
      </c>
      <c r="AR757" s="105">
        <v>100</v>
      </c>
    </row>
    <row r="758" spans="1:44" ht="16.5">
      <c r="A758" s="105">
        <v>101</v>
      </c>
      <c r="B758" s="111" t="s">
        <v>101</v>
      </c>
      <c r="C758" s="111">
        <v>86.63</v>
      </c>
      <c r="D758" s="111">
        <v>5</v>
      </c>
      <c r="E758" s="111">
        <v>0</v>
      </c>
      <c r="F758" s="111">
        <v>6.65</v>
      </c>
      <c r="G758" s="111">
        <v>0</v>
      </c>
      <c r="H758" s="111">
        <v>0</v>
      </c>
      <c r="I758" s="111">
        <v>0</v>
      </c>
      <c r="J758" s="111">
        <v>0</v>
      </c>
      <c r="K758" s="111">
        <v>1.62</v>
      </c>
      <c r="L758" s="111">
        <v>0</v>
      </c>
      <c r="M758" s="74" t="str">
        <f t="array" ref="M758">_xlfn.TEXTJOIN("-", TRUE, IF(C758:L758&gt;0, $C$2:$L$2, ""))</f>
        <v xml:space="preserve"> Ti-Al-Mo-Fe</v>
      </c>
      <c r="N758" s="90">
        <f t="shared" si="22"/>
        <v>749</v>
      </c>
      <c r="O758" s="91">
        <f t="shared" si="23"/>
        <v>4</v>
      </c>
      <c r="P758" s="111">
        <v>1</v>
      </c>
      <c r="Q758" s="111">
        <v>2</v>
      </c>
      <c r="R758" s="111">
        <v>890</v>
      </c>
      <c r="S758" s="111">
        <v>0</v>
      </c>
      <c r="T758" s="109">
        <v>780</v>
      </c>
      <c r="U758" s="109">
        <v>1</v>
      </c>
      <c r="V758" s="112">
        <v>2</v>
      </c>
      <c r="W758" s="109">
        <v>560</v>
      </c>
      <c r="X758" s="109">
        <v>6</v>
      </c>
      <c r="Y758" s="113">
        <v>2</v>
      </c>
      <c r="Z758" s="18" t="s">
        <v>102</v>
      </c>
      <c r="AA758" s="18" t="s">
        <v>102</v>
      </c>
      <c r="AB758" s="111">
        <v>1161.02</v>
      </c>
      <c r="AC758" s="111">
        <v>1114.21</v>
      </c>
      <c r="AD758" s="111">
        <v>17.0685</v>
      </c>
      <c r="AE758" s="18" t="s">
        <v>101</v>
      </c>
      <c r="AF758" s="18" t="s">
        <v>102</v>
      </c>
      <c r="AG758" s="18" t="s">
        <v>102</v>
      </c>
      <c r="AH758" s="18" t="s">
        <v>102</v>
      </c>
      <c r="AI758" s="18" t="s">
        <v>102</v>
      </c>
      <c r="AJ758" s="18" t="s">
        <v>102</v>
      </c>
      <c r="AK758" s="18" t="s">
        <v>102</v>
      </c>
      <c r="AL758" s="18" t="s">
        <v>102</v>
      </c>
      <c r="AM758" s="19"/>
      <c r="AN758" s="20" t="s">
        <v>101</v>
      </c>
      <c r="AO758" s="20" t="s">
        <v>103</v>
      </c>
      <c r="AP758" s="109">
        <v>101</v>
      </c>
      <c r="AQ758" s="110" t="s">
        <v>100</v>
      </c>
      <c r="AR758" s="105">
        <v>101</v>
      </c>
    </row>
    <row r="759" spans="1:44" ht="16.5">
      <c r="A759" s="105">
        <v>102</v>
      </c>
      <c r="B759" s="111" t="s">
        <v>101</v>
      </c>
      <c r="C759" s="111">
        <v>86.63</v>
      </c>
      <c r="D759" s="111">
        <v>5</v>
      </c>
      <c r="E759" s="111">
        <v>0</v>
      </c>
      <c r="F759" s="111">
        <v>6.65</v>
      </c>
      <c r="G759" s="111">
        <v>0</v>
      </c>
      <c r="H759" s="111">
        <v>0</v>
      </c>
      <c r="I759" s="111">
        <v>0</v>
      </c>
      <c r="J759" s="111">
        <v>0</v>
      </c>
      <c r="K759" s="111">
        <v>1.62</v>
      </c>
      <c r="L759" s="111">
        <v>0</v>
      </c>
      <c r="M759" s="74" t="str">
        <f t="array" ref="M759">_xlfn.TEXTJOIN("-", TRUE, IF(C759:L759&gt;0, $C$2:$L$2, ""))</f>
        <v xml:space="preserve"> Ti-Al-Mo-Fe</v>
      </c>
      <c r="N759" s="90">
        <f t="shared" si="22"/>
        <v>749</v>
      </c>
      <c r="O759" s="91">
        <f t="shared" si="23"/>
        <v>4</v>
      </c>
      <c r="P759" s="111">
        <v>1</v>
      </c>
      <c r="Q759" s="111">
        <v>2</v>
      </c>
      <c r="R759" s="111">
        <v>890</v>
      </c>
      <c r="S759" s="111">
        <v>0</v>
      </c>
      <c r="T759" s="109">
        <v>780</v>
      </c>
      <c r="U759" s="109">
        <v>1</v>
      </c>
      <c r="V759" s="112">
        <v>2</v>
      </c>
      <c r="W759" s="109">
        <v>560</v>
      </c>
      <c r="X759" s="109">
        <v>6</v>
      </c>
      <c r="Y759" s="113">
        <v>2</v>
      </c>
      <c r="Z759" s="18" t="s">
        <v>102</v>
      </c>
      <c r="AA759" s="18" t="s">
        <v>102</v>
      </c>
      <c r="AB759" s="111">
        <v>1162.6400000000001</v>
      </c>
      <c r="AC759" s="111">
        <v>1125.1400000000001</v>
      </c>
      <c r="AD759" s="111">
        <v>10.420500000000001</v>
      </c>
      <c r="AE759" s="18" t="s">
        <v>101</v>
      </c>
      <c r="AF759" s="18" t="s">
        <v>102</v>
      </c>
      <c r="AG759" s="18" t="s">
        <v>102</v>
      </c>
      <c r="AH759" s="18" t="s">
        <v>102</v>
      </c>
      <c r="AI759" s="18" t="s">
        <v>102</v>
      </c>
      <c r="AJ759" s="18" t="s">
        <v>102</v>
      </c>
      <c r="AK759" s="18" t="s">
        <v>102</v>
      </c>
      <c r="AL759" s="18" t="s">
        <v>102</v>
      </c>
      <c r="AM759" s="19"/>
      <c r="AN759" s="20" t="s">
        <v>101</v>
      </c>
      <c r="AO759" s="20" t="s">
        <v>103</v>
      </c>
      <c r="AP759" s="109">
        <v>102</v>
      </c>
      <c r="AQ759" s="110" t="s">
        <v>100</v>
      </c>
      <c r="AR759" s="105">
        <v>102</v>
      </c>
    </row>
    <row r="760" spans="1:44" ht="16.5">
      <c r="A760" s="105">
        <v>103</v>
      </c>
      <c r="B760" s="111" t="s">
        <v>101</v>
      </c>
      <c r="C760" s="111">
        <v>86.63</v>
      </c>
      <c r="D760" s="111">
        <v>5</v>
      </c>
      <c r="E760" s="111">
        <v>0</v>
      </c>
      <c r="F760" s="111">
        <v>6.65</v>
      </c>
      <c r="G760" s="111">
        <v>0</v>
      </c>
      <c r="H760" s="111">
        <v>0</v>
      </c>
      <c r="I760" s="111">
        <v>0</v>
      </c>
      <c r="J760" s="111">
        <v>0</v>
      </c>
      <c r="K760" s="111">
        <v>1.62</v>
      </c>
      <c r="L760" s="111">
        <v>0</v>
      </c>
      <c r="M760" s="74" t="str">
        <f t="array" ref="M760">_xlfn.TEXTJOIN("-", TRUE, IF(C760:L760&gt;0, $C$2:$L$2, ""))</f>
        <v xml:space="preserve"> Ti-Al-Mo-Fe</v>
      </c>
      <c r="N760" s="90">
        <f t="shared" si="22"/>
        <v>749</v>
      </c>
      <c r="O760" s="91">
        <f t="shared" si="23"/>
        <v>4</v>
      </c>
      <c r="P760" s="111">
        <v>1</v>
      </c>
      <c r="Q760" s="111">
        <v>2</v>
      </c>
      <c r="R760" s="111">
        <v>890</v>
      </c>
      <c r="S760" s="111">
        <v>0</v>
      </c>
      <c r="T760" s="109">
        <v>780</v>
      </c>
      <c r="U760" s="109">
        <v>1</v>
      </c>
      <c r="V760" s="112">
        <v>2</v>
      </c>
      <c r="W760" s="109">
        <v>560</v>
      </c>
      <c r="X760" s="109">
        <v>6</v>
      </c>
      <c r="Y760" s="113">
        <v>2</v>
      </c>
      <c r="Z760" s="18" t="s">
        <v>102</v>
      </c>
      <c r="AA760" s="18" t="s">
        <v>102</v>
      </c>
      <c r="AB760" s="111">
        <v>1153.3</v>
      </c>
      <c r="AC760" s="111">
        <v>1108.74</v>
      </c>
      <c r="AD760" s="111">
        <v>14.746700000000001</v>
      </c>
      <c r="AE760" s="18" t="s">
        <v>101</v>
      </c>
      <c r="AF760" s="18" t="s">
        <v>102</v>
      </c>
      <c r="AG760" s="18" t="s">
        <v>102</v>
      </c>
      <c r="AH760" s="18" t="s">
        <v>102</v>
      </c>
      <c r="AI760" s="18" t="s">
        <v>102</v>
      </c>
      <c r="AJ760" s="18" t="s">
        <v>102</v>
      </c>
      <c r="AK760" s="18" t="s">
        <v>102</v>
      </c>
      <c r="AL760" s="18" t="s">
        <v>102</v>
      </c>
      <c r="AM760" s="19"/>
      <c r="AN760" s="20" t="s">
        <v>101</v>
      </c>
      <c r="AO760" s="20" t="s">
        <v>103</v>
      </c>
      <c r="AP760" s="109">
        <v>103</v>
      </c>
      <c r="AQ760" s="110" t="s">
        <v>100</v>
      </c>
      <c r="AR760" s="105">
        <v>103</v>
      </c>
    </row>
    <row r="761" spans="1:44" ht="16.5">
      <c r="A761" s="105">
        <v>104</v>
      </c>
      <c r="B761" s="111" t="s">
        <v>101</v>
      </c>
      <c r="C761" s="111">
        <v>86.63</v>
      </c>
      <c r="D761" s="111">
        <v>5</v>
      </c>
      <c r="E761" s="111">
        <v>0</v>
      </c>
      <c r="F761" s="111">
        <v>6.65</v>
      </c>
      <c r="G761" s="111">
        <v>0</v>
      </c>
      <c r="H761" s="111">
        <v>0</v>
      </c>
      <c r="I761" s="111">
        <v>0</v>
      </c>
      <c r="J761" s="111">
        <v>0</v>
      </c>
      <c r="K761" s="111">
        <v>1.62</v>
      </c>
      <c r="L761" s="111">
        <v>0</v>
      </c>
      <c r="M761" s="74" t="str">
        <f t="array" ref="M761">_xlfn.TEXTJOIN("-", TRUE, IF(C761:L761&gt;0, $C$2:$L$2, ""))</f>
        <v xml:space="preserve"> Ti-Al-Mo-Fe</v>
      </c>
      <c r="N761" s="90">
        <f t="shared" si="22"/>
        <v>749</v>
      </c>
      <c r="O761" s="91">
        <f t="shared" si="23"/>
        <v>4</v>
      </c>
      <c r="P761" s="111">
        <v>1</v>
      </c>
      <c r="Q761" s="111">
        <v>2</v>
      </c>
      <c r="R761" s="111">
        <v>920</v>
      </c>
      <c r="S761" s="111">
        <v>0</v>
      </c>
      <c r="T761" s="109">
        <v>780</v>
      </c>
      <c r="U761" s="109">
        <v>1</v>
      </c>
      <c r="V761" s="112">
        <v>2</v>
      </c>
      <c r="W761" s="109">
        <v>560</v>
      </c>
      <c r="X761" s="109">
        <v>6</v>
      </c>
      <c r="Y761" s="113">
        <v>2</v>
      </c>
      <c r="Z761" s="18" t="s">
        <v>102</v>
      </c>
      <c r="AA761" s="18" t="s">
        <v>102</v>
      </c>
      <c r="AB761" s="111">
        <v>1130.72</v>
      </c>
      <c r="AC761" s="111">
        <v>1062.3</v>
      </c>
      <c r="AD761" s="111">
        <v>13.8316</v>
      </c>
      <c r="AE761" s="18" t="s">
        <v>101</v>
      </c>
      <c r="AF761" s="18" t="s">
        <v>102</v>
      </c>
      <c r="AG761" s="18" t="s">
        <v>102</v>
      </c>
      <c r="AH761" s="18" t="s">
        <v>102</v>
      </c>
      <c r="AI761" s="18" t="s">
        <v>102</v>
      </c>
      <c r="AJ761" s="18" t="s">
        <v>102</v>
      </c>
      <c r="AK761" s="18" t="s">
        <v>102</v>
      </c>
      <c r="AL761" s="18" t="s">
        <v>102</v>
      </c>
      <c r="AM761" s="19"/>
      <c r="AN761" s="20" t="s">
        <v>101</v>
      </c>
      <c r="AO761" s="20" t="s">
        <v>103</v>
      </c>
      <c r="AP761" s="109">
        <v>104</v>
      </c>
      <c r="AQ761" s="110" t="s">
        <v>100</v>
      </c>
      <c r="AR761" s="105">
        <v>104</v>
      </c>
    </row>
    <row r="762" spans="1:44" ht="16.5">
      <c r="A762" s="105">
        <v>105</v>
      </c>
      <c r="B762" s="111" t="s">
        <v>101</v>
      </c>
      <c r="C762" s="111">
        <v>86.63</v>
      </c>
      <c r="D762" s="111">
        <v>5</v>
      </c>
      <c r="E762" s="111">
        <v>0</v>
      </c>
      <c r="F762" s="111">
        <v>6.65</v>
      </c>
      <c r="G762" s="111">
        <v>0</v>
      </c>
      <c r="H762" s="111">
        <v>0</v>
      </c>
      <c r="I762" s="111">
        <v>0</v>
      </c>
      <c r="J762" s="111">
        <v>0</v>
      </c>
      <c r="K762" s="111">
        <v>1.62</v>
      </c>
      <c r="L762" s="111">
        <v>0</v>
      </c>
      <c r="M762" s="74" t="str">
        <f t="array" ref="M762">_xlfn.TEXTJOIN("-", TRUE, IF(C762:L762&gt;0, $C$2:$L$2, ""))</f>
        <v xml:space="preserve"> Ti-Al-Mo-Fe</v>
      </c>
      <c r="N762" s="90">
        <f t="shared" si="22"/>
        <v>749</v>
      </c>
      <c r="O762" s="91">
        <f t="shared" si="23"/>
        <v>4</v>
      </c>
      <c r="P762" s="111">
        <v>1</v>
      </c>
      <c r="Q762" s="111">
        <v>2</v>
      </c>
      <c r="R762" s="111">
        <v>920</v>
      </c>
      <c r="S762" s="111">
        <v>0</v>
      </c>
      <c r="T762" s="109">
        <v>780</v>
      </c>
      <c r="U762" s="109">
        <v>1</v>
      </c>
      <c r="V762" s="112">
        <v>2</v>
      </c>
      <c r="W762" s="109">
        <v>560</v>
      </c>
      <c r="X762" s="109">
        <v>6</v>
      </c>
      <c r="Y762" s="113">
        <v>2</v>
      </c>
      <c r="Z762" s="18" t="s">
        <v>102</v>
      </c>
      <c r="AA762" s="18" t="s">
        <v>102</v>
      </c>
      <c r="AB762" s="111">
        <v>1172.5899999999999</v>
      </c>
      <c r="AC762" s="111">
        <v>1103.1600000000001</v>
      </c>
      <c r="AD762" s="111">
        <v>9.5527300000000004</v>
      </c>
      <c r="AE762" s="18" t="s">
        <v>101</v>
      </c>
      <c r="AF762" s="18" t="s">
        <v>102</v>
      </c>
      <c r="AG762" s="18" t="s">
        <v>102</v>
      </c>
      <c r="AH762" s="18" t="s">
        <v>102</v>
      </c>
      <c r="AI762" s="18" t="s">
        <v>102</v>
      </c>
      <c r="AJ762" s="18" t="s">
        <v>102</v>
      </c>
      <c r="AK762" s="18" t="s">
        <v>102</v>
      </c>
      <c r="AL762" s="18" t="s">
        <v>102</v>
      </c>
      <c r="AM762" s="19"/>
      <c r="AN762" s="20" t="s">
        <v>101</v>
      </c>
      <c r="AO762" s="20" t="s">
        <v>103</v>
      </c>
      <c r="AP762" s="109">
        <v>105</v>
      </c>
      <c r="AQ762" s="110" t="s">
        <v>100</v>
      </c>
      <c r="AR762" s="105">
        <v>105</v>
      </c>
    </row>
    <row r="763" spans="1:44" ht="16.5">
      <c r="A763" s="105">
        <v>106</v>
      </c>
      <c r="B763" s="111" t="s">
        <v>101</v>
      </c>
      <c r="C763" s="111">
        <v>86.63</v>
      </c>
      <c r="D763" s="111">
        <v>5</v>
      </c>
      <c r="E763" s="111">
        <v>0</v>
      </c>
      <c r="F763" s="111">
        <v>6.65</v>
      </c>
      <c r="G763" s="111">
        <v>0</v>
      </c>
      <c r="H763" s="111">
        <v>0</v>
      </c>
      <c r="I763" s="111">
        <v>0</v>
      </c>
      <c r="J763" s="111">
        <v>0</v>
      </c>
      <c r="K763" s="111">
        <v>1.62</v>
      </c>
      <c r="L763" s="111">
        <v>0</v>
      </c>
      <c r="M763" s="74" t="str">
        <f t="array" ref="M763">_xlfn.TEXTJOIN("-", TRUE, IF(C763:L763&gt;0, $C$2:$L$2, ""))</f>
        <v xml:space="preserve"> Ti-Al-Mo-Fe</v>
      </c>
      <c r="N763" s="90">
        <f t="shared" si="22"/>
        <v>749</v>
      </c>
      <c r="O763" s="91">
        <f t="shared" si="23"/>
        <v>4</v>
      </c>
      <c r="P763" s="111">
        <v>1</v>
      </c>
      <c r="Q763" s="111">
        <v>2</v>
      </c>
      <c r="R763" s="111">
        <v>920</v>
      </c>
      <c r="S763" s="111">
        <v>0</v>
      </c>
      <c r="T763" s="109">
        <v>780</v>
      </c>
      <c r="U763" s="109">
        <v>1</v>
      </c>
      <c r="V763" s="112">
        <v>2</v>
      </c>
      <c r="W763" s="109">
        <v>560</v>
      </c>
      <c r="X763" s="109">
        <v>6</v>
      </c>
      <c r="Y763" s="113">
        <v>2</v>
      </c>
      <c r="Z763" s="18" t="s">
        <v>102</v>
      </c>
      <c r="AA763" s="18" t="s">
        <v>102</v>
      </c>
      <c r="AB763" s="111">
        <v>1167.6300000000001</v>
      </c>
      <c r="AC763" s="111">
        <v>1086.96</v>
      </c>
      <c r="AD763" s="111">
        <v>10.009499999999999</v>
      </c>
      <c r="AE763" s="18" t="s">
        <v>101</v>
      </c>
      <c r="AF763" s="18" t="s">
        <v>102</v>
      </c>
      <c r="AG763" s="18" t="s">
        <v>102</v>
      </c>
      <c r="AH763" s="18" t="s">
        <v>102</v>
      </c>
      <c r="AI763" s="18" t="s">
        <v>102</v>
      </c>
      <c r="AJ763" s="18" t="s">
        <v>102</v>
      </c>
      <c r="AK763" s="18" t="s">
        <v>102</v>
      </c>
      <c r="AL763" s="18" t="s">
        <v>102</v>
      </c>
      <c r="AM763" s="19"/>
      <c r="AN763" s="20" t="s">
        <v>101</v>
      </c>
      <c r="AO763" s="20" t="s">
        <v>103</v>
      </c>
      <c r="AP763" s="109">
        <v>106</v>
      </c>
      <c r="AQ763" s="110" t="s">
        <v>100</v>
      </c>
      <c r="AR763" s="105">
        <v>106</v>
      </c>
    </row>
    <row r="764" spans="1:44" ht="16.5">
      <c r="A764" s="105">
        <v>107</v>
      </c>
      <c r="B764" s="111" t="s">
        <v>101</v>
      </c>
      <c r="C764" s="111">
        <v>86.63</v>
      </c>
      <c r="D764" s="111">
        <v>5</v>
      </c>
      <c r="E764" s="111">
        <v>0</v>
      </c>
      <c r="F764" s="111">
        <v>6.65</v>
      </c>
      <c r="G764" s="111">
        <v>0</v>
      </c>
      <c r="H764" s="111">
        <v>0</v>
      </c>
      <c r="I764" s="111">
        <v>0</v>
      </c>
      <c r="J764" s="111">
        <v>0</v>
      </c>
      <c r="K764" s="111">
        <v>1.62</v>
      </c>
      <c r="L764" s="111">
        <v>0</v>
      </c>
      <c r="M764" s="74" t="str">
        <f t="array" ref="M764">_xlfn.TEXTJOIN("-", TRUE, IF(C764:L764&gt;0, $C$2:$L$2, ""))</f>
        <v xml:space="preserve"> Ti-Al-Mo-Fe</v>
      </c>
      <c r="N764" s="90">
        <f t="shared" si="22"/>
        <v>749</v>
      </c>
      <c r="O764" s="91">
        <f t="shared" si="23"/>
        <v>4</v>
      </c>
      <c r="P764" s="111">
        <v>1</v>
      </c>
      <c r="Q764" s="111">
        <v>2</v>
      </c>
      <c r="R764" s="111">
        <v>950</v>
      </c>
      <c r="S764" s="111">
        <v>0</v>
      </c>
      <c r="T764" s="109">
        <v>780</v>
      </c>
      <c r="U764" s="109">
        <v>1</v>
      </c>
      <c r="V764" s="112">
        <v>2</v>
      </c>
      <c r="W764" s="109">
        <v>560</v>
      </c>
      <c r="X764" s="109">
        <v>6</v>
      </c>
      <c r="Y764" s="113">
        <v>2</v>
      </c>
      <c r="Z764" s="18" t="s">
        <v>102</v>
      </c>
      <c r="AA764" s="18" t="s">
        <v>102</v>
      </c>
      <c r="AB764" s="111">
        <v>1147.24</v>
      </c>
      <c r="AC764" s="111">
        <v>1090.98</v>
      </c>
      <c r="AD764" s="111">
        <v>12.0158</v>
      </c>
      <c r="AE764" s="18" t="s">
        <v>101</v>
      </c>
      <c r="AF764" s="18" t="s">
        <v>102</v>
      </c>
      <c r="AG764" s="18" t="s">
        <v>102</v>
      </c>
      <c r="AH764" s="18" t="s">
        <v>102</v>
      </c>
      <c r="AI764" s="18" t="s">
        <v>102</v>
      </c>
      <c r="AJ764" s="18" t="s">
        <v>102</v>
      </c>
      <c r="AK764" s="18" t="s">
        <v>102</v>
      </c>
      <c r="AL764" s="18" t="s">
        <v>102</v>
      </c>
      <c r="AM764" s="19"/>
      <c r="AN764" s="20" t="s">
        <v>101</v>
      </c>
      <c r="AO764" s="20" t="s">
        <v>103</v>
      </c>
      <c r="AP764" s="109">
        <v>107</v>
      </c>
      <c r="AQ764" s="110" t="s">
        <v>100</v>
      </c>
      <c r="AR764" s="105">
        <v>107</v>
      </c>
    </row>
    <row r="765" spans="1:44" ht="16.5">
      <c r="A765" s="105">
        <v>108</v>
      </c>
      <c r="B765" s="111" t="s">
        <v>101</v>
      </c>
      <c r="C765" s="111">
        <v>86.63</v>
      </c>
      <c r="D765" s="111">
        <v>5</v>
      </c>
      <c r="E765" s="111">
        <v>0</v>
      </c>
      <c r="F765" s="111">
        <v>6.65</v>
      </c>
      <c r="G765" s="111">
        <v>0</v>
      </c>
      <c r="H765" s="111">
        <v>0</v>
      </c>
      <c r="I765" s="111">
        <v>0</v>
      </c>
      <c r="J765" s="111">
        <v>0</v>
      </c>
      <c r="K765" s="111">
        <v>1.62</v>
      </c>
      <c r="L765" s="111">
        <v>0</v>
      </c>
      <c r="M765" s="74" t="str">
        <f t="array" ref="M765">_xlfn.TEXTJOIN("-", TRUE, IF(C765:L765&gt;0, $C$2:$L$2, ""))</f>
        <v xml:space="preserve"> Ti-Al-Mo-Fe</v>
      </c>
      <c r="N765" s="90">
        <f t="shared" si="22"/>
        <v>749</v>
      </c>
      <c r="O765" s="91">
        <f t="shared" si="23"/>
        <v>4</v>
      </c>
      <c r="P765" s="111">
        <v>1</v>
      </c>
      <c r="Q765" s="111">
        <v>2</v>
      </c>
      <c r="R765" s="111">
        <v>950</v>
      </c>
      <c r="S765" s="111">
        <v>0</v>
      </c>
      <c r="T765" s="109">
        <v>780</v>
      </c>
      <c r="U765" s="109">
        <v>1</v>
      </c>
      <c r="V765" s="112">
        <v>2</v>
      </c>
      <c r="W765" s="109">
        <v>560</v>
      </c>
      <c r="X765" s="109">
        <v>6</v>
      </c>
      <c r="Y765" s="113">
        <v>2</v>
      </c>
      <c r="Z765" s="18" t="s">
        <v>102</v>
      </c>
      <c r="AA765" s="18" t="s">
        <v>102</v>
      </c>
      <c r="AB765" s="111">
        <v>1186.3699999999999</v>
      </c>
      <c r="AC765" s="111">
        <v>1126.51</v>
      </c>
      <c r="AD765" s="111">
        <v>12.077500000000001</v>
      </c>
      <c r="AE765" s="18" t="s">
        <v>101</v>
      </c>
      <c r="AF765" s="18" t="s">
        <v>102</v>
      </c>
      <c r="AG765" s="18" t="s">
        <v>102</v>
      </c>
      <c r="AH765" s="18" t="s">
        <v>102</v>
      </c>
      <c r="AI765" s="18" t="s">
        <v>102</v>
      </c>
      <c r="AJ765" s="18" t="s">
        <v>102</v>
      </c>
      <c r="AK765" s="18" t="s">
        <v>102</v>
      </c>
      <c r="AL765" s="18" t="s">
        <v>102</v>
      </c>
      <c r="AM765" s="19"/>
      <c r="AN765" s="20" t="s">
        <v>101</v>
      </c>
      <c r="AO765" s="20" t="s">
        <v>103</v>
      </c>
      <c r="AP765" s="109">
        <v>108</v>
      </c>
      <c r="AQ765" s="110" t="s">
        <v>100</v>
      </c>
      <c r="AR765" s="105">
        <v>108</v>
      </c>
    </row>
    <row r="766" spans="1:44" ht="16.5">
      <c r="A766" s="105">
        <v>109</v>
      </c>
      <c r="B766" s="111" t="s">
        <v>101</v>
      </c>
      <c r="C766" s="111">
        <v>86.63</v>
      </c>
      <c r="D766" s="111">
        <v>5</v>
      </c>
      <c r="E766" s="111">
        <v>0</v>
      </c>
      <c r="F766" s="111">
        <v>6.65</v>
      </c>
      <c r="G766" s="111">
        <v>0</v>
      </c>
      <c r="H766" s="111">
        <v>0</v>
      </c>
      <c r="I766" s="111">
        <v>0</v>
      </c>
      <c r="J766" s="111">
        <v>0</v>
      </c>
      <c r="K766" s="111">
        <v>1.62</v>
      </c>
      <c r="L766" s="111">
        <v>0</v>
      </c>
      <c r="M766" s="74" t="str">
        <f t="array" ref="M766">_xlfn.TEXTJOIN("-", TRUE, IF(C766:L766&gt;0, $C$2:$L$2, ""))</f>
        <v xml:space="preserve"> Ti-Al-Mo-Fe</v>
      </c>
      <c r="N766" s="90">
        <f t="shared" si="22"/>
        <v>749</v>
      </c>
      <c r="O766" s="91">
        <f t="shared" si="23"/>
        <v>4</v>
      </c>
      <c r="P766" s="111">
        <v>1</v>
      </c>
      <c r="Q766" s="111">
        <v>0</v>
      </c>
      <c r="R766" s="114">
        <v>950</v>
      </c>
      <c r="S766" s="111">
        <v>0</v>
      </c>
      <c r="T766" s="109">
        <v>780</v>
      </c>
      <c r="U766" s="109">
        <v>1</v>
      </c>
      <c r="V766" s="112">
        <v>2</v>
      </c>
      <c r="W766" s="109">
        <v>560</v>
      </c>
      <c r="X766" s="109">
        <v>6</v>
      </c>
      <c r="Y766" s="113">
        <v>2</v>
      </c>
      <c r="Z766" s="18" t="s">
        <v>102</v>
      </c>
      <c r="AA766" s="18" t="s">
        <v>102</v>
      </c>
      <c r="AB766" s="111">
        <v>1188.29</v>
      </c>
      <c r="AC766" s="111">
        <v>1129.55</v>
      </c>
      <c r="AD766" s="111">
        <v>12.140499999999999</v>
      </c>
      <c r="AE766" s="18" t="s">
        <v>101</v>
      </c>
      <c r="AF766" s="18" t="s">
        <v>102</v>
      </c>
      <c r="AG766" s="18" t="s">
        <v>102</v>
      </c>
      <c r="AH766" s="18" t="s">
        <v>102</v>
      </c>
      <c r="AI766" s="18" t="s">
        <v>102</v>
      </c>
      <c r="AJ766" s="18" t="s">
        <v>102</v>
      </c>
      <c r="AK766" s="18" t="s">
        <v>102</v>
      </c>
      <c r="AL766" s="18" t="s">
        <v>102</v>
      </c>
      <c r="AM766" s="19"/>
      <c r="AN766" s="20" t="s">
        <v>101</v>
      </c>
      <c r="AO766" s="20" t="s">
        <v>103</v>
      </c>
      <c r="AP766" s="109">
        <v>109</v>
      </c>
      <c r="AQ766" s="110" t="s">
        <v>100</v>
      </c>
      <c r="AR766" s="105">
        <v>109</v>
      </c>
    </row>
    <row r="767" spans="1:44" ht="16.5">
      <c r="A767" s="105">
        <v>331</v>
      </c>
      <c r="B767" s="111" t="s">
        <v>113</v>
      </c>
      <c r="C767" s="109">
        <v>77.91</v>
      </c>
      <c r="D767" s="109">
        <v>0</v>
      </c>
      <c r="E767" s="109">
        <v>6.17</v>
      </c>
      <c r="F767" s="109">
        <v>0</v>
      </c>
      <c r="G767" s="109">
        <v>0</v>
      </c>
      <c r="H767" s="109">
        <v>0</v>
      </c>
      <c r="I767" s="109">
        <v>13.58</v>
      </c>
      <c r="J767" s="109">
        <v>0</v>
      </c>
      <c r="K767" s="109">
        <v>2.34</v>
      </c>
      <c r="L767" s="109">
        <v>0</v>
      </c>
      <c r="M767" s="74" t="str">
        <f t="array" ref="M767">_xlfn.TEXTJOIN("-", TRUE, IF(C767:L767&gt;0, $C$2:$L$2, ""))</f>
        <v xml:space="preserve"> Ti-Zr-Nb-Fe</v>
      </c>
      <c r="N767" s="90">
        <f t="shared" si="22"/>
        <v>767</v>
      </c>
      <c r="O767" s="91">
        <f t="shared" si="23"/>
        <v>4</v>
      </c>
      <c r="P767" s="109">
        <v>1</v>
      </c>
      <c r="Q767" s="139">
        <v>1</v>
      </c>
      <c r="R767" s="21" t="s">
        <v>113</v>
      </c>
      <c r="S767" s="147" t="s">
        <v>113</v>
      </c>
      <c r="T767" s="111" t="s">
        <v>113</v>
      </c>
      <c r="U767" s="111" t="s">
        <v>113</v>
      </c>
      <c r="V767" s="111">
        <v>1</v>
      </c>
      <c r="W767" s="111" t="s">
        <v>113</v>
      </c>
      <c r="X767" s="111" t="s">
        <v>113</v>
      </c>
      <c r="Y767" s="111" t="s">
        <v>113</v>
      </c>
      <c r="Z767" s="109">
        <v>79</v>
      </c>
      <c r="AA767" s="111" t="s">
        <v>113</v>
      </c>
      <c r="AB767" s="111" t="s">
        <v>113</v>
      </c>
      <c r="AC767" s="109">
        <v>782</v>
      </c>
      <c r="AD767" s="111" t="s">
        <v>113</v>
      </c>
      <c r="AE767" s="111" t="s">
        <v>113</v>
      </c>
      <c r="AF767" s="111" t="s">
        <v>113</v>
      </c>
      <c r="AG767" s="111" t="s">
        <v>113</v>
      </c>
      <c r="AH767" s="111" t="s">
        <v>113</v>
      </c>
      <c r="AI767" s="111" t="s">
        <v>113</v>
      </c>
      <c r="AJ767" s="111" t="s">
        <v>113</v>
      </c>
      <c r="AK767" s="111" t="s">
        <v>113</v>
      </c>
      <c r="AL767" s="111" t="s">
        <v>113</v>
      </c>
      <c r="AM767" s="111"/>
      <c r="AN767" s="111" t="s">
        <v>113</v>
      </c>
      <c r="AO767" s="111" t="s">
        <v>174</v>
      </c>
      <c r="AP767" s="109">
        <v>331</v>
      </c>
      <c r="AQ767" s="110" t="s">
        <v>100</v>
      </c>
      <c r="AR767" s="105">
        <v>331</v>
      </c>
    </row>
    <row r="768" spans="1:44" ht="16.5">
      <c r="A768" s="105">
        <v>332</v>
      </c>
      <c r="B768" s="111" t="s">
        <v>113</v>
      </c>
      <c r="C768" s="109">
        <v>75.75</v>
      </c>
      <c r="D768" s="109">
        <v>0</v>
      </c>
      <c r="E768" s="109">
        <v>6.370000000000001</v>
      </c>
      <c r="F768" s="109">
        <v>0</v>
      </c>
      <c r="G768" s="109">
        <v>0</v>
      </c>
      <c r="H768" s="109">
        <v>0</v>
      </c>
      <c r="I768" s="109">
        <v>16.32</v>
      </c>
      <c r="J768" s="109">
        <v>0</v>
      </c>
      <c r="K768" s="109">
        <v>1.5599999999999998</v>
      </c>
      <c r="L768" s="109">
        <v>0</v>
      </c>
      <c r="M768" s="74" t="str">
        <f t="array" ref="M768">_xlfn.TEXTJOIN("-", TRUE, IF(C768:L768&gt;0, $C$2:$L$2, ""))</f>
        <v xml:space="preserve"> Ti-Zr-Nb-Fe</v>
      </c>
      <c r="N768" s="90">
        <f t="shared" si="22"/>
        <v>767</v>
      </c>
      <c r="O768" s="91">
        <f t="shared" si="23"/>
        <v>4</v>
      </c>
      <c r="P768" s="109">
        <v>1</v>
      </c>
      <c r="Q768" s="139">
        <v>1</v>
      </c>
      <c r="R768" s="21" t="s">
        <v>113</v>
      </c>
      <c r="S768" s="148" t="s">
        <v>113</v>
      </c>
      <c r="T768" s="111" t="s">
        <v>113</v>
      </c>
      <c r="U768" s="111" t="s">
        <v>113</v>
      </c>
      <c r="V768" s="111">
        <v>1</v>
      </c>
      <c r="W768" s="111" t="s">
        <v>113</v>
      </c>
      <c r="X768" s="111" t="s">
        <v>113</v>
      </c>
      <c r="Y768" s="111" t="s">
        <v>113</v>
      </c>
      <c r="Z768" s="109">
        <v>78</v>
      </c>
      <c r="AA768" s="111" t="s">
        <v>113</v>
      </c>
      <c r="AB768" s="111" t="s">
        <v>113</v>
      </c>
      <c r="AC768" s="109">
        <v>735</v>
      </c>
      <c r="AD768" s="111" t="s">
        <v>113</v>
      </c>
      <c r="AE768" s="111" t="s">
        <v>113</v>
      </c>
      <c r="AF768" s="111" t="s">
        <v>113</v>
      </c>
      <c r="AG768" s="111" t="s">
        <v>113</v>
      </c>
      <c r="AH768" s="111" t="s">
        <v>113</v>
      </c>
      <c r="AI768" s="111" t="s">
        <v>113</v>
      </c>
      <c r="AJ768" s="111" t="s">
        <v>113</v>
      </c>
      <c r="AK768" s="111" t="s">
        <v>113</v>
      </c>
      <c r="AL768" s="111" t="s">
        <v>113</v>
      </c>
      <c r="AM768" s="111"/>
      <c r="AN768" s="111" t="s">
        <v>113</v>
      </c>
      <c r="AO768" s="111" t="s">
        <v>174</v>
      </c>
      <c r="AP768" s="109">
        <v>332</v>
      </c>
      <c r="AQ768" s="110" t="s">
        <v>100</v>
      </c>
      <c r="AR768" s="105">
        <v>332</v>
      </c>
    </row>
    <row r="769" spans="1:44" ht="16.5">
      <c r="A769" s="105">
        <v>333</v>
      </c>
      <c r="B769" s="111" t="s">
        <v>113</v>
      </c>
      <c r="C769" s="109">
        <v>72.98</v>
      </c>
      <c r="D769" s="109">
        <v>0</v>
      </c>
      <c r="E769" s="109">
        <v>6.64</v>
      </c>
      <c r="F769" s="109">
        <v>0</v>
      </c>
      <c r="G769" s="109">
        <v>0</v>
      </c>
      <c r="H769" s="109">
        <v>0</v>
      </c>
      <c r="I769" s="109">
        <v>18.990000000000002</v>
      </c>
      <c r="J769" s="109">
        <v>0</v>
      </c>
      <c r="K769" s="109">
        <v>1.38</v>
      </c>
      <c r="L769" s="109">
        <v>0</v>
      </c>
      <c r="M769" s="74" t="str">
        <f t="array" ref="M769">_xlfn.TEXTJOIN("-", TRUE, IF(C769:L769&gt;0, $C$2:$L$2, ""))</f>
        <v xml:space="preserve"> Ti-Zr-Nb-Fe</v>
      </c>
      <c r="N769" s="90">
        <f t="shared" si="22"/>
        <v>767</v>
      </c>
      <c r="O769" s="91">
        <f t="shared" si="23"/>
        <v>4</v>
      </c>
      <c r="P769" s="109">
        <v>1</v>
      </c>
      <c r="Q769" s="139">
        <v>1</v>
      </c>
      <c r="R769" s="21" t="s">
        <v>113</v>
      </c>
      <c r="S769" s="148" t="s">
        <v>113</v>
      </c>
      <c r="T769" s="111" t="s">
        <v>113</v>
      </c>
      <c r="U769" s="111" t="s">
        <v>113</v>
      </c>
      <c r="V769" s="111">
        <v>1</v>
      </c>
      <c r="W769" s="111" t="s">
        <v>113</v>
      </c>
      <c r="X769" s="111" t="s">
        <v>113</v>
      </c>
      <c r="Y769" s="111" t="s">
        <v>113</v>
      </c>
      <c r="Z769" s="109">
        <v>77</v>
      </c>
      <c r="AA769" s="111" t="s">
        <v>113</v>
      </c>
      <c r="AB769" s="111" t="s">
        <v>113</v>
      </c>
      <c r="AC769" s="109">
        <v>672</v>
      </c>
      <c r="AD769" s="111" t="s">
        <v>113</v>
      </c>
      <c r="AE769" s="111" t="s">
        <v>113</v>
      </c>
      <c r="AF769" s="111" t="s">
        <v>113</v>
      </c>
      <c r="AG769" s="111" t="s">
        <v>113</v>
      </c>
      <c r="AH769" s="111" t="s">
        <v>113</v>
      </c>
      <c r="AI769" s="111" t="s">
        <v>113</v>
      </c>
      <c r="AJ769" s="111" t="s">
        <v>113</v>
      </c>
      <c r="AK769" s="111" t="s">
        <v>113</v>
      </c>
      <c r="AL769" s="111" t="s">
        <v>113</v>
      </c>
      <c r="AM769" s="111"/>
      <c r="AN769" s="111" t="s">
        <v>113</v>
      </c>
      <c r="AO769" s="111" t="s">
        <v>174</v>
      </c>
      <c r="AP769" s="109">
        <v>333</v>
      </c>
      <c r="AQ769" s="110" t="s">
        <v>100</v>
      </c>
      <c r="AR769" s="105">
        <v>333</v>
      </c>
    </row>
    <row r="770" spans="1:44" ht="16.5">
      <c r="A770" s="105">
        <v>334</v>
      </c>
      <c r="B770" s="111" t="s">
        <v>113</v>
      </c>
      <c r="C770" s="109">
        <v>86.22</v>
      </c>
      <c r="D770" s="109">
        <v>0</v>
      </c>
      <c r="E770" s="109">
        <v>4.1000000000000005</v>
      </c>
      <c r="F770" s="109">
        <v>0</v>
      </c>
      <c r="G770" s="109">
        <v>0</v>
      </c>
      <c r="H770" s="109">
        <v>0</v>
      </c>
      <c r="I770" s="109">
        <v>6.18</v>
      </c>
      <c r="J770" s="109">
        <v>0</v>
      </c>
      <c r="K770" s="109">
        <v>3.49</v>
      </c>
      <c r="L770" s="109">
        <v>0</v>
      </c>
      <c r="M770" s="74" t="str">
        <f t="array" ref="M770">_xlfn.TEXTJOIN("-", TRUE, IF(C770:L770&gt;0, $C$2:$L$2, ""))</f>
        <v xml:space="preserve"> Ti-Zr-Nb-Fe</v>
      </c>
      <c r="N770" s="90">
        <f t="shared" si="22"/>
        <v>767</v>
      </c>
      <c r="O770" s="91">
        <f t="shared" si="23"/>
        <v>4</v>
      </c>
      <c r="P770" s="109">
        <v>1</v>
      </c>
      <c r="Q770" s="139">
        <v>1</v>
      </c>
      <c r="R770" s="21" t="s">
        <v>113</v>
      </c>
      <c r="S770" s="148" t="s">
        <v>113</v>
      </c>
      <c r="T770" s="111" t="s">
        <v>113</v>
      </c>
      <c r="U770" s="111" t="s">
        <v>113</v>
      </c>
      <c r="V770" s="111">
        <v>1</v>
      </c>
      <c r="W770" s="111" t="s">
        <v>113</v>
      </c>
      <c r="X770" s="111" t="s">
        <v>113</v>
      </c>
      <c r="Y770" s="111" t="s">
        <v>113</v>
      </c>
      <c r="Z770" s="109">
        <v>90</v>
      </c>
      <c r="AA770" s="111" t="s">
        <v>113</v>
      </c>
      <c r="AB770" s="111" t="s">
        <v>113</v>
      </c>
      <c r="AC770" s="109">
        <v>1011</v>
      </c>
      <c r="AD770" s="111" t="s">
        <v>113</v>
      </c>
      <c r="AE770" s="111" t="s">
        <v>113</v>
      </c>
      <c r="AF770" s="111" t="s">
        <v>113</v>
      </c>
      <c r="AG770" s="111" t="s">
        <v>113</v>
      </c>
      <c r="AH770" s="111" t="s">
        <v>113</v>
      </c>
      <c r="AI770" s="111" t="s">
        <v>113</v>
      </c>
      <c r="AJ770" s="111" t="s">
        <v>113</v>
      </c>
      <c r="AK770" s="111" t="s">
        <v>113</v>
      </c>
      <c r="AL770" s="111" t="s">
        <v>113</v>
      </c>
      <c r="AM770" s="111"/>
      <c r="AN770" s="111" t="s">
        <v>113</v>
      </c>
      <c r="AO770" s="111" t="s">
        <v>174</v>
      </c>
      <c r="AP770" s="109">
        <v>334</v>
      </c>
      <c r="AQ770" s="110" t="s">
        <v>100</v>
      </c>
      <c r="AR770" s="105">
        <v>334</v>
      </c>
    </row>
    <row r="771" spans="1:44" ht="16.5">
      <c r="A771" s="105">
        <v>336</v>
      </c>
      <c r="B771" s="111" t="s">
        <v>113</v>
      </c>
      <c r="C771" s="109">
        <v>79.739999999999995</v>
      </c>
      <c r="D771" s="109">
        <v>0</v>
      </c>
      <c r="E771" s="109">
        <v>6.1899999999999995</v>
      </c>
      <c r="F771" s="109">
        <v>0</v>
      </c>
      <c r="G771" s="109">
        <v>0</v>
      </c>
      <c r="H771" s="109">
        <v>0</v>
      </c>
      <c r="I771" s="109">
        <v>11.37</v>
      </c>
      <c r="J771" s="109">
        <v>0</v>
      </c>
      <c r="K771" s="109">
        <v>2.7</v>
      </c>
      <c r="L771" s="109">
        <v>0</v>
      </c>
      <c r="M771" s="74" t="str">
        <f t="array" ref="M771">_xlfn.TEXTJOIN("-", TRUE, IF(C771:L771&gt;0, $C$2:$L$2, ""))</f>
        <v xml:space="preserve"> Ti-Zr-Nb-Fe</v>
      </c>
      <c r="N771" s="90">
        <f t="shared" ref="N771:N834" si="24">IF(COUNTIF(M$3:M$1206, M771)&gt;1, MATCH(M771, M:M, 0), "")</f>
        <v>767</v>
      </c>
      <c r="O771" s="91">
        <f t="shared" ref="O771:O834" si="25">COUNTIF(C771:L771, "&lt;&gt;0")</f>
        <v>4</v>
      </c>
      <c r="P771" s="109">
        <v>1</v>
      </c>
      <c r="Q771" s="139">
        <v>1</v>
      </c>
      <c r="R771" s="21" t="s">
        <v>113</v>
      </c>
      <c r="S771" s="148" t="s">
        <v>113</v>
      </c>
      <c r="T771" s="111" t="s">
        <v>113</v>
      </c>
      <c r="U771" s="111" t="s">
        <v>113</v>
      </c>
      <c r="V771" s="111">
        <v>1</v>
      </c>
      <c r="W771" s="111" t="s">
        <v>113</v>
      </c>
      <c r="X771" s="111" t="s">
        <v>113</v>
      </c>
      <c r="Y771" s="111" t="s">
        <v>113</v>
      </c>
      <c r="Z771" s="109">
        <v>69</v>
      </c>
      <c r="AA771" s="111" t="s">
        <v>113</v>
      </c>
      <c r="AB771" s="111" t="s">
        <v>113</v>
      </c>
      <c r="AC771" s="109">
        <v>1027</v>
      </c>
      <c r="AD771" s="111" t="s">
        <v>113</v>
      </c>
      <c r="AE771" s="111" t="s">
        <v>113</v>
      </c>
      <c r="AF771" s="111" t="s">
        <v>113</v>
      </c>
      <c r="AG771" s="111" t="s">
        <v>113</v>
      </c>
      <c r="AH771" s="111" t="s">
        <v>113</v>
      </c>
      <c r="AI771" s="111" t="s">
        <v>113</v>
      </c>
      <c r="AJ771" s="111" t="s">
        <v>113</v>
      </c>
      <c r="AK771" s="111" t="s">
        <v>113</v>
      </c>
      <c r="AL771" s="111" t="s">
        <v>113</v>
      </c>
      <c r="AM771" s="111"/>
      <c r="AN771" s="111" t="s">
        <v>113</v>
      </c>
      <c r="AO771" s="111" t="s">
        <v>174</v>
      </c>
      <c r="AP771" s="109">
        <v>336</v>
      </c>
      <c r="AQ771" s="110" t="s">
        <v>100</v>
      </c>
      <c r="AR771" s="105">
        <v>336</v>
      </c>
    </row>
    <row r="772" spans="1:44" ht="16.5">
      <c r="A772" s="105">
        <v>359</v>
      </c>
      <c r="B772" s="111" t="s">
        <v>113</v>
      </c>
      <c r="C772" s="109">
        <v>72.36</v>
      </c>
      <c r="D772" s="109">
        <v>0</v>
      </c>
      <c r="E772" s="109">
        <v>8.68</v>
      </c>
      <c r="F772" s="109">
        <v>0</v>
      </c>
      <c r="G772" s="109">
        <v>0</v>
      </c>
      <c r="H772" s="109">
        <v>0</v>
      </c>
      <c r="I772" s="109">
        <v>18.39</v>
      </c>
      <c r="J772" s="109">
        <v>0</v>
      </c>
      <c r="K772" s="109">
        <v>0.57000000000000006</v>
      </c>
      <c r="L772" s="109">
        <v>0</v>
      </c>
      <c r="M772" s="74" t="str">
        <f t="array" ref="M772">_xlfn.TEXTJOIN("-", TRUE, IF(C772:L772&gt;0, $C$2:$L$2, ""))</f>
        <v xml:space="preserve"> Ti-Zr-Nb-Fe</v>
      </c>
      <c r="N772" s="90">
        <f t="shared" si="24"/>
        <v>767</v>
      </c>
      <c r="O772" s="91">
        <f t="shared" si="25"/>
        <v>4</v>
      </c>
      <c r="P772" s="109">
        <v>1</v>
      </c>
      <c r="Q772" s="139">
        <v>1</v>
      </c>
      <c r="R772" s="21" t="s">
        <v>113</v>
      </c>
      <c r="S772" s="148" t="s">
        <v>113</v>
      </c>
      <c r="T772" s="111" t="s">
        <v>113</v>
      </c>
      <c r="U772" s="111" t="s">
        <v>113</v>
      </c>
      <c r="V772" s="111">
        <v>1</v>
      </c>
      <c r="W772" s="111" t="s">
        <v>113</v>
      </c>
      <c r="X772" s="111" t="s">
        <v>113</v>
      </c>
      <c r="Y772" s="111" t="s">
        <v>113</v>
      </c>
      <c r="Z772" s="109">
        <v>58</v>
      </c>
      <c r="AA772" s="111" t="s">
        <v>113</v>
      </c>
      <c r="AB772" s="111" t="s">
        <v>113</v>
      </c>
      <c r="AC772" s="109">
        <v>780</v>
      </c>
      <c r="AD772" s="111" t="s">
        <v>113</v>
      </c>
      <c r="AE772" s="111" t="s">
        <v>113</v>
      </c>
      <c r="AF772" s="111" t="s">
        <v>113</v>
      </c>
      <c r="AG772" s="111" t="s">
        <v>113</v>
      </c>
      <c r="AH772" s="111" t="s">
        <v>113</v>
      </c>
      <c r="AI772" s="111" t="s">
        <v>113</v>
      </c>
      <c r="AJ772" s="111" t="s">
        <v>113</v>
      </c>
      <c r="AK772" s="111" t="s">
        <v>113</v>
      </c>
      <c r="AL772" s="111" t="s">
        <v>113</v>
      </c>
      <c r="AM772" s="111"/>
      <c r="AN772" s="111" t="s">
        <v>113</v>
      </c>
      <c r="AO772" s="111" t="s">
        <v>174</v>
      </c>
      <c r="AP772" s="109">
        <v>359</v>
      </c>
      <c r="AQ772" s="110" t="s">
        <v>100</v>
      </c>
      <c r="AR772" s="105">
        <v>359</v>
      </c>
    </row>
    <row r="773" spans="1:44" ht="16.5">
      <c r="A773" s="105">
        <v>360</v>
      </c>
      <c r="B773" s="111" t="s">
        <v>113</v>
      </c>
      <c r="C773" s="109">
        <v>81.42</v>
      </c>
      <c r="D773" s="109">
        <v>0</v>
      </c>
      <c r="E773" s="109">
        <v>11.600000000000001</v>
      </c>
      <c r="F773" s="109">
        <v>0</v>
      </c>
      <c r="G773" s="109">
        <v>0</v>
      </c>
      <c r="H773" s="109">
        <v>0</v>
      </c>
      <c r="I773" s="109">
        <v>5.99</v>
      </c>
      <c r="J773" s="109">
        <v>0</v>
      </c>
      <c r="K773" s="109">
        <v>1</v>
      </c>
      <c r="L773" s="109">
        <v>0</v>
      </c>
      <c r="M773" s="74" t="str">
        <f t="array" ref="M773">_xlfn.TEXTJOIN("-", TRUE, IF(C773:L773&gt;0, $C$2:$L$2, ""))</f>
        <v xml:space="preserve"> Ti-Zr-Nb-Fe</v>
      </c>
      <c r="N773" s="90">
        <f t="shared" si="24"/>
        <v>767</v>
      </c>
      <c r="O773" s="91">
        <f t="shared" si="25"/>
        <v>4</v>
      </c>
      <c r="P773" s="109">
        <v>1</v>
      </c>
      <c r="Q773" s="139">
        <v>1</v>
      </c>
      <c r="R773" s="21" t="s">
        <v>113</v>
      </c>
      <c r="S773" s="148" t="s">
        <v>113</v>
      </c>
      <c r="T773" s="111" t="s">
        <v>113</v>
      </c>
      <c r="U773" s="111" t="s">
        <v>113</v>
      </c>
      <c r="V773" s="111">
        <v>1</v>
      </c>
      <c r="W773" s="111" t="s">
        <v>113</v>
      </c>
      <c r="X773" s="111" t="s">
        <v>113</v>
      </c>
      <c r="Y773" s="111" t="s">
        <v>113</v>
      </c>
      <c r="Z773" s="109">
        <v>59</v>
      </c>
      <c r="AA773" s="111" t="s">
        <v>113</v>
      </c>
      <c r="AB773" s="111" t="s">
        <v>113</v>
      </c>
      <c r="AC773" s="109">
        <v>553</v>
      </c>
      <c r="AD773" s="111" t="s">
        <v>113</v>
      </c>
      <c r="AE773" s="111" t="s">
        <v>113</v>
      </c>
      <c r="AF773" s="111" t="s">
        <v>113</v>
      </c>
      <c r="AG773" s="111" t="s">
        <v>113</v>
      </c>
      <c r="AH773" s="111" t="s">
        <v>113</v>
      </c>
      <c r="AI773" s="111" t="s">
        <v>113</v>
      </c>
      <c r="AJ773" s="111" t="s">
        <v>113</v>
      </c>
      <c r="AK773" s="111" t="s">
        <v>113</v>
      </c>
      <c r="AL773" s="111" t="s">
        <v>113</v>
      </c>
      <c r="AM773" s="111"/>
      <c r="AN773" s="111" t="s">
        <v>113</v>
      </c>
      <c r="AO773" s="111" t="s">
        <v>174</v>
      </c>
      <c r="AP773" s="109">
        <v>360</v>
      </c>
      <c r="AQ773" s="110" t="s">
        <v>100</v>
      </c>
      <c r="AR773" s="105">
        <v>360</v>
      </c>
    </row>
    <row r="774" spans="1:44" ht="16.5">
      <c r="A774" s="105">
        <v>361</v>
      </c>
      <c r="B774" s="111" t="s">
        <v>113</v>
      </c>
      <c r="C774" s="109">
        <v>74.48</v>
      </c>
      <c r="D774" s="109">
        <v>0</v>
      </c>
      <c r="E774" s="109">
        <v>4</v>
      </c>
      <c r="F774" s="109">
        <v>0</v>
      </c>
      <c r="G774" s="109">
        <v>0</v>
      </c>
      <c r="H774" s="109">
        <v>0</v>
      </c>
      <c r="I774" s="109">
        <v>20.04</v>
      </c>
      <c r="J774" s="109">
        <v>0</v>
      </c>
      <c r="K774" s="109">
        <v>1.47</v>
      </c>
      <c r="L774" s="109">
        <v>0</v>
      </c>
      <c r="M774" s="74" t="str">
        <f t="array" ref="M774">_xlfn.TEXTJOIN("-", TRUE, IF(C774:L774&gt;0, $C$2:$L$2, ""))</f>
        <v xml:space="preserve"> Ti-Zr-Nb-Fe</v>
      </c>
      <c r="N774" s="90">
        <f t="shared" si="24"/>
        <v>767</v>
      </c>
      <c r="O774" s="91">
        <f t="shared" si="25"/>
        <v>4</v>
      </c>
      <c r="P774" s="109">
        <v>1</v>
      </c>
      <c r="Q774" s="139">
        <v>1</v>
      </c>
      <c r="R774" s="21" t="s">
        <v>113</v>
      </c>
      <c r="S774" s="148" t="s">
        <v>113</v>
      </c>
      <c r="T774" s="111" t="s">
        <v>113</v>
      </c>
      <c r="U774" s="111" t="s">
        <v>113</v>
      </c>
      <c r="V774" s="111">
        <v>1</v>
      </c>
      <c r="W774" s="111" t="s">
        <v>113</v>
      </c>
      <c r="X774" s="111" t="s">
        <v>113</v>
      </c>
      <c r="Y774" s="111" t="s">
        <v>113</v>
      </c>
      <c r="Z774" s="109">
        <v>62</v>
      </c>
      <c r="AA774" s="111" t="s">
        <v>113</v>
      </c>
      <c r="AB774" s="111" t="s">
        <v>113</v>
      </c>
      <c r="AC774" s="109">
        <v>1038</v>
      </c>
      <c r="AD774" s="111" t="s">
        <v>113</v>
      </c>
      <c r="AE774" s="111" t="s">
        <v>113</v>
      </c>
      <c r="AF774" s="111" t="s">
        <v>113</v>
      </c>
      <c r="AG774" s="111" t="s">
        <v>113</v>
      </c>
      <c r="AH774" s="111" t="s">
        <v>113</v>
      </c>
      <c r="AI774" s="111" t="s">
        <v>113</v>
      </c>
      <c r="AJ774" s="111" t="s">
        <v>113</v>
      </c>
      <c r="AK774" s="111" t="s">
        <v>113</v>
      </c>
      <c r="AL774" s="111" t="s">
        <v>113</v>
      </c>
      <c r="AM774" s="111"/>
      <c r="AN774" s="111" t="s">
        <v>113</v>
      </c>
      <c r="AO774" s="111" t="s">
        <v>174</v>
      </c>
      <c r="AP774" s="109">
        <v>361</v>
      </c>
      <c r="AQ774" s="110" t="s">
        <v>100</v>
      </c>
      <c r="AR774" s="105">
        <v>361</v>
      </c>
    </row>
    <row r="775" spans="1:44" ht="16.5">
      <c r="A775" s="105">
        <v>404</v>
      </c>
      <c r="B775" s="111" t="s">
        <v>113</v>
      </c>
      <c r="C775" s="109">
        <v>65.86</v>
      </c>
      <c r="D775" s="109">
        <v>0</v>
      </c>
      <c r="E775" s="109">
        <v>17.39</v>
      </c>
      <c r="F775" s="109">
        <v>0</v>
      </c>
      <c r="G775" s="109">
        <v>0</v>
      </c>
      <c r="H775" s="109">
        <v>0</v>
      </c>
      <c r="I775" s="109">
        <v>16.64</v>
      </c>
      <c r="J775" s="109">
        <v>0</v>
      </c>
      <c r="K775" s="109">
        <v>0.1</v>
      </c>
      <c r="L775" s="109">
        <v>0</v>
      </c>
      <c r="M775" s="74" t="str">
        <f t="array" ref="M775">_xlfn.TEXTJOIN("-", TRUE, IF(C775:L775&gt;0, $C$2:$L$2, ""))</f>
        <v xml:space="preserve"> Ti-Zr-Nb-Fe</v>
      </c>
      <c r="N775" s="90">
        <f t="shared" si="24"/>
        <v>767</v>
      </c>
      <c r="O775" s="91">
        <f t="shared" si="25"/>
        <v>4</v>
      </c>
      <c r="P775" s="109">
        <v>1</v>
      </c>
      <c r="Q775" s="139">
        <v>1</v>
      </c>
      <c r="R775" s="21" t="s">
        <v>113</v>
      </c>
      <c r="S775" s="148" t="s">
        <v>113</v>
      </c>
      <c r="T775" s="111" t="s">
        <v>113</v>
      </c>
      <c r="U775" s="111" t="s">
        <v>113</v>
      </c>
      <c r="V775" s="109">
        <v>2</v>
      </c>
      <c r="W775" s="111" t="s">
        <v>113</v>
      </c>
      <c r="X775" s="111" t="s">
        <v>113</v>
      </c>
      <c r="Y775" s="111" t="s">
        <v>113</v>
      </c>
      <c r="Z775" s="109">
        <v>70</v>
      </c>
      <c r="AA775" s="111" t="s">
        <v>113</v>
      </c>
      <c r="AB775" s="111" t="s">
        <v>113</v>
      </c>
      <c r="AC775" s="109">
        <v>480</v>
      </c>
      <c r="AD775" s="111" t="s">
        <v>113</v>
      </c>
      <c r="AE775" s="111" t="s">
        <v>113</v>
      </c>
      <c r="AF775" s="111" t="s">
        <v>113</v>
      </c>
      <c r="AG775" s="111" t="s">
        <v>113</v>
      </c>
      <c r="AH775" s="111" t="s">
        <v>113</v>
      </c>
      <c r="AI775" s="111" t="s">
        <v>113</v>
      </c>
      <c r="AJ775" s="111" t="s">
        <v>113</v>
      </c>
      <c r="AK775" s="111" t="s">
        <v>113</v>
      </c>
      <c r="AL775" s="111" t="s">
        <v>113</v>
      </c>
      <c r="AM775" s="111"/>
      <c r="AN775" s="111" t="s">
        <v>113</v>
      </c>
      <c r="AO775" s="111" t="s">
        <v>174</v>
      </c>
      <c r="AP775" s="109">
        <v>404</v>
      </c>
      <c r="AQ775" s="110" t="s">
        <v>100</v>
      </c>
      <c r="AR775" s="105">
        <v>404</v>
      </c>
    </row>
    <row r="776" spans="1:44" ht="16.5">
      <c r="A776" s="105">
        <v>500</v>
      </c>
      <c r="B776" s="111" t="s">
        <v>113</v>
      </c>
      <c r="C776" s="109">
        <v>71.930000000000007</v>
      </c>
      <c r="D776" s="109">
        <v>0</v>
      </c>
      <c r="E776" s="109">
        <v>5</v>
      </c>
      <c r="F776" s="109">
        <v>0</v>
      </c>
      <c r="G776" s="109">
        <v>0</v>
      </c>
      <c r="H776" s="109">
        <v>0</v>
      </c>
      <c r="I776" s="109">
        <v>22.1</v>
      </c>
      <c r="J776" s="109">
        <v>0</v>
      </c>
      <c r="K776" s="109">
        <v>0.97</v>
      </c>
      <c r="L776" s="109">
        <v>0</v>
      </c>
      <c r="M776" s="74" t="str">
        <f t="array" ref="M776">_xlfn.TEXTJOIN("-", TRUE, IF(C776:L776&gt;0, $C$2:$L$2, ""))</f>
        <v xml:space="preserve"> Ti-Zr-Nb-Fe</v>
      </c>
      <c r="N776" s="90">
        <f t="shared" si="24"/>
        <v>767</v>
      </c>
      <c r="O776" s="91">
        <f t="shared" si="25"/>
        <v>4</v>
      </c>
      <c r="P776" s="109">
        <v>1</v>
      </c>
      <c r="Q776" s="109">
        <v>1</v>
      </c>
      <c r="R776" s="116" t="s">
        <v>113</v>
      </c>
      <c r="S776" s="116" t="s">
        <v>113</v>
      </c>
      <c r="T776" s="111" t="s">
        <v>113</v>
      </c>
      <c r="U776" s="111" t="s">
        <v>113</v>
      </c>
      <c r="V776" s="109">
        <v>1</v>
      </c>
      <c r="W776" s="111" t="s">
        <v>113</v>
      </c>
      <c r="X776" s="111" t="s">
        <v>113</v>
      </c>
      <c r="Y776" s="111" t="s">
        <v>113</v>
      </c>
      <c r="Z776" s="109">
        <v>49</v>
      </c>
      <c r="AA776" s="111" t="s">
        <v>113</v>
      </c>
      <c r="AB776" s="111" t="s">
        <v>113</v>
      </c>
      <c r="AC776" s="109">
        <v>552</v>
      </c>
      <c r="AD776" s="111" t="s">
        <v>113</v>
      </c>
      <c r="AE776" s="111" t="s">
        <v>113</v>
      </c>
      <c r="AF776" s="111" t="s">
        <v>113</v>
      </c>
      <c r="AG776" s="111" t="s">
        <v>113</v>
      </c>
      <c r="AH776" s="111" t="s">
        <v>113</v>
      </c>
      <c r="AI776" s="111" t="s">
        <v>113</v>
      </c>
      <c r="AJ776" s="111" t="s">
        <v>113</v>
      </c>
      <c r="AK776" s="111" t="s">
        <v>113</v>
      </c>
      <c r="AL776" s="111" t="s">
        <v>113</v>
      </c>
      <c r="AM776" s="111"/>
      <c r="AN776" s="111" t="s">
        <v>113</v>
      </c>
      <c r="AO776" s="111" t="s">
        <v>174</v>
      </c>
      <c r="AP776" s="109">
        <v>500</v>
      </c>
      <c r="AQ776" s="110" t="s">
        <v>100</v>
      </c>
      <c r="AR776" s="105">
        <v>500</v>
      </c>
    </row>
    <row r="777" spans="1:44" ht="16.5">
      <c r="A777" s="105">
        <v>385</v>
      </c>
      <c r="B777" s="111" t="s">
        <v>113</v>
      </c>
      <c r="C777" s="109">
        <v>83.05</v>
      </c>
      <c r="D777" s="109">
        <v>0</v>
      </c>
      <c r="E777" s="109">
        <v>0</v>
      </c>
      <c r="F777" s="109">
        <v>2.4699999999999998</v>
      </c>
      <c r="G777" s="109">
        <v>0</v>
      </c>
      <c r="H777" s="109">
        <v>4.26</v>
      </c>
      <c r="I777" s="109">
        <v>10.220000000000001</v>
      </c>
      <c r="J777" s="109">
        <v>0</v>
      </c>
      <c r="K777" s="109">
        <v>0</v>
      </c>
      <c r="L777" s="109">
        <v>0</v>
      </c>
      <c r="M777" s="74" t="str">
        <f t="array" ref="M777">_xlfn.TEXTJOIN("-", TRUE, IF(C777:L777&gt;0, $C$2:$L$2, ""))</f>
        <v xml:space="preserve"> Ti-Mo-Ta-Nb</v>
      </c>
      <c r="N777" s="90">
        <f t="shared" si="24"/>
        <v>777</v>
      </c>
      <c r="O777" s="91">
        <f t="shared" si="25"/>
        <v>4</v>
      </c>
      <c r="P777" s="109">
        <v>1</v>
      </c>
      <c r="Q777" s="109">
        <v>1</v>
      </c>
      <c r="R777" s="111" t="s">
        <v>113</v>
      </c>
      <c r="S777" s="111" t="s">
        <v>113</v>
      </c>
      <c r="T777" s="111" t="s">
        <v>113</v>
      </c>
      <c r="U777" s="111" t="s">
        <v>113</v>
      </c>
      <c r="V777" s="111">
        <v>1</v>
      </c>
      <c r="W777" s="111" t="s">
        <v>113</v>
      </c>
      <c r="X777" s="111" t="s">
        <v>113</v>
      </c>
      <c r="Y777" s="111" t="s">
        <v>113</v>
      </c>
      <c r="Z777" s="109">
        <v>50</v>
      </c>
      <c r="AA777" s="111" t="s">
        <v>113</v>
      </c>
      <c r="AB777" s="111" t="s">
        <v>113</v>
      </c>
      <c r="AC777" s="109">
        <v>557</v>
      </c>
      <c r="AD777" s="111" t="s">
        <v>113</v>
      </c>
      <c r="AE777" s="111" t="s">
        <v>113</v>
      </c>
      <c r="AF777" s="111" t="s">
        <v>113</v>
      </c>
      <c r="AG777" s="111" t="s">
        <v>113</v>
      </c>
      <c r="AH777" s="111" t="s">
        <v>113</v>
      </c>
      <c r="AI777" s="111" t="s">
        <v>113</v>
      </c>
      <c r="AJ777" s="111" t="s">
        <v>113</v>
      </c>
      <c r="AK777" s="111" t="s">
        <v>113</v>
      </c>
      <c r="AL777" s="111" t="s">
        <v>113</v>
      </c>
      <c r="AM777" s="111"/>
      <c r="AN777" s="111" t="s">
        <v>113</v>
      </c>
      <c r="AO777" s="111" t="s">
        <v>174</v>
      </c>
      <c r="AP777" s="109">
        <v>385</v>
      </c>
      <c r="AQ777" s="110" t="s">
        <v>100</v>
      </c>
      <c r="AR777" s="105">
        <v>385</v>
      </c>
    </row>
    <row r="778" spans="1:44" ht="16.5">
      <c r="A778" s="105">
        <v>387</v>
      </c>
      <c r="B778" s="111" t="s">
        <v>113</v>
      </c>
      <c r="C778" s="109">
        <v>72.599999999999994</v>
      </c>
      <c r="D778" s="109">
        <v>0</v>
      </c>
      <c r="E778" s="109">
        <v>0</v>
      </c>
      <c r="F778" s="109">
        <v>2.68</v>
      </c>
      <c r="G778" s="109">
        <v>0</v>
      </c>
      <c r="H778" s="109">
        <v>4.62</v>
      </c>
      <c r="I778" s="109">
        <v>20.09</v>
      </c>
      <c r="J778" s="109">
        <v>0</v>
      </c>
      <c r="K778" s="109">
        <v>0</v>
      </c>
      <c r="L778" s="109">
        <v>0</v>
      </c>
      <c r="M778" s="74" t="str">
        <f t="array" ref="M778">_xlfn.TEXTJOIN("-", TRUE, IF(C778:L778&gt;0, $C$2:$L$2, ""))</f>
        <v xml:space="preserve"> Ti-Mo-Ta-Nb</v>
      </c>
      <c r="N778" s="90">
        <f t="shared" si="24"/>
        <v>777</v>
      </c>
      <c r="O778" s="91">
        <f t="shared" si="25"/>
        <v>4</v>
      </c>
      <c r="P778" s="109">
        <v>1</v>
      </c>
      <c r="Q778" s="109">
        <v>1</v>
      </c>
      <c r="R778" s="111" t="s">
        <v>113</v>
      </c>
      <c r="S778" s="111" t="s">
        <v>113</v>
      </c>
      <c r="T778" s="111" t="s">
        <v>113</v>
      </c>
      <c r="U778" s="111" t="s">
        <v>113</v>
      </c>
      <c r="V778" s="111">
        <v>1</v>
      </c>
      <c r="W778" s="111" t="s">
        <v>113</v>
      </c>
      <c r="X778" s="111" t="s">
        <v>113</v>
      </c>
      <c r="Y778" s="111" t="s">
        <v>113</v>
      </c>
      <c r="Z778" s="109">
        <v>53</v>
      </c>
      <c r="AA778" s="111" t="s">
        <v>113</v>
      </c>
      <c r="AB778" s="111" t="s">
        <v>113</v>
      </c>
      <c r="AC778" s="109">
        <v>599</v>
      </c>
      <c r="AD778" s="111" t="s">
        <v>113</v>
      </c>
      <c r="AE778" s="111" t="s">
        <v>113</v>
      </c>
      <c r="AF778" s="111" t="s">
        <v>113</v>
      </c>
      <c r="AG778" s="111" t="s">
        <v>113</v>
      </c>
      <c r="AH778" s="111" t="s">
        <v>113</v>
      </c>
      <c r="AI778" s="111" t="s">
        <v>113</v>
      </c>
      <c r="AJ778" s="111" t="s">
        <v>113</v>
      </c>
      <c r="AK778" s="111" t="s">
        <v>113</v>
      </c>
      <c r="AL778" s="111" t="s">
        <v>113</v>
      </c>
      <c r="AM778" s="111"/>
      <c r="AN778" s="111" t="s">
        <v>113</v>
      </c>
      <c r="AO778" s="111" t="s">
        <v>174</v>
      </c>
      <c r="AP778" s="109">
        <v>387</v>
      </c>
      <c r="AQ778" s="110" t="s">
        <v>100</v>
      </c>
      <c r="AR778" s="105">
        <v>387</v>
      </c>
    </row>
    <row r="779" spans="1:44" ht="16.5">
      <c r="A779" s="29">
        <v>185</v>
      </c>
      <c r="B779" s="19"/>
      <c r="C779" s="18">
        <v>72.599999999999994</v>
      </c>
      <c r="D779" s="19">
        <v>0</v>
      </c>
      <c r="E779" s="18">
        <v>0</v>
      </c>
      <c r="F779" s="18">
        <v>2.68</v>
      </c>
      <c r="G779" s="18">
        <v>0</v>
      </c>
      <c r="H779" s="18">
        <v>4.63</v>
      </c>
      <c r="I779" s="18">
        <v>20.09</v>
      </c>
      <c r="J779" s="18">
        <v>0</v>
      </c>
      <c r="K779" s="18">
        <v>0</v>
      </c>
      <c r="L779" s="18">
        <v>0</v>
      </c>
      <c r="M779" s="74" t="str">
        <f t="array" ref="M779">_xlfn.TEXTJOIN("-", TRUE, IF(C779:L779&gt;0, $C$2:$L$2, ""))</f>
        <v xml:space="preserve"> Ti-Mo-Ta-Nb</v>
      </c>
      <c r="N779" s="90">
        <f t="shared" si="24"/>
        <v>777</v>
      </c>
      <c r="O779" s="91">
        <f t="shared" si="25"/>
        <v>4</v>
      </c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8">
        <v>51</v>
      </c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10" t="s">
        <v>382</v>
      </c>
      <c r="AR779" s="32"/>
    </row>
    <row r="780" spans="1:44" ht="16.5">
      <c r="A780" s="105">
        <v>388</v>
      </c>
      <c r="B780" s="111" t="s">
        <v>113</v>
      </c>
      <c r="C780" s="109">
        <v>74.48</v>
      </c>
      <c r="D780" s="109">
        <v>0</v>
      </c>
      <c r="E780" s="109">
        <v>0</v>
      </c>
      <c r="F780" s="109">
        <v>0</v>
      </c>
      <c r="G780" s="109">
        <v>0</v>
      </c>
      <c r="H780" s="109">
        <v>4.5699999999999994</v>
      </c>
      <c r="I780" s="109">
        <v>19.869999999999997</v>
      </c>
      <c r="J780" s="109">
        <v>0</v>
      </c>
      <c r="K780" s="109">
        <v>0</v>
      </c>
      <c r="L780" s="109">
        <v>1.0699999999999998</v>
      </c>
      <c r="M780" s="74" t="str">
        <f t="array" ref="M780">_xlfn.TEXTJOIN("-", TRUE, IF(C780:L780&gt;0, $C$2:$L$2, ""))</f>
        <v xml:space="preserve"> Ti-Ta-Nb-Sn</v>
      </c>
      <c r="N780" s="90">
        <f t="shared" si="24"/>
        <v>780</v>
      </c>
      <c r="O780" s="91">
        <f t="shared" si="25"/>
        <v>4</v>
      </c>
      <c r="P780" s="109">
        <v>1</v>
      </c>
      <c r="Q780" s="109">
        <v>1</v>
      </c>
      <c r="R780" s="111" t="s">
        <v>113</v>
      </c>
      <c r="S780" s="111" t="s">
        <v>113</v>
      </c>
      <c r="T780" s="111" t="s">
        <v>113</v>
      </c>
      <c r="U780" s="111" t="s">
        <v>113</v>
      </c>
      <c r="V780" s="111">
        <v>1</v>
      </c>
      <c r="W780" s="111" t="s">
        <v>113</v>
      </c>
      <c r="X780" s="111" t="s">
        <v>113</v>
      </c>
      <c r="Y780" s="111" t="s">
        <v>113</v>
      </c>
      <c r="Z780" s="109">
        <v>48</v>
      </c>
      <c r="AA780" s="111" t="s">
        <v>113</v>
      </c>
      <c r="AB780" s="111" t="s">
        <v>113</v>
      </c>
      <c r="AC780" s="109">
        <v>432</v>
      </c>
      <c r="AD780" s="111" t="s">
        <v>113</v>
      </c>
      <c r="AE780" s="111" t="s">
        <v>113</v>
      </c>
      <c r="AF780" s="111" t="s">
        <v>113</v>
      </c>
      <c r="AG780" s="111" t="s">
        <v>113</v>
      </c>
      <c r="AH780" s="111" t="s">
        <v>113</v>
      </c>
      <c r="AI780" s="111" t="s">
        <v>113</v>
      </c>
      <c r="AJ780" s="111" t="s">
        <v>113</v>
      </c>
      <c r="AK780" s="111" t="s">
        <v>113</v>
      </c>
      <c r="AL780" s="111" t="s">
        <v>113</v>
      </c>
      <c r="AM780" s="111"/>
      <c r="AN780" s="111" t="s">
        <v>113</v>
      </c>
      <c r="AO780" s="111" t="s">
        <v>174</v>
      </c>
      <c r="AP780" s="109">
        <v>388</v>
      </c>
      <c r="AQ780" s="110" t="s">
        <v>100</v>
      </c>
      <c r="AR780" s="105">
        <v>388</v>
      </c>
    </row>
    <row r="781" spans="1:44" ht="16.5">
      <c r="A781" s="105">
        <v>389</v>
      </c>
      <c r="B781" s="111" t="s">
        <v>113</v>
      </c>
      <c r="C781" s="109">
        <v>72.52</v>
      </c>
      <c r="D781" s="109">
        <v>0</v>
      </c>
      <c r="E781" s="109">
        <v>0</v>
      </c>
      <c r="F781" s="109">
        <v>0</v>
      </c>
      <c r="G781" s="109">
        <v>0</v>
      </c>
      <c r="H781" s="109">
        <v>4.67</v>
      </c>
      <c r="I781" s="109">
        <v>20.29</v>
      </c>
      <c r="J781" s="109">
        <v>0</v>
      </c>
      <c r="K781" s="109">
        <v>0</v>
      </c>
      <c r="L781" s="109">
        <v>2.52</v>
      </c>
      <c r="M781" s="74" t="str">
        <f t="array" ref="M781">_xlfn.TEXTJOIN("-", TRUE, IF(C781:L781&gt;0, $C$2:$L$2, ""))</f>
        <v xml:space="preserve"> Ti-Ta-Nb-Sn</v>
      </c>
      <c r="N781" s="90">
        <f t="shared" si="24"/>
        <v>780</v>
      </c>
      <c r="O781" s="91">
        <f t="shared" si="25"/>
        <v>4</v>
      </c>
      <c r="P781" s="109">
        <v>1</v>
      </c>
      <c r="Q781" s="109">
        <v>1</v>
      </c>
      <c r="R781" s="111" t="s">
        <v>113</v>
      </c>
      <c r="S781" s="111" t="s">
        <v>113</v>
      </c>
      <c r="T781" s="111" t="s">
        <v>113</v>
      </c>
      <c r="U781" s="111" t="s">
        <v>113</v>
      </c>
      <c r="V781" s="111">
        <v>1</v>
      </c>
      <c r="W781" s="111" t="s">
        <v>113</v>
      </c>
      <c r="X781" s="111" t="s">
        <v>113</v>
      </c>
      <c r="Y781" s="111" t="s">
        <v>113</v>
      </c>
      <c r="Z781" s="109">
        <v>55</v>
      </c>
      <c r="AA781" s="111" t="s">
        <v>113</v>
      </c>
      <c r="AB781" s="111" t="s">
        <v>113</v>
      </c>
      <c r="AC781" s="109">
        <v>367</v>
      </c>
      <c r="AD781" s="111" t="s">
        <v>113</v>
      </c>
      <c r="AE781" s="111" t="s">
        <v>113</v>
      </c>
      <c r="AF781" s="111" t="s">
        <v>113</v>
      </c>
      <c r="AG781" s="111" t="s">
        <v>113</v>
      </c>
      <c r="AH781" s="111" t="s">
        <v>113</v>
      </c>
      <c r="AI781" s="111" t="s">
        <v>113</v>
      </c>
      <c r="AJ781" s="111" t="s">
        <v>113</v>
      </c>
      <c r="AK781" s="111" t="s">
        <v>113</v>
      </c>
      <c r="AL781" s="111" t="s">
        <v>113</v>
      </c>
      <c r="AM781" s="111"/>
      <c r="AN781" s="111" t="s">
        <v>113</v>
      </c>
      <c r="AO781" s="111" t="s">
        <v>174</v>
      </c>
      <c r="AP781" s="109">
        <v>389</v>
      </c>
      <c r="AQ781" s="110" t="s">
        <v>100</v>
      </c>
      <c r="AR781" s="105">
        <v>389</v>
      </c>
    </row>
    <row r="782" spans="1:44" ht="16.5">
      <c r="A782" s="105">
        <v>390</v>
      </c>
      <c r="B782" s="111" t="s">
        <v>113</v>
      </c>
      <c r="C782" s="109">
        <v>71.430000000000007</v>
      </c>
      <c r="D782" s="109">
        <v>0</v>
      </c>
      <c r="E782" s="109">
        <v>0</v>
      </c>
      <c r="F782" s="109">
        <v>0</v>
      </c>
      <c r="G782" s="109">
        <v>0</v>
      </c>
      <c r="H782" s="109">
        <v>4.72</v>
      </c>
      <c r="I782" s="109">
        <v>20.52</v>
      </c>
      <c r="J782" s="109">
        <v>0</v>
      </c>
      <c r="K782" s="109">
        <v>0</v>
      </c>
      <c r="L782" s="109">
        <v>3.32</v>
      </c>
      <c r="M782" s="74" t="str">
        <f t="array" ref="M782">_xlfn.TEXTJOIN("-", TRUE, IF(C782:L782&gt;0, $C$2:$L$2, ""))</f>
        <v xml:space="preserve"> Ti-Ta-Nb-Sn</v>
      </c>
      <c r="N782" s="90">
        <f t="shared" si="24"/>
        <v>780</v>
      </c>
      <c r="O782" s="91">
        <f t="shared" si="25"/>
        <v>4</v>
      </c>
      <c r="P782" s="109">
        <v>1</v>
      </c>
      <c r="Q782" s="109">
        <v>1</v>
      </c>
      <c r="R782" s="111" t="s">
        <v>113</v>
      </c>
      <c r="S782" s="111" t="s">
        <v>113</v>
      </c>
      <c r="T782" s="111" t="s">
        <v>113</v>
      </c>
      <c r="U782" s="111" t="s">
        <v>113</v>
      </c>
      <c r="V782" s="111">
        <v>1</v>
      </c>
      <c r="W782" s="111" t="s">
        <v>113</v>
      </c>
      <c r="X782" s="111" t="s">
        <v>113</v>
      </c>
      <c r="Y782" s="111" t="s">
        <v>113</v>
      </c>
      <c r="Z782" s="109">
        <v>69</v>
      </c>
      <c r="AA782" s="111" t="s">
        <v>113</v>
      </c>
      <c r="AB782" s="111" t="s">
        <v>113</v>
      </c>
      <c r="AC782" s="109">
        <v>501</v>
      </c>
      <c r="AD782" s="111" t="s">
        <v>113</v>
      </c>
      <c r="AE782" s="111" t="s">
        <v>113</v>
      </c>
      <c r="AF782" s="111" t="s">
        <v>113</v>
      </c>
      <c r="AG782" s="111" t="s">
        <v>113</v>
      </c>
      <c r="AH782" s="111" t="s">
        <v>113</v>
      </c>
      <c r="AI782" s="111" t="s">
        <v>113</v>
      </c>
      <c r="AJ782" s="111" t="s">
        <v>113</v>
      </c>
      <c r="AK782" s="111" t="s">
        <v>113</v>
      </c>
      <c r="AL782" s="111" t="s">
        <v>113</v>
      </c>
      <c r="AM782" s="111"/>
      <c r="AN782" s="111" t="s">
        <v>113</v>
      </c>
      <c r="AO782" s="111" t="s">
        <v>174</v>
      </c>
      <c r="AP782" s="109">
        <v>390</v>
      </c>
      <c r="AQ782" s="110" t="s">
        <v>100</v>
      </c>
      <c r="AR782" s="105">
        <v>390</v>
      </c>
    </row>
    <row r="783" spans="1:44" ht="16.5">
      <c r="A783" s="29">
        <v>187</v>
      </c>
      <c r="B783" s="19"/>
      <c r="C783" s="18">
        <v>74.48</v>
      </c>
      <c r="D783" s="19">
        <v>0</v>
      </c>
      <c r="E783" s="18">
        <v>0</v>
      </c>
      <c r="F783" s="18">
        <v>0</v>
      </c>
      <c r="G783" s="18">
        <v>0</v>
      </c>
      <c r="H783" s="18">
        <v>4.58</v>
      </c>
      <c r="I783" s="18">
        <v>19.87</v>
      </c>
      <c r="J783" s="18">
        <v>0</v>
      </c>
      <c r="K783" s="18">
        <v>0</v>
      </c>
      <c r="L783" s="18">
        <v>1.07</v>
      </c>
      <c r="M783" s="74" t="str">
        <f t="array" ref="M783">_xlfn.TEXTJOIN("-", TRUE, IF(C783:L783&gt;0, $C$2:$L$2, ""))</f>
        <v xml:space="preserve"> Ti-Ta-Nb-Sn</v>
      </c>
      <c r="N783" s="90">
        <f t="shared" si="24"/>
        <v>780</v>
      </c>
      <c r="O783" s="91">
        <f t="shared" si="25"/>
        <v>4</v>
      </c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8">
        <v>69</v>
      </c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10" t="s">
        <v>382</v>
      </c>
      <c r="AR783" s="32"/>
    </row>
    <row r="784" spans="1:44" ht="16.5">
      <c r="A784" s="105">
        <v>440</v>
      </c>
      <c r="B784" s="111" t="s">
        <v>113</v>
      </c>
      <c r="C784" s="109">
        <v>74.050000000000011</v>
      </c>
      <c r="D784" s="109">
        <v>0</v>
      </c>
      <c r="E784" s="109">
        <v>20.68</v>
      </c>
      <c r="F784" s="109">
        <v>0</v>
      </c>
      <c r="G784" s="109">
        <v>0</v>
      </c>
      <c r="H784" s="109">
        <v>0</v>
      </c>
      <c r="I784" s="109">
        <v>0</v>
      </c>
      <c r="J784" s="109">
        <v>2.1999999999999997</v>
      </c>
      <c r="K784" s="109">
        <v>3.0700000000000003</v>
      </c>
      <c r="L784" s="109">
        <v>0</v>
      </c>
      <c r="M784" s="74" t="str">
        <f t="array" ref="M784">_xlfn.TEXTJOIN("-", TRUE, IF(C784:L784&gt;0, $C$2:$L$2, ""))</f>
        <v xml:space="preserve"> Ti-Zr-Cr-Fe</v>
      </c>
      <c r="N784" s="90">
        <f t="shared" si="24"/>
        <v>784</v>
      </c>
      <c r="O784" s="91">
        <f t="shared" si="25"/>
        <v>4</v>
      </c>
      <c r="P784" s="109">
        <v>1</v>
      </c>
      <c r="Q784" s="146" t="s">
        <v>173</v>
      </c>
      <c r="R784" s="111">
        <v>0</v>
      </c>
      <c r="S784" s="111">
        <v>0</v>
      </c>
      <c r="T784" s="111">
        <v>0</v>
      </c>
      <c r="U784" s="111">
        <v>0</v>
      </c>
      <c r="V784" s="109">
        <v>0</v>
      </c>
      <c r="W784" s="111">
        <v>0</v>
      </c>
      <c r="X784" s="111">
        <v>0</v>
      </c>
      <c r="Y784" s="111">
        <v>0</v>
      </c>
      <c r="Z784" s="109">
        <v>140</v>
      </c>
      <c r="AA784" s="111" t="s">
        <v>113</v>
      </c>
      <c r="AB784" s="111" t="s">
        <v>113</v>
      </c>
      <c r="AC784" s="109">
        <v>1049</v>
      </c>
      <c r="AD784" s="111" t="s">
        <v>113</v>
      </c>
      <c r="AE784" s="111" t="s">
        <v>113</v>
      </c>
      <c r="AF784" s="111" t="s">
        <v>113</v>
      </c>
      <c r="AG784" s="111" t="s">
        <v>113</v>
      </c>
      <c r="AH784" s="111" t="s">
        <v>113</v>
      </c>
      <c r="AI784" s="111" t="s">
        <v>113</v>
      </c>
      <c r="AJ784" s="111" t="s">
        <v>113</v>
      </c>
      <c r="AK784" s="111" t="s">
        <v>113</v>
      </c>
      <c r="AL784" s="111" t="s">
        <v>113</v>
      </c>
      <c r="AM784" s="111"/>
      <c r="AN784" s="111" t="s">
        <v>113</v>
      </c>
      <c r="AO784" s="111" t="s">
        <v>174</v>
      </c>
      <c r="AP784" s="109">
        <v>440</v>
      </c>
      <c r="AQ784" s="110" t="s">
        <v>100</v>
      </c>
      <c r="AR784" s="105">
        <v>440</v>
      </c>
    </row>
    <row r="785" spans="1:61" ht="16.5">
      <c r="A785" s="105">
        <v>441</v>
      </c>
      <c r="B785" s="111" t="s">
        <v>113</v>
      </c>
      <c r="C785" s="109">
        <v>71.91</v>
      </c>
      <c r="D785" s="109">
        <v>0</v>
      </c>
      <c r="E785" s="109">
        <v>20.75</v>
      </c>
      <c r="F785" s="109">
        <v>0</v>
      </c>
      <c r="G785" s="109">
        <v>0</v>
      </c>
      <c r="H785" s="109">
        <v>0</v>
      </c>
      <c r="I785" s="109">
        <v>0</v>
      </c>
      <c r="J785" s="109">
        <v>2.21</v>
      </c>
      <c r="K785" s="109">
        <v>5.1400000000000006</v>
      </c>
      <c r="L785" s="109">
        <v>0</v>
      </c>
      <c r="M785" s="74" t="str">
        <f t="array" ref="M785">_xlfn.TEXTJOIN("-", TRUE, IF(C785:L785&gt;0, $C$2:$L$2, ""))</f>
        <v xml:space="preserve"> Ti-Zr-Cr-Fe</v>
      </c>
      <c r="N785" s="90">
        <f t="shared" si="24"/>
        <v>784</v>
      </c>
      <c r="O785" s="91">
        <f t="shared" si="25"/>
        <v>4</v>
      </c>
      <c r="P785" s="109">
        <v>1</v>
      </c>
      <c r="Q785" s="146" t="s">
        <v>173</v>
      </c>
      <c r="R785" s="111">
        <v>0</v>
      </c>
      <c r="S785" s="111">
        <v>0</v>
      </c>
      <c r="T785" s="111">
        <v>0</v>
      </c>
      <c r="U785" s="111">
        <v>0</v>
      </c>
      <c r="V785" s="109">
        <v>0</v>
      </c>
      <c r="W785" s="111">
        <v>0</v>
      </c>
      <c r="X785" s="111">
        <v>0</v>
      </c>
      <c r="Y785" s="111">
        <v>0</v>
      </c>
      <c r="Z785" s="109">
        <v>145</v>
      </c>
      <c r="AA785" s="111" t="s">
        <v>113</v>
      </c>
      <c r="AB785" s="111" t="s">
        <v>113</v>
      </c>
      <c r="AC785" s="109">
        <v>1130</v>
      </c>
      <c r="AD785" s="111" t="s">
        <v>113</v>
      </c>
      <c r="AE785" s="111" t="s">
        <v>113</v>
      </c>
      <c r="AF785" s="111" t="s">
        <v>113</v>
      </c>
      <c r="AG785" s="111" t="s">
        <v>113</v>
      </c>
      <c r="AH785" s="111" t="s">
        <v>113</v>
      </c>
      <c r="AI785" s="111" t="s">
        <v>113</v>
      </c>
      <c r="AJ785" s="111" t="s">
        <v>113</v>
      </c>
      <c r="AK785" s="111" t="s">
        <v>113</v>
      </c>
      <c r="AL785" s="111" t="s">
        <v>113</v>
      </c>
      <c r="AM785" s="111"/>
      <c r="AN785" s="111" t="s">
        <v>113</v>
      </c>
      <c r="AO785" s="111" t="s">
        <v>174</v>
      </c>
      <c r="AP785" s="109">
        <v>441</v>
      </c>
      <c r="AQ785" s="110" t="s">
        <v>100</v>
      </c>
      <c r="AR785" s="105">
        <v>441</v>
      </c>
    </row>
    <row r="786" spans="1:61" ht="16.5">
      <c r="A786" s="105">
        <v>442</v>
      </c>
      <c r="B786" s="111" t="s">
        <v>113</v>
      </c>
      <c r="C786" s="109">
        <v>69.75</v>
      </c>
      <c r="D786" s="109">
        <v>0</v>
      </c>
      <c r="E786" s="109">
        <v>20.82</v>
      </c>
      <c r="F786" s="109">
        <v>0</v>
      </c>
      <c r="G786" s="109">
        <v>0</v>
      </c>
      <c r="H786" s="109">
        <v>0</v>
      </c>
      <c r="I786" s="109">
        <v>0</v>
      </c>
      <c r="J786" s="109">
        <v>2.21</v>
      </c>
      <c r="K786" s="109">
        <v>7.22</v>
      </c>
      <c r="L786" s="109">
        <v>0</v>
      </c>
      <c r="M786" s="74" t="str">
        <f t="array" ref="M786">_xlfn.TEXTJOIN("-", TRUE, IF(C786:L786&gt;0, $C$2:$L$2, ""))</f>
        <v xml:space="preserve"> Ti-Zr-Cr-Fe</v>
      </c>
      <c r="N786" s="90">
        <f t="shared" si="24"/>
        <v>784</v>
      </c>
      <c r="O786" s="91">
        <f t="shared" si="25"/>
        <v>4</v>
      </c>
      <c r="P786" s="109">
        <v>1</v>
      </c>
      <c r="Q786" s="146" t="s">
        <v>173</v>
      </c>
      <c r="R786" s="111">
        <v>0</v>
      </c>
      <c r="S786" s="111">
        <v>0</v>
      </c>
      <c r="T786" s="111">
        <v>0</v>
      </c>
      <c r="U786" s="111">
        <v>0</v>
      </c>
      <c r="V786" s="109">
        <v>0</v>
      </c>
      <c r="W786" s="111">
        <v>0</v>
      </c>
      <c r="X786" s="111">
        <v>0</v>
      </c>
      <c r="Y786" s="111">
        <v>0</v>
      </c>
      <c r="Z786" s="109">
        <v>157</v>
      </c>
      <c r="AA786" s="111" t="s">
        <v>113</v>
      </c>
      <c r="AB786" s="111" t="s">
        <v>113</v>
      </c>
      <c r="AC786" s="109">
        <v>1239</v>
      </c>
      <c r="AD786" s="111" t="s">
        <v>113</v>
      </c>
      <c r="AE786" s="111" t="s">
        <v>113</v>
      </c>
      <c r="AF786" s="111" t="s">
        <v>113</v>
      </c>
      <c r="AG786" s="111" t="s">
        <v>113</v>
      </c>
      <c r="AH786" s="111" t="s">
        <v>113</v>
      </c>
      <c r="AI786" s="111" t="s">
        <v>113</v>
      </c>
      <c r="AJ786" s="111" t="s">
        <v>113</v>
      </c>
      <c r="AK786" s="111" t="s">
        <v>113</v>
      </c>
      <c r="AL786" s="111" t="s">
        <v>113</v>
      </c>
      <c r="AM786" s="111"/>
      <c r="AN786" s="111" t="s">
        <v>113</v>
      </c>
      <c r="AO786" s="111" t="s">
        <v>174</v>
      </c>
      <c r="AP786" s="109">
        <v>442</v>
      </c>
      <c r="AQ786" s="110" t="s">
        <v>100</v>
      </c>
      <c r="AR786" s="105">
        <v>442</v>
      </c>
    </row>
    <row r="787" spans="1:61" ht="16.5">
      <c r="A787" s="105">
        <v>443</v>
      </c>
      <c r="B787" s="111" t="s">
        <v>113</v>
      </c>
      <c r="C787" s="109">
        <v>71.8</v>
      </c>
      <c r="D787" s="109">
        <v>0</v>
      </c>
      <c r="E787" s="109">
        <v>20.72</v>
      </c>
      <c r="F787" s="109">
        <v>0</v>
      </c>
      <c r="G787" s="109">
        <v>0</v>
      </c>
      <c r="H787" s="109">
        <v>0</v>
      </c>
      <c r="I787" s="109">
        <v>0</v>
      </c>
      <c r="J787" s="109">
        <v>4.41</v>
      </c>
      <c r="K787" s="109">
        <v>3.08</v>
      </c>
      <c r="L787" s="109">
        <v>0</v>
      </c>
      <c r="M787" s="74" t="str">
        <f t="array" ref="M787">_xlfn.TEXTJOIN("-", TRUE, IF(C787:L787&gt;0, $C$2:$L$2, ""))</f>
        <v xml:space="preserve"> Ti-Zr-Cr-Fe</v>
      </c>
      <c r="N787" s="90">
        <f t="shared" si="24"/>
        <v>784</v>
      </c>
      <c r="O787" s="91">
        <f t="shared" si="25"/>
        <v>4</v>
      </c>
      <c r="P787" s="109">
        <v>1</v>
      </c>
      <c r="Q787" s="146" t="s">
        <v>173</v>
      </c>
      <c r="R787" s="111">
        <v>0</v>
      </c>
      <c r="S787" s="111">
        <v>0</v>
      </c>
      <c r="T787" s="111">
        <v>0</v>
      </c>
      <c r="U787" s="111">
        <v>0</v>
      </c>
      <c r="V787" s="109">
        <v>0</v>
      </c>
      <c r="W787" s="111">
        <v>0</v>
      </c>
      <c r="X787" s="111">
        <v>0</v>
      </c>
      <c r="Y787" s="111">
        <v>0</v>
      </c>
      <c r="Z787" s="109">
        <v>130</v>
      </c>
      <c r="AA787" s="111" t="s">
        <v>113</v>
      </c>
      <c r="AB787" s="111" t="s">
        <v>113</v>
      </c>
      <c r="AC787" s="109">
        <v>1113</v>
      </c>
      <c r="AD787" s="111" t="s">
        <v>113</v>
      </c>
      <c r="AE787" s="111" t="s">
        <v>113</v>
      </c>
      <c r="AF787" s="111" t="s">
        <v>113</v>
      </c>
      <c r="AG787" s="111" t="s">
        <v>113</v>
      </c>
      <c r="AH787" s="111" t="s">
        <v>113</v>
      </c>
      <c r="AI787" s="111" t="s">
        <v>113</v>
      </c>
      <c r="AJ787" s="111" t="s">
        <v>113</v>
      </c>
      <c r="AK787" s="111" t="s">
        <v>113</v>
      </c>
      <c r="AL787" s="111" t="s">
        <v>113</v>
      </c>
      <c r="AM787" s="111"/>
      <c r="AN787" s="111" t="s">
        <v>113</v>
      </c>
      <c r="AO787" s="111" t="s">
        <v>174</v>
      </c>
      <c r="AP787" s="109">
        <v>443</v>
      </c>
      <c r="AQ787" s="110" t="s">
        <v>100</v>
      </c>
      <c r="AR787" s="105">
        <v>443</v>
      </c>
    </row>
    <row r="788" spans="1:61" ht="16.5">
      <c r="A788" s="105">
        <v>444</v>
      </c>
      <c r="B788" s="111" t="s">
        <v>113</v>
      </c>
      <c r="C788" s="109">
        <v>69.64</v>
      </c>
      <c r="D788" s="109">
        <v>0</v>
      </c>
      <c r="E788" s="109">
        <v>20.79</v>
      </c>
      <c r="F788" s="109">
        <v>0</v>
      </c>
      <c r="G788" s="109">
        <v>0</v>
      </c>
      <c r="H788" s="109">
        <v>0</v>
      </c>
      <c r="I788" s="109">
        <v>0</v>
      </c>
      <c r="J788" s="109">
        <v>4.42</v>
      </c>
      <c r="K788" s="109">
        <v>5.1499999999999995</v>
      </c>
      <c r="L788" s="109">
        <v>0</v>
      </c>
      <c r="M788" s="74" t="str">
        <f t="array" ref="M788">_xlfn.TEXTJOIN("-", TRUE, IF(C788:L788&gt;0, $C$2:$L$2, ""))</f>
        <v xml:space="preserve"> Ti-Zr-Cr-Fe</v>
      </c>
      <c r="N788" s="90">
        <f t="shared" si="24"/>
        <v>784</v>
      </c>
      <c r="O788" s="91">
        <f t="shared" si="25"/>
        <v>4</v>
      </c>
      <c r="P788" s="109">
        <v>1</v>
      </c>
      <c r="Q788" s="146" t="s">
        <v>173</v>
      </c>
      <c r="R788" s="111">
        <v>0</v>
      </c>
      <c r="S788" s="111">
        <v>0</v>
      </c>
      <c r="T788" s="111">
        <v>0</v>
      </c>
      <c r="U788" s="111">
        <v>0</v>
      </c>
      <c r="V788" s="109">
        <v>0</v>
      </c>
      <c r="W788" s="111">
        <v>0</v>
      </c>
      <c r="X788" s="111">
        <v>0</v>
      </c>
      <c r="Y788" s="111">
        <v>0</v>
      </c>
      <c r="Z788" s="109">
        <v>142</v>
      </c>
      <c r="AA788" s="111" t="s">
        <v>113</v>
      </c>
      <c r="AB788" s="111" t="s">
        <v>113</v>
      </c>
      <c r="AC788" s="109">
        <v>1210</v>
      </c>
      <c r="AD788" s="111" t="s">
        <v>113</v>
      </c>
      <c r="AE788" s="111" t="s">
        <v>113</v>
      </c>
      <c r="AF788" s="111" t="s">
        <v>113</v>
      </c>
      <c r="AG788" s="111" t="s">
        <v>113</v>
      </c>
      <c r="AH788" s="111" t="s">
        <v>113</v>
      </c>
      <c r="AI788" s="111" t="s">
        <v>113</v>
      </c>
      <c r="AJ788" s="111" t="s">
        <v>113</v>
      </c>
      <c r="AK788" s="111" t="s">
        <v>113</v>
      </c>
      <c r="AL788" s="111" t="s">
        <v>113</v>
      </c>
      <c r="AM788" s="111"/>
      <c r="AN788" s="111" t="s">
        <v>113</v>
      </c>
      <c r="AO788" s="111" t="s">
        <v>174</v>
      </c>
      <c r="AP788" s="109">
        <v>444</v>
      </c>
      <c r="AQ788" s="110" t="s">
        <v>100</v>
      </c>
      <c r="AR788" s="105">
        <v>444</v>
      </c>
    </row>
    <row r="789" spans="1:61" ht="16.5">
      <c r="A789" s="105">
        <v>445</v>
      </c>
      <c r="B789" s="111" t="s">
        <v>113</v>
      </c>
      <c r="C789" s="109">
        <v>67.47</v>
      </c>
      <c r="D789" s="109">
        <v>0</v>
      </c>
      <c r="E789" s="109">
        <v>20.86</v>
      </c>
      <c r="F789" s="109">
        <v>0</v>
      </c>
      <c r="G789" s="109">
        <v>0</v>
      </c>
      <c r="H789" s="109">
        <v>0</v>
      </c>
      <c r="I789" s="109">
        <v>0</v>
      </c>
      <c r="J789" s="109">
        <v>4.4400000000000004</v>
      </c>
      <c r="K789" s="109">
        <v>7.23</v>
      </c>
      <c r="L789" s="109">
        <v>0</v>
      </c>
      <c r="M789" s="74" t="str">
        <f t="array" ref="M789">_xlfn.TEXTJOIN("-", TRUE, IF(C789:L789&gt;0, $C$2:$L$2, ""))</f>
        <v xml:space="preserve"> Ti-Zr-Cr-Fe</v>
      </c>
      <c r="N789" s="90">
        <f t="shared" si="24"/>
        <v>784</v>
      </c>
      <c r="O789" s="91">
        <f t="shared" si="25"/>
        <v>4</v>
      </c>
      <c r="P789" s="109">
        <v>1</v>
      </c>
      <c r="Q789" s="146" t="s">
        <v>173</v>
      </c>
      <c r="R789" s="111">
        <v>0</v>
      </c>
      <c r="S789" s="111">
        <v>0</v>
      </c>
      <c r="T789" s="111">
        <v>0</v>
      </c>
      <c r="U789" s="111">
        <v>0</v>
      </c>
      <c r="V789" s="109">
        <v>0</v>
      </c>
      <c r="W789" s="111">
        <v>0</v>
      </c>
      <c r="X789" s="111">
        <v>0</v>
      </c>
      <c r="Y789" s="111">
        <v>0</v>
      </c>
      <c r="Z789" s="109">
        <v>149</v>
      </c>
      <c r="AA789" s="111" t="s">
        <v>113</v>
      </c>
      <c r="AB789" s="111" t="s">
        <v>113</v>
      </c>
      <c r="AC789" s="109">
        <v>1287</v>
      </c>
      <c r="AD789" s="111" t="s">
        <v>113</v>
      </c>
      <c r="AE789" s="111" t="s">
        <v>113</v>
      </c>
      <c r="AF789" s="111" t="s">
        <v>113</v>
      </c>
      <c r="AG789" s="111" t="s">
        <v>113</v>
      </c>
      <c r="AH789" s="111" t="s">
        <v>113</v>
      </c>
      <c r="AI789" s="111" t="s">
        <v>113</v>
      </c>
      <c r="AJ789" s="111" t="s">
        <v>113</v>
      </c>
      <c r="AK789" s="111" t="s">
        <v>113</v>
      </c>
      <c r="AL789" s="111" t="s">
        <v>113</v>
      </c>
      <c r="AM789" s="111"/>
      <c r="AN789" s="111" t="s">
        <v>113</v>
      </c>
      <c r="AO789" s="111" t="s">
        <v>174</v>
      </c>
      <c r="AP789" s="109">
        <v>445</v>
      </c>
      <c r="AQ789" s="110" t="s">
        <v>100</v>
      </c>
      <c r="AR789" s="105">
        <v>445</v>
      </c>
    </row>
    <row r="790" spans="1:61" ht="16.5">
      <c r="A790" s="105">
        <v>375</v>
      </c>
      <c r="B790" s="111" t="s">
        <v>113</v>
      </c>
      <c r="C790" s="109">
        <v>88.06</v>
      </c>
      <c r="D790" s="109">
        <v>0</v>
      </c>
      <c r="E790" s="109">
        <v>3.47</v>
      </c>
      <c r="F790" s="109">
        <v>6.59</v>
      </c>
      <c r="G790" s="109">
        <v>0</v>
      </c>
      <c r="H790" s="109">
        <v>0</v>
      </c>
      <c r="I790" s="109">
        <v>0</v>
      </c>
      <c r="J790" s="109">
        <v>0</v>
      </c>
      <c r="K790" s="109">
        <v>1.8900000000000001</v>
      </c>
      <c r="L790" s="109">
        <v>0</v>
      </c>
      <c r="M790" s="74" t="str">
        <f t="array" ref="M790">_xlfn.TEXTJOIN("-", TRUE, IF(C790:L790&gt;0, $C$2:$L$2, ""))</f>
        <v xml:space="preserve"> Ti-Zr-Mo-Fe</v>
      </c>
      <c r="N790" s="90" t="str">
        <f t="shared" si="24"/>
        <v/>
      </c>
      <c r="O790" s="91">
        <f t="shared" si="25"/>
        <v>4</v>
      </c>
      <c r="P790" s="109">
        <v>1</v>
      </c>
      <c r="Q790" s="109">
        <v>1</v>
      </c>
      <c r="R790" s="111" t="s">
        <v>113</v>
      </c>
      <c r="S790" s="111" t="s">
        <v>113</v>
      </c>
      <c r="T790" s="111" t="s">
        <v>113</v>
      </c>
      <c r="U790" s="111" t="s">
        <v>113</v>
      </c>
      <c r="V790" s="111">
        <v>2</v>
      </c>
      <c r="W790" s="111" t="s">
        <v>113</v>
      </c>
      <c r="X790" s="111" t="s">
        <v>113</v>
      </c>
      <c r="Y790" s="111" t="s">
        <v>113</v>
      </c>
      <c r="Z790" s="109">
        <v>79.5</v>
      </c>
      <c r="AA790" s="111" t="s">
        <v>113</v>
      </c>
      <c r="AB790" s="111" t="s">
        <v>113</v>
      </c>
      <c r="AC790" s="109">
        <v>897</v>
      </c>
      <c r="AD790" s="111" t="s">
        <v>113</v>
      </c>
      <c r="AE790" s="111" t="s">
        <v>113</v>
      </c>
      <c r="AF790" s="111" t="s">
        <v>113</v>
      </c>
      <c r="AG790" s="111" t="s">
        <v>113</v>
      </c>
      <c r="AH790" s="111" t="s">
        <v>113</v>
      </c>
      <c r="AI790" s="111" t="s">
        <v>113</v>
      </c>
      <c r="AJ790" s="111" t="s">
        <v>113</v>
      </c>
      <c r="AK790" s="111" t="s">
        <v>113</v>
      </c>
      <c r="AL790" s="111" t="s">
        <v>113</v>
      </c>
      <c r="AM790" s="111"/>
      <c r="AN790" s="111" t="s">
        <v>113</v>
      </c>
      <c r="AO790" s="111" t="s">
        <v>174</v>
      </c>
      <c r="AP790" s="109">
        <v>375</v>
      </c>
      <c r="AQ790" s="110" t="s">
        <v>100</v>
      </c>
      <c r="AR790" s="105">
        <v>375</v>
      </c>
    </row>
    <row r="791" spans="1:61" ht="16.5">
      <c r="A791" s="105">
        <v>451</v>
      </c>
      <c r="B791" s="111" t="s">
        <v>113</v>
      </c>
      <c r="C791" s="109">
        <v>82.96</v>
      </c>
      <c r="D791" s="109">
        <v>3.7699999999999996</v>
      </c>
      <c r="E791" s="109">
        <v>8.3699999999999992</v>
      </c>
      <c r="F791" s="109">
        <v>0</v>
      </c>
      <c r="G791" s="109">
        <v>0</v>
      </c>
      <c r="H791" s="109">
        <v>0</v>
      </c>
      <c r="I791" s="109">
        <v>0</v>
      </c>
      <c r="J791" s="109">
        <v>4.9000000000000004</v>
      </c>
      <c r="K791" s="109">
        <v>0</v>
      </c>
      <c r="L791" s="109">
        <v>0</v>
      </c>
      <c r="M791" s="74" t="str">
        <f t="array" ref="M791">_xlfn.TEXTJOIN("-", TRUE, IF(C791:L791&gt;0, $C$2:$L$2, ""))</f>
        <v xml:space="preserve"> Ti-Al-Zr-Cr</v>
      </c>
      <c r="N791" s="90" t="str">
        <f t="shared" si="24"/>
        <v/>
      </c>
      <c r="O791" s="91">
        <f t="shared" si="25"/>
        <v>4</v>
      </c>
      <c r="P791" s="109">
        <v>1</v>
      </c>
      <c r="Q791" s="109">
        <v>1</v>
      </c>
      <c r="R791" s="111" t="s">
        <v>113</v>
      </c>
      <c r="S791" s="111" t="s">
        <v>113</v>
      </c>
      <c r="T791" s="111" t="s">
        <v>113</v>
      </c>
      <c r="U791" s="111" t="s">
        <v>113</v>
      </c>
      <c r="V791" s="111">
        <v>1</v>
      </c>
      <c r="W791" s="111" t="s">
        <v>113</v>
      </c>
      <c r="X791" s="111" t="s">
        <v>113</v>
      </c>
      <c r="Y791" s="111" t="s">
        <v>113</v>
      </c>
      <c r="Z791" s="109">
        <v>58</v>
      </c>
      <c r="AA791" s="111" t="s">
        <v>113</v>
      </c>
      <c r="AB791" s="111" t="s">
        <v>113</v>
      </c>
      <c r="AC791" s="109">
        <v>625.4</v>
      </c>
      <c r="AD791" s="111" t="s">
        <v>113</v>
      </c>
      <c r="AE791" s="111" t="s">
        <v>113</v>
      </c>
      <c r="AF791" s="111" t="s">
        <v>113</v>
      </c>
      <c r="AG791" s="111" t="s">
        <v>113</v>
      </c>
      <c r="AH791" s="111" t="s">
        <v>113</v>
      </c>
      <c r="AI791" s="111" t="s">
        <v>113</v>
      </c>
      <c r="AJ791" s="111" t="s">
        <v>113</v>
      </c>
      <c r="AK791" s="111" t="s">
        <v>113</v>
      </c>
      <c r="AL791" s="111" t="s">
        <v>113</v>
      </c>
      <c r="AM791" s="111"/>
      <c r="AN791" s="111" t="s">
        <v>113</v>
      </c>
      <c r="AO791" s="111" t="s">
        <v>174</v>
      </c>
      <c r="AP791" s="109">
        <v>451</v>
      </c>
      <c r="AQ791" s="110" t="s">
        <v>100</v>
      </c>
      <c r="AR791" s="105">
        <v>451</v>
      </c>
    </row>
    <row r="792" spans="1:61" ht="16.5">
      <c r="A792" s="29">
        <v>212</v>
      </c>
      <c r="B792" s="19"/>
      <c r="C792" s="18">
        <v>87.94</v>
      </c>
      <c r="D792" s="19">
        <v>0</v>
      </c>
      <c r="E792" s="18">
        <v>3.54</v>
      </c>
      <c r="F792" s="18">
        <v>6.47</v>
      </c>
      <c r="G792" s="18">
        <v>0</v>
      </c>
      <c r="H792" s="18">
        <v>0</v>
      </c>
      <c r="I792" s="18">
        <v>0</v>
      </c>
      <c r="J792" s="18">
        <v>0</v>
      </c>
      <c r="K792" s="18">
        <v>0</v>
      </c>
      <c r="L792" s="18">
        <v>2.0499999999999998</v>
      </c>
      <c r="M792" s="74" t="str">
        <f t="array" ref="M792">_xlfn.TEXTJOIN("-", TRUE, IF(C792:L792&gt;0, $C$2:$L$2, ""))</f>
        <v xml:space="preserve"> Ti-Zr-Mo-Sn</v>
      </c>
      <c r="N792" s="90" t="str">
        <f t="shared" si="24"/>
        <v/>
      </c>
      <c r="O792" s="91">
        <f t="shared" si="25"/>
        <v>4</v>
      </c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8">
        <v>83</v>
      </c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10" t="s">
        <v>382</v>
      </c>
      <c r="AR792" s="32"/>
    </row>
    <row r="793" spans="1:61" ht="16.5">
      <c r="A793" s="125">
        <v>33</v>
      </c>
      <c r="B793" s="126"/>
      <c r="C793" s="112">
        <v>54</v>
      </c>
      <c r="D793" s="112">
        <v>0</v>
      </c>
      <c r="E793" s="112">
        <v>3</v>
      </c>
      <c r="F793" s="112">
        <v>3</v>
      </c>
      <c r="G793" s="112">
        <v>0</v>
      </c>
      <c r="H793" s="112">
        <v>0</v>
      </c>
      <c r="I793" s="112">
        <v>35</v>
      </c>
      <c r="J793" s="112">
        <v>0</v>
      </c>
      <c r="K793" s="112">
        <v>0</v>
      </c>
      <c r="L793" s="112">
        <v>5</v>
      </c>
      <c r="M793" s="74" t="str">
        <f t="array" ref="M793">_xlfn.TEXTJOIN("-", TRUE, IF(C793:L793&gt;0, $C$2:$L$2, ""))</f>
        <v xml:space="preserve"> Ti-Zr-Mo-Nb-Sn</v>
      </c>
      <c r="N793" s="90">
        <f t="shared" si="24"/>
        <v>793</v>
      </c>
      <c r="O793" s="91">
        <f t="shared" si="25"/>
        <v>5</v>
      </c>
      <c r="P793" s="112">
        <v>2</v>
      </c>
      <c r="Q793" s="112">
        <v>0</v>
      </c>
      <c r="R793" s="112">
        <v>0</v>
      </c>
      <c r="S793" s="112">
        <v>0</v>
      </c>
      <c r="T793" s="112">
        <v>800</v>
      </c>
      <c r="U793" s="112">
        <v>0.5</v>
      </c>
      <c r="V793" s="112">
        <v>1</v>
      </c>
      <c r="W793" s="112">
        <v>0</v>
      </c>
      <c r="X793" s="112">
        <v>0</v>
      </c>
      <c r="Y793" s="112">
        <v>0</v>
      </c>
      <c r="Z793" s="112">
        <v>70</v>
      </c>
      <c r="AA793" s="112"/>
      <c r="AB793" s="112">
        <v>690</v>
      </c>
      <c r="AC793" s="112">
        <v>668</v>
      </c>
      <c r="AD793" s="112">
        <v>18</v>
      </c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 t="s">
        <v>57</v>
      </c>
      <c r="AO793" s="126" t="s">
        <v>58</v>
      </c>
      <c r="AP793" s="126">
        <v>2</v>
      </c>
      <c r="AQ793" s="124" t="s">
        <v>54</v>
      </c>
      <c r="AR793" s="125">
        <v>33</v>
      </c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</row>
    <row r="794" spans="1:61" ht="16.5">
      <c r="A794" s="125">
        <v>34</v>
      </c>
      <c r="B794" s="126"/>
      <c r="C794" s="112">
        <v>51</v>
      </c>
      <c r="D794" s="112">
        <v>0</v>
      </c>
      <c r="E794" s="112">
        <v>3</v>
      </c>
      <c r="F794" s="112">
        <v>6</v>
      </c>
      <c r="G794" s="112">
        <v>0</v>
      </c>
      <c r="H794" s="112">
        <v>0</v>
      </c>
      <c r="I794" s="112">
        <v>35</v>
      </c>
      <c r="J794" s="112">
        <v>0</v>
      </c>
      <c r="K794" s="112">
        <v>0</v>
      </c>
      <c r="L794" s="112">
        <v>5</v>
      </c>
      <c r="M794" s="74" t="str">
        <f t="array" ref="M794">_xlfn.TEXTJOIN("-", TRUE, IF(C794:L794&gt;0, $C$2:$L$2, ""))</f>
        <v xml:space="preserve"> Ti-Zr-Mo-Nb-Sn</v>
      </c>
      <c r="N794" s="90">
        <f t="shared" si="24"/>
        <v>793</v>
      </c>
      <c r="O794" s="91">
        <f t="shared" si="25"/>
        <v>5</v>
      </c>
      <c r="P794" s="112">
        <v>2</v>
      </c>
      <c r="Q794" s="112">
        <v>0</v>
      </c>
      <c r="R794" s="112">
        <v>0</v>
      </c>
      <c r="S794" s="112">
        <v>0</v>
      </c>
      <c r="T794" s="112">
        <v>800</v>
      </c>
      <c r="U794" s="112">
        <v>0.5</v>
      </c>
      <c r="V794" s="112">
        <v>1</v>
      </c>
      <c r="W794" s="112">
        <v>0</v>
      </c>
      <c r="X794" s="112">
        <v>0</v>
      </c>
      <c r="Y794" s="112">
        <v>0</v>
      </c>
      <c r="Z794" s="112">
        <v>85</v>
      </c>
      <c r="AA794" s="112"/>
      <c r="AB794" s="112">
        <v>770</v>
      </c>
      <c r="AC794" s="112">
        <v>729</v>
      </c>
      <c r="AD794" s="112">
        <v>10.5</v>
      </c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 t="s">
        <v>57</v>
      </c>
      <c r="AO794" s="126" t="s">
        <v>58</v>
      </c>
      <c r="AP794" s="126">
        <v>2</v>
      </c>
      <c r="AQ794" s="124" t="s">
        <v>54</v>
      </c>
      <c r="AR794" s="125">
        <v>34</v>
      </c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</row>
    <row r="795" spans="1:61" ht="16.5">
      <c r="A795" s="125">
        <v>35</v>
      </c>
      <c r="B795" s="126"/>
      <c r="C795" s="112">
        <v>44</v>
      </c>
      <c r="D795" s="112">
        <v>0</v>
      </c>
      <c r="E795" s="112">
        <v>9</v>
      </c>
      <c r="F795" s="112">
        <v>9</v>
      </c>
      <c r="G795" s="112">
        <v>0</v>
      </c>
      <c r="H795" s="112">
        <v>0</v>
      </c>
      <c r="I795" s="112">
        <v>35</v>
      </c>
      <c r="J795" s="112">
        <v>0</v>
      </c>
      <c r="K795" s="112">
        <v>0</v>
      </c>
      <c r="L795" s="112">
        <v>3</v>
      </c>
      <c r="M795" s="74" t="str">
        <f t="array" ref="M795">_xlfn.TEXTJOIN("-", TRUE, IF(C795:L795&gt;0, $C$2:$L$2, ""))</f>
        <v xml:space="preserve"> Ti-Zr-Mo-Nb-Sn</v>
      </c>
      <c r="N795" s="90">
        <f t="shared" si="24"/>
        <v>793</v>
      </c>
      <c r="O795" s="91">
        <f t="shared" si="25"/>
        <v>5</v>
      </c>
      <c r="P795" s="112">
        <v>2</v>
      </c>
      <c r="Q795" s="112">
        <v>0</v>
      </c>
      <c r="R795" s="112">
        <v>0</v>
      </c>
      <c r="S795" s="112">
        <v>0</v>
      </c>
      <c r="T795" s="112">
        <v>800</v>
      </c>
      <c r="U795" s="112">
        <v>0.5</v>
      </c>
      <c r="V795" s="112">
        <v>1</v>
      </c>
      <c r="W795" s="112">
        <v>0</v>
      </c>
      <c r="X795" s="112">
        <v>0</v>
      </c>
      <c r="Y795" s="112">
        <v>0</v>
      </c>
      <c r="Z795" s="112">
        <v>70</v>
      </c>
      <c r="AA795" s="112"/>
      <c r="AB795" s="112">
        <v>833</v>
      </c>
      <c r="AC795" s="112">
        <v>781</v>
      </c>
      <c r="AD795" s="112">
        <v>10.199999999999999</v>
      </c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 t="s">
        <v>57</v>
      </c>
      <c r="AO795" s="126" t="s">
        <v>58</v>
      </c>
      <c r="AP795" s="126">
        <v>2</v>
      </c>
      <c r="AQ795" s="124" t="s">
        <v>54</v>
      </c>
      <c r="AR795" s="125">
        <v>35</v>
      </c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</row>
    <row r="796" spans="1:61" ht="16.5">
      <c r="A796" s="125">
        <v>36</v>
      </c>
      <c r="B796" s="126"/>
      <c r="C796" s="112">
        <v>52</v>
      </c>
      <c r="D796" s="112">
        <v>0</v>
      </c>
      <c r="E796" s="112">
        <v>6</v>
      </c>
      <c r="F796" s="112">
        <v>3</v>
      </c>
      <c r="G796" s="112">
        <v>0</v>
      </c>
      <c r="H796" s="112">
        <v>0</v>
      </c>
      <c r="I796" s="112">
        <v>35</v>
      </c>
      <c r="J796" s="112">
        <v>0</v>
      </c>
      <c r="K796" s="112">
        <v>0</v>
      </c>
      <c r="L796" s="112">
        <v>4</v>
      </c>
      <c r="M796" s="74" t="str">
        <f t="array" ref="M796">_xlfn.TEXTJOIN("-", TRUE, IF(C796:L796&gt;0, $C$2:$L$2, ""))</f>
        <v xml:space="preserve"> Ti-Zr-Mo-Nb-Sn</v>
      </c>
      <c r="N796" s="90">
        <f t="shared" si="24"/>
        <v>793</v>
      </c>
      <c r="O796" s="91">
        <f t="shared" si="25"/>
        <v>5</v>
      </c>
      <c r="P796" s="112">
        <v>2</v>
      </c>
      <c r="Q796" s="112">
        <v>0</v>
      </c>
      <c r="R796" s="112">
        <v>0</v>
      </c>
      <c r="S796" s="112">
        <v>0</v>
      </c>
      <c r="T796" s="112">
        <v>800</v>
      </c>
      <c r="U796" s="112">
        <v>0.5</v>
      </c>
      <c r="V796" s="112">
        <v>1</v>
      </c>
      <c r="W796" s="112">
        <v>0</v>
      </c>
      <c r="X796" s="112">
        <v>0</v>
      </c>
      <c r="Y796" s="112">
        <v>0</v>
      </c>
      <c r="Z796" s="112">
        <v>55</v>
      </c>
      <c r="AA796" s="112"/>
      <c r="AB796" s="112">
        <v>666</v>
      </c>
      <c r="AC796" s="112">
        <v>654</v>
      </c>
      <c r="AD796" s="112">
        <v>8.9</v>
      </c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 t="s">
        <v>57</v>
      </c>
      <c r="AO796" s="126" t="s">
        <v>58</v>
      </c>
      <c r="AP796" s="126">
        <v>2</v>
      </c>
      <c r="AQ796" s="124" t="s">
        <v>54</v>
      </c>
      <c r="AR796" s="125">
        <v>36</v>
      </c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</row>
    <row r="797" spans="1:61" ht="16.5">
      <c r="A797" s="27">
        <v>2</v>
      </c>
      <c r="B797" s="20"/>
      <c r="C797" s="20">
        <v>68</v>
      </c>
      <c r="D797" s="20">
        <v>0</v>
      </c>
      <c r="E797" s="20">
        <v>10</v>
      </c>
      <c r="F797" s="20">
        <v>5.3</v>
      </c>
      <c r="G797" s="20">
        <v>0</v>
      </c>
      <c r="H797" s="20">
        <v>0</v>
      </c>
      <c r="I797" s="20">
        <v>10.199999999999999</v>
      </c>
      <c r="J797" s="20">
        <v>0</v>
      </c>
      <c r="K797" s="20">
        <v>0</v>
      </c>
      <c r="L797" s="20">
        <v>6.5</v>
      </c>
      <c r="M797" s="74" t="str">
        <f t="array" ref="M797">_xlfn.TEXTJOIN("-", TRUE, IF(C797:L797&gt;0, $C$2:$L$2, ""))</f>
        <v xml:space="preserve"> Ti-Zr-Mo-Nb-Sn</v>
      </c>
      <c r="N797" s="90">
        <f t="shared" si="24"/>
        <v>793</v>
      </c>
      <c r="O797" s="91">
        <f t="shared" si="25"/>
        <v>5</v>
      </c>
      <c r="P797" s="20">
        <v>1</v>
      </c>
      <c r="Q797" s="149">
        <v>0</v>
      </c>
      <c r="R797" s="149">
        <v>0</v>
      </c>
      <c r="S797" s="149">
        <v>0</v>
      </c>
      <c r="T797" s="20">
        <v>0</v>
      </c>
      <c r="U797" s="20">
        <v>0</v>
      </c>
      <c r="V797" s="20">
        <v>0</v>
      </c>
      <c r="W797" s="20">
        <v>0</v>
      </c>
      <c r="X797" s="20">
        <v>0</v>
      </c>
      <c r="Y797" s="20">
        <v>0</v>
      </c>
      <c r="Z797" s="149">
        <v>48</v>
      </c>
      <c r="AA797" s="20"/>
      <c r="AB797" s="20">
        <v>715</v>
      </c>
      <c r="AC797" s="149">
        <v>478</v>
      </c>
      <c r="AD797" s="20">
        <v>7.6</v>
      </c>
      <c r="AE797" s="20"/>
      <c r="AF797" s="20"/>
      <c r="AG797" s="20"/>
      <c r="AH797" s="20"/>
      <c r="AI797" s="20"/>
      <c r="AJ797" s="20"/>
      <c r="AK797" s="20"/>
      <c r="AL797" s="20"/>
      <c r="AM797" s="20"/>
      <c r="AN797" s="20" t="s">
        <v>538</v>
      </c>
      <c r="AO797" s="20" t="s">
        <v>539</v>
      </c>
      <c r="AP797" s="20">
        <v>2</v>
      </c>
      <c r="AQ797" s="133" t="s">
        <v>374</v>
      </c>
      <c r="AR797" s="27">
        <v>2</v>
      </c>
      <c r="AS797" s="12" t="s">
        <v>151</v>
      </c>
    </row>
    <row r="798" spans="1:61" ht="16.5">
      <c r="A798" s="27">
        <v>3</v>
      </c>
      <c r="B798" s="20"/>
      <c r="C798" s="20">
        <v>61.7</v>
      </c>
      <c r="D798" s="20">
        <v>0</v>
      </c>
      <c r="E798" s="20">
        <v>9.1</v>
      </c>
      <c r="F798" s="20">
        <v>4.8</v>
      </c>
      <c r="G798" s="20">
        <v>0</v>
      </c>
      <c r="H798" s="20">
        <v>0</v>
      </c>
      <c r="I798" s="20">
        <v>18.5</v>
      </c>
      <c r="J798" s="20">
        <v>0</v>
      </c>
      <c r="K798" s="20">
        <v>0</v>
      </c>
      <c r="L798" s="20">
        <v>5.9</v>
      </c>
      <c r="M798" s="74" t="str">
        <f t="array" ref="M798">_xlfn.TEXTJOIN("-", TRUE, IF(C798:L798&gt;0, $C$2:$L$2, ""))</f>
        <v xml:space="preserve"> Ti-Zr-Mo-Nb-Sn</v>
      </c>
      <c r="N798" s="90">
        <f t="shared" si="24"/>
        <v>793</v>
      </c>
      <c r="O798" s="91">
        <f t="shared" si="25"/>
        <v>5</v>
      </c>
      <c r="P798" s="20">
        <v>1</v>
      </c>
      <c r="Q798" s="149">
        <v>0</v>
      </c>
      <c r="R798" s="149">
        <v>0</v>
      </c>
      <c r="S798" s="149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149">
        <v>72</v>
      </c>
      <c r="AA798" s="20"/>
      <c r="AB798" s="20">
        <v>519</v>
      </c>
      <c r="AC798" s="149">
        <v>499</v>
      </c>
      <c r="AD798" s="20">
        <v>6.4</v>
      </c>
      <c r="AE798" s="20"/>
      <c r="AF798" s="20"/>
      <c r="AG798" s="20"/>
      <c r="AH798" s="20"/>
      <c r="AI798" s="20"/>
      <c r="AJ798" s="20"/>
      <c r="AK798" s="20"/>
      <c r="AL798" s="20"/>
      <c r="AM798" s="20"/>
      <c r="AN798" s="20" t="s">
        <v>540</v>
      </c>
      <c r="AO798" s="20" t="s">
        <v>539</v>
      </c>
      <c r="AP798" s="20">
        <v>2</v>
      </c>
      <c r="AQ798" s="133" t="s">
        <v>374</v>
      </c>
      <c r="AR798" s="27">
        <v>3</v>
      </c>
      <c r="AS798" s="12" t="s">
        <v>151</v>
      </c>
    </row>
    <row r="799" spans="1:61" ht="16.5">
      <c r="A799" s="27">
        <v>4</v>
      </c>
      <c r="B799" s="20"/>
      <c r="C799" s="20">
        <v>65.599999999999994</v>
      </c>
      <c r="D799" s="20">
        <v>0</v>
      </c>
      <c r="E799" s="20">
        <v>9.3000000000000007</v>
      </c>
      <c r="F799" s="20">
        <v>4.9000000000000004</v>
      </c>
      <c r="G799" s="20">
        <v>0</v>
      </c>
      <c r="H799" s="20">
        <v>0</v>
      </c>
      <c r="I799" s="20">
        <v>14.2</v>
      </c>
      <c r="J799" s="20">
        <v>0</v>
      </c>
      <c r="K799" s="20">
        <v>0</v>
      </c>
      <c r="L799" s="20">
        <v>6</v>
      </c>
      <c r="M799" s="74" t="str">
        <f t="array" ref="M799">_xlfn.TEXTJOIN("-", TRUE, IF(C799:L799&gt;0, $C$2:$L$2, ""))</f>
        <v xml:space="preserve"> Ti-Zr-Mo-Nb-Sn</v>
      </c>
      <c r="N799" s="90">
        <f t="shared" si="24"/>
        <v>793</v>
      </c>
      <c r="O799" s="91">
        <f t="shared" si="25"/>
        <v>5</v>
      </c>
      <c r="P799" s="20">
        <v>1</v>
      </c>
      <c r="Q799" s="149">
        <v>0</v>
      </c>
      <c r="R799" s="149">
        <v>0</v>
      </c>
      <c r="S799" s="149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149">
        <v>56</v>
      </c>
      <c r="AA799" s="20"/>
      <c r="AB799" s="20">
        <v>701</v>
      </c>
      <c r="AC799" s="149">
        <v>566</v>
      </c>
      <c r="AD799" s="20">
        <v>13.6</v>
      </c>
      <c r="AE799" s="20"/>
      <c r="AF799" s="20"/>
      <c r="AG799" s="20"/>
      <c r="AH799" s="20"/>
      <c r="AI799" s="20"/>
      <c r="AJ799" s="20"/>
      <c r="AK799" s="20"/>
      <c r="AL799" s="20"/>
      <c r="AM799" s="20"/>
      <c r="AN799" s="20" t="s">
        <v>541</v>
      </c>
      <c r="AO799" s="20" t="s">
        <v>539</v>
      </c>
      <c r="AP799" s="20">
        <v>2</v>
      </c>
      <c r="AQ799" s="133" t="s">
        <v>374</v>
      </c>
      <c r="AR799" s="27">
        <v>4</v>
      </c>
      <c r="AS799" s="12" t="s">
        <v>151</v>
      </c>
    </row>
    <row r="800" spans="1:61" ht="16.5">
      <c r="A800" s="27">
        <v>5</v>
      </c>
      <c r="B800" s="20"/>
      <c r="C800" s="20">
        <v>69.599999999999994</v>
      </c>
      <c r="D800" s="20">
        <v>0</v>
      </c>
      <c r="E800" s="20">
        <v>9.5</v>
      </c>
      <c r="F800" s="20">
        <v>5</v>
      </c>
      <c r="G800" s="20">
        <v>0</v>
      </c>
      <c r="H800" s="20">
        <v>0</v>
      </c>
      <c r="I800" s="20">
        <v>9.6999999999999993</v>
      </c>
      <c r="J800" s="20">
        <v>0</v>
      </c>
      <c r="K800" s="20">
        <v>0</v>
      </c>
      <c r="L800" s="20">
        <v>6.2</v>
      </c>
      <c r="M800" s="74" t="str">
        <f t="array" ref="M800">_xlfn.TEXTJOIN("-", TRUE, IF(C800:L800&gt;0, $C$2:$L$2, ""))</f>
        <v xml:space="preserve"> Ti-Zr-Mo-Nb-Sn</v>
      </c>
      <c r="N800" s="90">
        <f t="shared" si="24"/>
        <v>793</v>
      </c>
      <c r="O800" s="91">
        <f t="shared" si="25"/>
        <v>5</v>
      </c>
      <c r="P800" s="20">
        <v>1</v>
      </c>
      <c r="Q800" s="149">
        <v>0</v>
      </c>
      <c r="R800" s="149">
        <v>0</v>
      </c>
      <c r="S800" s="149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149">
        <v>54</v>
      </c>
      <c r="AA800" s="20"/>
      <c r="AB800" s="20">
        <v>715</v>
      </c>
      <c r="AC800" s="149">
        <v>235</v>
      </c>
      <c r="AD800" s="20">
        <v>12.5</v>
      </c>
      <c r="AE800" s="20"/>
      <c r="AF800" s="20"/>
      <c r="AG800" s="20"/>
      <c r="AH800" s="20"/>
      <c r="AI800" s="20"/>
      <c r="AJ800" s="20"/>
      <c r="AK800" s="20"/>
      <c r="AL800" s="20"/>
      <c r="AM800" s="20"/>
      <c r="AN800" s="20" t="s">
        <v>542</v>
      </c>
      <c r="AO800" s="20" t="s">
        <v>539</v>
      </c>
      <c r="AP800" s="20">
        <v>2</v>
      </c>
      <c r="AQ800" s="133" t="s">
        <v>374</v>
      </c>
      <c r="AR800" s="27">
        <v>5</v>
      </c>
      <c r="AS800" s="12" t="s">
        <v>151</v>
      </c>
    </row>
    <row r="801" spans="1:46" ht="16.5">
      <c r="A801" s="27">
        <v>6</v>
      </c>
      <c r="B801" s="20"/>
      <c r="C801" s="20">
        <v>73.8</v>
      </c>
      <c r="D801" s="20">
        <v>0</v>
      </c>
      <c r="E801" s="20">
        <v>4.9000000000000004</v>
      </c>
      <c r="F801" s="20">
        <v>5.0999999999999996</v>
      </c>
      <c r="G801" s="20">
        <v>0</v>
      </c>
      <c r="H801" s="20">
        <v>0</v>
      </c>
      <c r="I801" s="20">
        <v>9.9</v>
      </c>
      <c r="J801" s="20">
        <v>0</v>
      </c>
      <c r="K801" s="20">
        <v>0</v>
      </c>
      <c r="L801" s="20">
        <v>6.3</v>
      </c>
      <c r="M801" s="74" t="str">
        <f t="array" ref="M801">_xlfn.TEXTJOIN("-", TRUE, IF(C801:L801&gt;0, $C$2:$L$2, ""))</f>
        <v xml:space="preserve"> Ti-Zr-Mo-Nb-Sn</v>
      </c>
      <c r="N801" s="90">
        <f t="shared" si="24"/>
        <v>793</v>
      </c>
      <c r="O801" s="91">
        <f t="shared" si="25"/>
        <v>5</v>
      </c>
      <c r="P801" s="20">
        <v>1</v>
      </c>
      <c r="Q801" s="149">
        <v>0</v>
      </c>
      <c r="R801" s="149">
        <v>0</v>
      </c>
      <c r="S801" s="149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149">
        <v>59</v>
      </c>
      <c r="AA801" s="20"/>
      <c r="AB801" s="20">
        <v>762</v>
      </c>
      <c r="AC801" s="149">
        <v>275</v>
      </c>
      <c r="AD801" s="20">
        <v>13.8</v>
      </c>
      <c r="AE801" s="20"/>
      <c r="AF801" s="20"/>
      <c r="AG801" s="20"/>
      <c r="AH801" s="20"/>
      <c r="AI801" s="20"/>
      <c r="AJ801" s="20"/>
      <c r="AK801" s="20"/>
      <c r="AL801" s="20"/>
      <c r="AM801" s="20"/>
      <c r="AN801" s="20" t="s">
        <v>543</v>
      </c>
      <c r="AO801" s="20" t="s">
        <v>539</v>
      </c>
      <c r="AP801" s="20">
        <v>2</v>
      </c>
      <c r="AQ801" s="133" t="s">
        <v>374</v>
      </c>
      <c r="AR801" s="27">
        <v>6</v>
      </c>
      <c r="AS801" s="12" t="s">
        <v>151</v>
      </c>
    </row>
    <row r="802" spans="1:46" ht="16.5">
      <c r="A802" s="27">
        <v>7</v>
      </c>
      <c r="B802" s="20"/>
      <c r="C802" s="20">
        <v>68</v>
      </c>
      <c r="D802" s="20">
        <v>0</v>
      </c>
      <c r="E802" s="20">
        <v>5</v>
      </c>
      <c r="F802" s="20">
        <v>5.3</v>
      </c>
      <c r="G802" s="20">
        <v>0</v>
      </c>
      <c r="H802" s="20">
        <v>0</v>
      </c>
      <c r="I802" s="20">
        <v>15.2</v>
      </c>
      <c r="J802" s="20">
        <v>0</v>
      </c>
      <c r="K802" s="20">
        <v>0</v>
      </c>
      <c r="L802" s="20">
        <v>6.5</v>
      </c>
      <c r="M802" s="74" t="str">
        <f t="array" ref="M802">_xlfn.TEXTJOIN("-", TRUE, IF(C802:L802&gt;0, $C$2:$L$2, ""))</f>
        <v xml:space="preserve"> Ti-Zr-Mo-Nb-Sn</v>
      </c>
      <c r="N802" s="90">
        <f t="shared" si="24"/>
        <v>793</v>
      </c>
      <c r="O802" s="91">
        <f t="shared" si="25"/>
        <v>5</v>
      </c>
      <c r="P802" s="20">
        <v>1</v>
      </c>
      <c r="Q802" s="149">
        <v>0</v>
      </c>
      <c r="R802" s="149">
        <v>0</v>
      </c>
      <c r="S802" s="149">
        <v>0</v>
      </c>
      <c r="T802" s="20">
        <v>0</v>
      </c>
      <c r="U802" s="20">
        <v>0</v>
      </c>
      <c r="V802" s="20">
        <v>0</v>
      </c>
      <c r="W802" s="20">
        <v>0</v>
      </c>
      <c r="X802" s="20">
        <v>0</v>
      </c>
      <c r="Y802" s="20">
        <v>0</v>
      </c>
      <c r="Z802" s="149">
        <v>55</v>
      </c>
      <c r="AA802" s="20"/>
      <c r="AB802" s="20">
        <v>692</v>
      </c>
      <c r="AC802" s="149">
        <v>533</v>
      </c>
      <c r="AD802" s="20">
        <v>14.2</v>
      </c>
      <c r="AE802" s="20"/>
      <c r="AF802" s="20"/>
      <c r="AG802" s="20"/>
      <c r="AH802" s="20"/>
      <c r="AI802" s="20"/>
      <c r="AJ802" s="20"/>
      <c r="AK802" s="20"/>
      <c r="AL802" s="20"/>
      <c r="AM802" s="20"/>
      <c r="AN802" s="20" t="s">
        <v>544</v>
      </c>
      <c r="AO802" s="20" t="s">
        <v>539</v>
      </c>
      <c r="AP802" s="20">
        <v>2</v>
      </c>
      <c r="AQ802" s="133" t="s">
        <v>374</v>
      </c>
      <c r="AR802" s="27">
        <v>7</v>
      </c>
      <c r="AS802" s="12" t="s">
        <v>151</v>
      </c>
    </row>
    <row r="803" spans="1:46" ht="16.5">
      <c r="A803" s="27">
        <v>72</v>
      </c>
      <c r="B803" s="20"/>
      <c r="C803" s="20">
        <v>46</v>
      </c>
      <c r="D803" s="20">
        <v>0</v>
      </c>
      <c r="E803" s="20">
        <v>9</v>
      </c>
      <c r="F803" s="20">
        <v>6</v>
      </c>
      <c r="G803" s="20">
        <v>0</v>
      </c>
      <c r="H803" s="20">
        <v>0</v>
      </c>
      <c r="I803" s="20">
        <v>35</v>
      </c>
      <c r="J803" s="20">
        <v>0</v>
      </c>
      <c r="K803" s="20">
        <v>0</v>
      </c>
      <c r="L803" s="20">
        <v>4</v>
      </c>
      <c r="M803" s="74" t="str">
        <f t="array" ref="M803">_xlfn.TEXTJOIN("-", TRUE, IF(C803:L803&gt;0, $C$2:$L$2, ""))</f>
        <v xml:space="preserve"> Ti-Zr-Mo-Nb-Sn</v>
      </c>
      <c r="N803" s="90">
        <f t="shared" si="24"/>
        <v>793</v>
      </c>
      <c r="O803" s="91">
        <f t="shared" si="25"/>
        <v>5</v>
      </c>
      <c r="P803" s="20">
        <v>1</v>
      </c>
      <c r="Q803" s="132">
        <v>1</v>
      </c>
      <c r="R803" s="108">
        <v>20</v>
      </c>
      <c r="S803" s="108">
        <v>0</v>
      </c>
      <c r="T803" s="20">
        <v>800</v>
      </c>
      <c r="U803" s="20">
        <v>0.5</v>
      </c>
      <c r="V803" s="20">
        <v>1</v>
      </c>
      <c r="W803" s="20"/>
      <c r="X803" s="20"/>
      <c r="Y803" s="20"/>
      <c r="Z803" s="20"/>
      <c r="AA803" s="20"/>
      <c r="AB803" s="20">
        <v>797</v>
      </c>
      <c r="AC803" s="20"/>
      <c r="AD803" s="20">
        <v>14.12</v>
      </c>
      <c r="AE803" s="20"/>
      <c r="AF803" s="20"/>
      <c r="AG803" s="20"/>
      <c r="AH803" s="20"/>
      <c r="AI803" s="20"/>
      <c r="AJ803" s="20"/>
      <c r="AK803" s="20"/>
      <c r="AL803" s="20"/>
      <c r="AM803" s="20"/>
      <c r="AN803" s="20" t="s">
        <v>545</v>
      </c>
      <c r="AO803" s="20" t="s">
        <v>546</v>
      </c>
      <c r="AP803" s="20">
        <v>15</v>
      </c>
      <c r="AQ803" s="133" t="s">
        <v>374</v>
      </c>
      <c r="AR803" s="27">
        <v>72</v>
      </c>
      <c r="AS803" s="12" t="s">
        <v>151</v>
      </c>
      <c r="AT803" t="s">
        <v>547</v>
      </c>
    </row>
    <row r="804" spans="1:46" ht="16.5">
      <c r="A804" s="27">
        <v>73</v>
      </c>
      <c r="B804" s="20"/>
      <c r="C804" s="20">
        <v>46</v>
      </c>
      <c r="D804" s="20">
        <v>0</v>
      </c>
      <c r="E804" s="20">
        <v>9</v>
      </c>
      <c r="F804" s="20">
        <v>6</v>
      </c>
      <c r="G804" s="20">
        <v>0</v>
      </c>
      <c r="H804" s="20">
        <v>0</v>
      </c>
      <c r="I804" s="20">
        <v>35</v>
      </c>
      <c r="J804" s="20">
        <v>0</v>
      </c>
      <c r="K804" s="20">
        <v>0</v>
      </c>
      <c r="L804" s="20">
        <v>4</v>
      </c>
      <c r="M804" s="74" t="str">
        <f t="array" ref="M804">_xlfn.TEXTJOIN("-", TRUE, IF(C804:L804&gt;0, $C$2:$L$2, ""))</f>
        <v xml:space="preserve"> Ti-Zr-Mo-Nb-Sn</v>
      </c>
      <c r="N804" s="90">
        <f t="shared" si="24"/>
        <v>793</v>
      </c>
      <c r="O804" s="91">
        <f t="shared" si="25"/>
        <v>5</v>
      </c>
      <c r="P804" s="20">
        <v>1</v>
      </c>
      <c r="Q804" s="132">
        <v>1</v>
      </c>
      <c r="R804" s="108">
        <v>20</v>
      </c>
      <c r="S804" s="108">
        <v>23</v>
      </c>
      <c r="T804" s="20">
        <v>800</v>
      </c>
      <c r="U804" s="20">
        <v>0.5</v>
      </c>
      <c r="V804" s="20">
        <v>1</v>
      </c>
      <c r="W804" s="20"/>
      <c r="X804" s="20"/>
      <c r="Y804" s="20"/>
      <c r="Z804" s="20"/>
      <c r="AA804" s="20"/>
      <c r="AB804" s="20">
        <v>857</v>
      </c>
      <c r="AC804" s="20"/>
      <c r="AD804" s="20">
        <v>12.41</v>
      </c>
      <c r="AE804" s="20"/>
      <c r="AF804" s="20"/>
      <c r="AG804" s="20"/>
      <c r="AH804" s="20"/>
      <c r="AI804" s="20"/>
      <c r="AJ804" s="20"/>
      <c r="AK804" s="20"/>
      <c r="AL804" s="20"/>
      <c r="AM804" s="20"/>
      <c r="AN804" s="20" t="s">
        <v>548</v>
      </c>
      <c r="AO804" s="20" t="s">
        <v>549</v>
      </c>
      <c r="AP804" s="20">
        <v>15</v>
      </c>
      <c r="AQ804" s="133" t="s">
        <v>374</v>
      </c>
      <c r="AR804" s="27">
        <v>73</v>
      </c>
      <c r="AS804" s="12" t="s">
        <v>151</v>
      </c>
      <c r="AT804" t="s">
        <v>550</v>
      </c>
    </row>
    <row r="805" spans="1:46" ht="16.5">
      <c r="A805" s="27">
        <v>74</v>
      </c>
      <c r="B805" s="20"/>
      <c r="C805" s="20">
        <v>46</v>
      </c>
      <c r="D805" s="20">
        <v>0</v>
      </c>
      <c r="E805" s="20">
        <v>9</v>
      </c>
      <c r="F805" s="20">
        <v>6</v>
      </c>
      <c r="G805" s="20">
        <v>0</v>
      </c>
      <c r="H805" s="20">
        <v>0</v>
      </c>
      <c r="I805" s="20">
        <v>35</v>
      </c>
      <c r="J805" s="20">
        <v>0</v>
      </c>
      <c r="K805" s="20">
        <v>0</v>
      </c>
      <c r="L805" s="20">
        <v>4</v>
      </c>
      <c r="M805" s="74" t="str">
        <f t="array" ref="M805">_xlfn.TEXTJOIN("-", TRUE, IF(C805:L805&gt;0, $C$2:$L$2, ""))</f>
        <v xml:space="preserve"> Ti-Zr-Mo-Nb-Sn</v>
      </c>
      <c r="N805" s="90">
        <f t="shared" si="24"/>
        <v>793</v>
      </c>
      <c r="O805" s="91">
        <f t="shared" si="25"/>
        <v>5</v>
      </c>
      <c r="P805" s="20">
        <v>1</v>
      </c>
      <c r="Q805" s="132">
        <v>1</v>
      </c>
      <c r="R805" s="108">
        <v>20</v>
      </c>
      <c r="S805" s="108">
        <v>44</v>
      </c>
      <c r="T805" s="20">
        <v>800</v>
      </c>
      <c r="U805" s="20">
        <v>0.5</v>
      </c>
      <c r="V805" s="20">
        <v>1</v>
      </c>
      <c r="W805" s="20"/>
      <c r="X805" s="20"/>
      <c r="Y805" s="20"/>
      <c r="Z805" s="20"/>
      <c r="AA805" s="20"/>
      <c r="AB805" s="20">
        <v>935</v>
      </c>
      <c r="AC805" s="20"/>
      <c r="AD805" s="20">
        <v>8.9</v>
      </c>
      <c r="AE805" s="20"/>
      <c r="AF805" s="20"/>
      <c r="AG805" s="20"/>
      <c r="AH805" s="20"/>
      <c r="AI805" s="20"/>
      <c r="AJ805" s="20"/>
      <c r="AK805" s="20"/>
      <c r="AL805" s="20"/>
      <c r="AM805" s="20"/>
      <c r="AN805" s="20" t="s">
        <v>551</v>
      </c>
      <c r="AO805" s="20" t="s">
        <v>552</v>
      </c>
      <c r="AP805" s="20">
        <v>15</v>
      </c>
      <c r="AQ805" s="133" t="s">
        <v>374</v>
      </c>
      <c r="AR805" s="27">
        <v>74</v>
      </c>
      <c r="AS805" s="12" t="s">
        <v>151</v>
      </c>
      <c r="AT805" t="s">
        <v>550</v>
      </c>
    </row>
    <row r="806" spans="1:46" ht="16.5">
      <c r="A806" s="27">
        <v>75</v>
      </c>
      <c r="B806" s="20"/>
      <c r="C806" s="20">
        <v>46</v>
      </c>
      <c r="D806" s="20">
        <v>0</v>
      </c>
      <c r="E806" s="20">
        <v>9</v>
      </c>
      <c r="F806" s="20">
        <v>6</v>
      </c>
      <c r="G806" s="20">
        <v>0</v>
      </c>
      <c r="H806" s="20">
        <v>0</v>
      </c>
      <c r="I806" s="20">
        <v>35</v>
      </c>
      <c r="J806" s="20">
        <v>0</v>
      </c>
      <c r="K806" s="20">
        <v>0</v>
      </c>
      <c r="L806" s="20">
        <v>4</v>
      </c>
      <c r="M806" s="74" t="str">
        <f t="array" ref="M806">_xlfn.TEXTJOIN("-", TRUE, IF(C806:L806&gt;0, $C$2:$L$2, ""))</f>
        <v xml:space="preserve"> Ti-Zr-Mo-Nb-Sn</v>
      </c>
      <c r="N806" s="90">
        <f t="shared" si="24"/>
        <v>793</v>
      </c>
      <c r="O806" s="91">
        <f t="shared" si="25"/>
        <v>5</v>
      </c>
      <c r="P806" s="20">
        <v>1</v>
      </c>
      <c r="Q806" s="132">
        <v>1</v>
      </c>
      <c r="R806" s="108">
        <v>20</v>
      </c>
      <c r="S806" s="108">
        <v>66</v>
      </c>
      <c r="T806" s="20">
        <v>800</v>
      </c>
      <c r="U806" s="20">
        <v>0.5</v>
      </c>
      <c r="V806" s="20">
        <v>1</v>
      </c>
      <c r="W806" s="20"/>
      <c r="X806" s="20"/>
      <c r="Y806" s="20"/>
      <c r="Z806" s="20"/>
      <c r="AA806" s="20"/>
      <c r="AB806" s="20">
        <v>1009</v>
      </c>
      <c r="AC806" s="20"/>
      <c r="AD806" s="20">
        <v>7.98</v>
      </c>
      <c r="AE806" s="20"/>
      <c r="AF806" s="20"/>
      <c r="AG806" s="20"/>
      <c r="AH806" s="20"/>
      <c r="AI806" s="20"/>
      <c r="AJ806" s="20"/>
      <c r="AK806" s="20"/>
      <c r="AL806" s="20"/>
      <c r="AM806" s="20"/>
      <c r="AN806" s="20" t="s">
        <v>553</v>
      </c>
      <c r="AO806" s="20" t="s">
        <v>554</v>
      </c>
      <c r="AP806" s="20">
        <v>15</v>
      </c>
      <c r="AQ806" s="133" t="s">
        <v>374</v>
      </c>
      <c r="AR806" s="27">
        <v>75</v>
      </c>
      <c r="AS806" s="12" t="s">
        <v>151</v>
      </c>
      <c r="AT806" t="s">
        <v>550</v>
      </c>
    </row>
    <row r="807" spans="1:46" ht="16.5">
      <c r="A807" s="27">
        <v>76</v>
      </c>
      <c r="B807" s="20"/>
      <c r="C807" s="20">
        <v>46</v>
      </c>
      <c r="D807" s="20">
        <v>0</v>
      </c>
      <c r="E807" s="20">
        <v>9</v>
      </c>
      <c r="F807" s="20">
        <v>6</v>
      </c>
      <c r="G807" s="20">
        <v>0</v>
      </c>
      <c r="H807" s="20">
        <v>0</v>
      </c>
      <c r="I807" s="20">
        <v>35</v>
      </c>
      <c r="J807" s="20">
        <v>0</v>
      </c>
      <c r="K807" s="20">
        <v>0</v>
      </c>
      <c r="L807" s="20">
        <v>4</v>
      </c>
      <c r="M807" s="74" t="str">
        <f t="array" ref="M807">_xlfn.TEXTJOIN("-", TRUE, IF(C807:L807&gt;0, $C$2:$L$2, ""))</f>
        <v xml:space="preserve"> Ti-Zr-Mo-Nb-Sn</v>
      </c>
      <c r="N807" s="90">
        <f t="shared" si="24"/>
        <v>793</v>
      </c>
      <c r="O807" s="91">
        <f t="shared" si="25"/>
        <v>5</v>
      </c>
      <c r="P807" s="20">
        <v>1</v>
      </c>
      <c r="Q807" s="132">
        <v>1</v>
      </c>
      <c r="R807" s="108">
        <v>20</v>
      </c>
      <c r="S807" s="108">
        <v>85</v>
      </c>
      <c r="T807" s="20">
        <v>800</v>
      </c>
      <c r="U807" s="20">
        <v>0.5</v>
      </c>
      <c r="V807" s="20">
        <v>1</v>
      </c>
      <c r="W807" s="20"/>
      <c r="X807" s="20"/>
      <c r="Y807" s="20"/>
      <c r="Z807" s="20"/>
      <c r="AA807" s="20"/>
      <c r="AB807" s="20">
        <v>1110</v>
      </c>
      <c r="AC807" s="20"/>
      <c r="AD807" s="20">
        <v>4.42</v>
      </c>
      <c r="AE807" s="20"/>
      <c r="AF807" s="20"/>
      <c r="AG807" s="20"/>
      <c r="AH807" s="20"/>
      <c r="AI807" s="20"/>
      <c r="AJ807" s="20"/>
      <c r="AK807" s="20"/>
      <c r="AL807" s="20"/>
      <c r="AM807" s="20"/>
      <c r="AN807" s="20" t="s">
        <v>555</v>
      </c>
      <c r="AO807" s="20" t="s">
        <v>556</v>
      </c>
      <c r="AP807" s="20">
        <v>15</v>
      </c>
      <c r="AQ807" s="133" t="s">
        <v>374</v>
      </c>
      <c r="AR807" s="27">
        <v>76</v>
      </c>
      <c r="AS807" s="12" t="s">
        <v>151</v>
      </c>
      <c r="AT807" t="s">
        <v>550</v>
      </c>
    </row>
    <row r="808" spans="1:46" ht="16.5">
      <c r="A808" s="105">
        <v>207</v>
      </c>
      <c r="B808" s="111" t="s">
        <v>101</v>
      </c>
      <c r="C808" s="111">
        <v>61.7</v>
      </c>
      <c r="D808" s="111">
        <v>0</v>
      </c>
      <c r="E808" s="111">
        <v>9.1</v>
      </c>
      <c r="F808" s="111">
        <v>4.8</v>
      </c>
      <c r="G808" s="111">
        <v>0</v>
      </c>
      <c r="H808" s="111">
        <v>0</v>
      </c>
      <c r="I808" s="111">
        <v>18.5</v>
      </c>
      <c r="J808" s="111">
        <v>0</v>
      </c>
      <c r="K808" s="111">
        <v>0</v>
      </c>
      <c r="L808" s="111">
        <v>5.9</v>
      </c>
      <c r="M808" s="74" t="str">
        <f t="array" ref="M808">_xlfn.TEXTJOIN("-", TRUE, IF(C808:L808&gt;0, $C$2:$L$2, ""))</f>
        <v xml:space="preserve"> Ti-Zr-Mo-Nb-Sn</v>
      </c>
      <c r="N808" s="90">
        <f t="shared" si="24"/>
        <v>793</v>
      </c>
      <c r="O808" s="91">
        <f t="shared" si="25"/>
        <v>5</v>
      </c>
      <c r="P808" s="111">
        <v>1</v>
      </c>
      <c r="Q808" s="115">
        <v>0</v>
      </c>
      <c r="R808" s="21">
        <v>0</v>
      </c>
      <c r="S808" s="21">
        <v>0</v>
      </c>
      <c r="T808" s="109">
        <v>0</v>
      </c>
      <c r="U808" s="109">
        <v>0</v>
      </c>
      <c r="V808" s="112">
        <v>0</v>
      </c>
      <c r="W808" s="109">
        <v>0</v>
      </c>
      <c r="X808" s="109">
        <v>0</v>
      </c>
      <c r="Y808" s="113">
        <v>0</v>
      </c>
      <c r="Z808" s="18" t="s">
        <v>102</v>
      </c>
      <c r="AA808" s="18" t="s">
        <v>102</v>
      </c>
      <c r="AB808" s="111">
        <v>519</v>
      </c>
      <c r="AC808" s="111">
        <v>499</v>
      </c>
      <c r="AD808" s="111">
        <v>6.4</v>
      </c>
      <c r="AE808" s="18" t="s">
        <v>101</v>
      </c>
      <c r="AF808" s="18" t="s">
        <v>102</v>
      </c>
      <c r="AG808" s="18" t="s">
        <v>102</v>
      </c>
      <c r="AH808" s="18" t="s">
        <v>102</v>
      </c>
      <c r="AI808" s="18" t="s">
        <v>102</v>
      </c>
      <c r="AJ808" s="18" t="s">
        <v>102</v>
      </c>
      <c r="AK808" s="18" t="s">
        <v>102</v>
      </c>
      <c r="AL808" s="18" t="s">
        <v>102</v>
      </c>
      <c r="AM808" s="19"/>
      <c r="AN808" s="20" t="s">
        <v>101</v>
      </c>
      <c r="AO808" s="20" t="s">
        <v>149</v>
      </c>
      <c r="AP808" s="109">
        <v>207</v>
      </c>
      <c r="AQ808" s="110" t="s">
        <v>100</v>
      </c>
      <c r="AR808" s="105">
        <v>207</v>
      </c>
    </row>
    <row r="809" spans="1:46" ht="16.5">
      <c r="A809" s="105">
        <v>208</v>
      </c>
      <c r="B809" s="111" t="s">
        <v>101</v>
      </c>
      <c r="C809" s="111">
        <v>65.599999999999994</v>
      </c>
      <c r="D809" s="111">
        <v>0</v>
      </c>
      <c r="E809" s="111">
        <v>9.3000000000000007</v>
      </c>
      <c r="F809" s="111">
        <v>4.9000000000000004</v>
      </c>
      <c r="G809" s="111">
        <v>0</v>
      </c>
      <c r="H809" s="111">
        <v>0</v>
      </c>
      <c r="I809" s="111">
        <v>14.2</v>
      </c>
      <c r="J809" s="111">
        <v>0</v>
      </c>
      <c r="K809" s="111">
        <v>0</v>
      </c>
      <c r="L809" s="111">
        <v>6</v>
      </c>
      <c r="M809" s="74" t="str">
        <f t="array" ref="M809">_xlfn.TEXTJOIN("-", TRUE, IF(C809:L809&gt;0, $C$2:$L$2, ""))</f>
        <v xml:space="preserve"> Ti-Zr-Mo-Nb-Sn</v>
      </c>
      <c r="N809" s="90">
        <f t="shared" si="24"/>
        <v>793</v>
      </c>
      <c r="O809" s="91">
        <f t="shared" si="25"/>
        <v>5</v>
      </c>
      <c r="P809" s="111">
        <v>1</v>
      </c>
      <c r="Q809" s="115">
        <v>0</v>
      </c>
      <c r="R809" s="21">
        <v>0</v>
      </c>
      <c r="S809" s="21">
        <v>0</v>
      </c>
      <c r="T809" s="109">
        <v>0</v>
      </c>
      <c r="U809" s="109">
        <v>0</v>
      </c>
      <c r="V809" s="112">
        <v>0</v>
      </c>
      <c r="W809" s="109">
        <v>0</v>
      </c>
      <c r="X809" s="109">
        <v>0</v>
      </c>
      <c r="Y809" s="113">
        <v>0</v>
      </c>
      <c r="Z809" s="18" t="s">
        <v>102</v>
      </c>
      <c r="AA809" s="18" t="s">
        <v>102</v>
      </c>
      <c r="AB809" s="111">
        <v>701</v>
      </c>
      <c r="AC809" s="111">
        <v>566</v>
      </c>
      <c r="AD809" s="111">
        <v>13.6</v>
      </c>
      <c r="AE809" s="18" t="s">
        <v>101</v>
      </c>
      <c r="AF809" s="18" t="s">
        <v>102</v>
      </c>
      <c r="AG809" s="18" t="s">
        <v>102</v>
      </c>
      <c r="AH809" s="18" t="s">
        <v>102</v>
      </c>
      <c r="AI809" s="18" t="s">
        <v>102</v>
      </c>
      <c r="AJ809" s="18" t="s">
        <v>102</v>
      </c>
      <c r="AK809" s="18" t="s">
        <v>102</v>
      </c>
      <c r="AL809" s="18" t="s">
        <v>102</v>
      </c>
      <c r="AM809" s="19"/>
      <c r="AN809" s="20" t="s">
        <v>101</v>
      </c>
      <c r="AO809" s="20" t="s">
        <v>149</v>
      </c>
      <c r="AP809" s="109">
        <v>208</v>
      </c>
      <c r="AQ809" s="110" t="s">
        <v>100</v>
      </c>
      <c r="AR809" s="105">
        <v>208</v>
      </c>
    </row>
    <row r="810" spans="1:46" ht="16.5">
      <c r="A810" s="105">
        <v>209</v>
      </c>
      <c r="B810" s="111" t="s">
        <v>101</v>
      </c>
      <c r="C810" s="111">
        <v>69.599999999999994</v>
      </c>
      <c r="D810" s="111">
        <v>0</v>
      </c>
      <c r="E810" s="111">
        <v>9.5</v>
      </c>
      <c r="F810" s="111">
        <v>5</v>
      </c>
      <c r="G810" s="111">
        <v>0</v>
      </c>
      <c r="H810" s="111">
        <v>0</v>
      </c>
      <c r="I810" s="111">
        <v>9.6999999999999993</v>
      </c>
      <c r="J810" s="111">
        <v>0</v>
      </c>
      <c r="K810" s="111">
        <v>0</v>
      </c>
      <c r="L810" s="111">
        <v>6.2</v>
      </c>
      <c r="M810" s="74" t="str">
        <f t="array" ref="M810">_xlfn.TEXTJOIN("-", TRUE, IF(C810:L810&gt;0, $C$2:$L$2, ""))</f>
        <v xml:space="preserve"> Ti-Zr-Mo-Nb-Sn</v>
      </c>
      <c r="N810" s="90">
        <f t="shared" si="24"/>
        <v>793</v>
      </c>
      <c r="O810" s="91">
        <f t="shared" si="25"/>
        <v>5</v>
      </c>
      <c r="P810" s="111">
        <v>1</v>
      </c>
      <c r="Q810" s="115">
        <v>0</v>
      </c>
      <c r="R810" s="21">
        <v>0</v>
      </c>
      <c r="S810" s="21">
        <v>0</v>
      </c>
      <c r="T810" s="109">
        <v>0</v>
      </c>
      <c r="U810" s="109">
        <v>0</v>
      </c>
      <c r="V810" s="112">
        <v>0</v>
      </c>
      <c r="W810" s="109">
        <v>0</v>
      </c>
      <c r="X810" s="109">
        <v>0</v>
      </c>
      <c r="Y810" s="113">
        <v>0</v>
      </c>
      <c r="Z810" s="18" t="s">
        <v>102</v>
      </c>
      <c r="AA810" s="18" t="s">
        <v>102</v>
      </c>
      <c r="AB810" s="111">
        <v>715</v>
      </c>
      <c r="AC810" s="111">
        <v>235</v>
      </c>
      <c r="AD810" s="111">
        <v>12.5</v>
      </c>
      <c r="AE810" s="18" t="s">
        <v>101</v>
      </c>
      <c r="AF810" s="18" t="s">
        <v>102</v>
      </c>
      <c r="AG810" s="18" t="s">
        <v>102</v>
      </c>
      <c r="AH810" s="18" t="s">
        <v>102</v>
      </c>
      <c r="AI810" s="18" t="s">
        <v>102</v>
      </c>
      <c r="AJ810" s="18" t="s">
        <v>102</v>
      </c>
      <c r="AK810" s="18" t="s">
        <v>102</v>
      </c>
      <c r="AL810" s="18" t="s">
        <v>102</v>
      </c>
      <c r="AM810" s="19"/>
      <c r="AN810" s="20" t="s">
        <v>101</v>
      </c>
      <c r="AO810" s="20" t="s">
        <v>149</v>
      </c>
      <c r="AP810" s="109">
        <v>209</v>
      </c>
      <c r="AQ810" s="110" t="s">
        <v>100</v>
      </c>
      <c r="AR810" s="105">
        <v>209</v>
      </c>
    </row>
    <row r="811" spans="1:46" ht="16.5">
      <c r="A811" s="105">
        <v>210</v>
      </c>
      <c r="B811" s="111" t="s">
        <v>101</v>
      </c>
      <c r="C811" s="111">
        <v>73.8</v>
      </c>
      <c r="D811" s="111">
        <v>0</v>
      </c>
      <c r="E811" s="111">
        <v>4.9000000000000004</v>
      </c>
      <c r="F811" s="111">
        <v>5.0999999999999996</v>
      </c>
      <c r="G811" s="111">
        <v>0</v>
      </c>
      <c r="H811" s="111">
        <v>0</v>
      </c>
      <c r="I811" s="111">
        <v>9.9</v>
      </c>
      <c r="J811" s="111">
        <v>0</v>
      </c>
      <c r="K811" s="111">
        <v>0</v>
      </c>
      <c r="L811" s="111">
        <v>6.3</v>
      </c>
      <c r="M811" s="74" t="str">
        <f t="array" ref="M811">_xlfn.TEXTJOIN("-", TRUE, IF(C811:L811&gt;0, $C$2:$L$2, ""))</f>
        <v xml:space="preserve"> Ti-Zr-Mo-Nb-Sn</v>
      </c>
      <c r="N811" s="90">
        <f t="shared" si="24"/>
        <v>793</v>
      </c>
      <c r="O811" s="91">
        <f t="shared" si="25"/>
        <v>5</v>
      </c>
      <c r="P811" s="111">
        <v>1</v>
      </c>
      <c r="Q811" s="115">
        <v>0</v>
      </c>
      <c r="R811" s="21">
        <v>0</v>
      </c>
      <c r="S811" s="21">
        <v>0</v>
      </c>
      <c r="T811" s="109">
        <v>0</v>
      </c>
      <c r="U811" s="109">
        <v>0</v>
      </c>
      <c r="V811" s="112">
        <v>0</v>
      </c>
      <c r="W811" s="109">
        <v>0</v>
      </c>
      <c r="X811" s="109">
        <v>0</v>
      </c>
      <c r="Y811" s="113">
        <v>0</v>
      </c>
      <c r="Z811" s="18" t="s">
        <v>102</v>
      </c>
      <c r="AA811" s="18" t="s">
        <v>102</v>
      </c>
      <c r="AB811" s="111">
        <v>762</v>
      </c>
      <c r="AC811" s="111">
        <v>275</v>
      </c>
      <c r="AD811" s="111">
        <v>13.8</v>
      </c>
      <c r="AE811" s="18" t="s">
        <v>101</v>
      </c>
      <c r="AF811" s="18" t="s">
        <v>102</v>
      </c>
      <c r="AG811" s="18" t="s">
        <v>102</v>
      </c>
      <c r="AH811" s="18" t="s">
        <v>102</v>
      </c>
      <c r="AI811" s="18" t="s">
        <v>102</v>
      </c>
      <c r="AJ811" s="18" t="s">
        <v>102</v>
      </c>
      <c r="AK811" s="18" t="s">
        <v>102</v>
      </c>
      <c r="AL811" s="18" t="s">
        <v>102</v>
      </c>
      <c r="AM811" s="19"/>
      <c r="AN811" s="20" t="s">
        <v>101</v>
      </c>
      <c r="AO811" s="20" t="s">
        <v>149</v>
      </c>
      <c r="AP811" s="109">
        <v>210</v>
      </c>
      <c r="AQ811" s="110" t="s">
        <v>100</v>
      </c>
      <c r="AR811" s="105">
        <v>210</v>
      </c>
    </row>
    <row r="812" spans="1:46" ht="16.5">
      <c r="A812" s="105">
        <v>211</v>
      </c>
      <c r="B812" s="111" t="s">
        <v>101</v>
      </c>
      <c r="C812" s="111">
        <v>68</v>
      </c>
      <c r="D812" s="111">
        <v>0</v>
      </c>
      <c r="E812" s="111">
        <v>5</v>
      </c>
      <c r="F812" s="111">
        <v>5.3</v>
      </c>
      <c r="G812" s="111">
        <v>0</v>
      </c>
      <c r="H812" s="111">
        <v>0</v>
      </c>
      <c r="I812" s="111">
        <v>15.2</v>
      </c>
      <c r="J812" s="111">
        <v>0</v>
      </c>
      <c r="K812" s="111">
        <v>0</v>
      </c>
      <c r="L812" s="111">
        <v>6.5</v>
      </c>
      <c r="M812" s="74" t="str">
        <f t="array" ref="M812">_xlfn.TEXTJOIN("-", TRUE, IF(C812:L812&gt;0, $C$2:$L$2, ""))</f>
        <v xml:space="preserve"> Ti-Zr-Mo-Nb-Sn</v>
      </c>
      <c r="N812" s="90">
        <f t="shared" si="24"/>
        <v>793</v>
      </c>
      <c r="O812" s="91">
        <f t="shared" si="25"/>
        <v>5</v>
      </c>
      <c r="P812" s="111">
        <v>1</v>
      </c>
      <c r="Q812" s="115">
        <v>0</v>
      </c>
      <c r="R812" s="21">
        <v>0</v>
      </c>
      <c r="S812" s="21">
        <v>0</v>
      </c>
      <c r="T812" s="109">
        <v>0</v>
      </c>
      <c r="U812" s="109">
        <v>0</v>
      </c>
      <c r="V812" s="112">
        <v>0</v>
      </c>
      <c r="W812" s="109">
        <v>0</v>
      </c>
      <c r="X812" s="109">
        <v>0</v>
      </c>
      <c r="Y812" s="113">
        <v>0</v>
      </c>
      <c r="Z812" s="18" t="s">
        <v>102</v>
      </c>
      <c r="AA812" s="18" t="s">
        <v>102</v>
      </c>
      <c r="AB812" s="111">
        <v>692</v>
      </c>
      <c r="AC812" s="111">
        <v>533</v>
      </c>
      <c r="AD812" s="111">
        <v>14.2</v>
      </c>
      <c r="AE812" s="18" t="s">
        <v>101</v>
      </c>
      <c r="AF812" s="18" t="s">
        <v>102</v>
      </c>
      <c r="AG812" s="18" t="s">
        <v>102</v>
      </c>
      <c r="AH812" s="18" t="s">
        <v>102</v>
      </c>
      <c r="AI812" s="18" t="s">
        <v>102</v>
      </c>
      <c r="AJ812" s="18" t="s">
        <v>102</v>
      </c>
      <c r="AK812" s="18" t="s">
        <v>102</v>
      </c>
      <c r="AL812" s="18" t="s">
        <v>102</v>
      </c>
      <c r="AM812" s="19"/>
      <c r="AN812" s="20" t="s">
        <v>101</v>
      </c>
      <c r="AO812" s="20" t="s">
        <v>149</v>
      </c>
      <c r="AP812" s="109">
        <v>211</v>
      </c>
      <c r="AQ812" s="110" t="s">
        <v>100</v>
      </c>
      <c r="AR812" s="105">
        <v>211</v>
      </c>
    </row>
    <row r="813" spans="1:46" ht="16.5">
      <c r="A813" s="105">
        <v>212</v>
      </c>
      <c r="B813" s="111" t="s">
        <v>101</v>
      </c>
      <c r="C813" s="111">
        <v>68</v>
      </c>
      <c r="D813" s="111">
        <v>0</v>
      </c>
      <c r="E813" s="111">
        <v>10</v>
      </c>
      <c r="F813" s="111">
        <v>5.3</v>
      </c>
      <c r="G813" s="111">
        <v>0</v>
      </c>
      <c r="H813" s="111">
        <v>0</v>
      </c>
      <c r="I813" s="111">
        <v>10.199999999999999</v>
      </c>
      <c r="J813" s="111">
        <v>0</v>
      </c>
      <c r="K813" s="111">
        <v>0</v>
      </c>
      <c r="L813" s="111">
        <v>6.5</v>
      </c>
      <c r="M813" s="74" t="str">
        <f t="array" ref="M813">_xlfn.TEXTJOIN("-", TRUE, IF(C813:L813&gt;0, $C$2:$L$2, ""))</f>
        <v xml:space="preserve"> Ti-Zr-Mo-Nb-Sn</v>
      </c>
      <c r="N813" s="90">
        <f t="shared" si="24"/>
        <v>793</v>
      </c>
      <c r="O813" s="91">
        <f t="shared" si="25"/>
        <v>5</v>
      </c>
      <c r="P813" s="111">
        <v>1</v>
      </c>
      <c r="Q813" s="111">
        <v>0</v>
      </c>
      <c r="R813" s="150">
        <v>0</v>
      </c>
      <c r="S813" s="116">
        <v>0</v>
      </c>
      <c r="T813" s="109">
        <v>0</v>
      </c>
      <c r="U813" s="109">
        <v>0</v>
      </c>
      <c r="V813" s="112">
        <v>0</v>
      </c>
      <c r="W813" s="109">
        <v>0</v>
      </c>
      <c r="X813" s="109">
        <v>0</v>
      </c>
      <c r="Y813" s="113">
        <v>0</v>
      </c>
      <c r="Z813" s="18" t="s">
        <v>102</v>
      </c>
      <c r="AA813" s="18" t="s">
        <v>102</v>
      </c>
      <c r="AB813" s="111">
        <v>715</v>
      </c>
      <c r="AC813" s="111">
        <v>478</v>
      </c>
      <c r="AD813" s="111">
        <v>7.6</v>
      </c>
      <c r="AE813" s="18" t="s">
        <v>101</v>
      </c>
      <c r="AF813" s="18" t="s">
        <v>102</v>
      </c>
      <c r="AG813" s="18" t="s">
        <v>102</v>
      </c>
      <c r="AH813" s="18" t="s">
        <v>102</v>
      </c>
      <c r="AI813" s="18" t="s">
        <v>102</v>
      </c>
      <c r="AJ813" s="18" t="s">
        <v>102</v>
      </c>
      <c r="AK813" s="18" t="s">
        <v>102</v>
      </c>
      <c r="AL813" s="18" t="s">
        <v>102</v>
      </c>
      <c r="AM813" s="19"/>
      <c r="AN813" s="20" t="s">
        <v>101</v>
      </c>
      <c r="AO813" s="20" t="s">
        <v>149</v>
      </c>
      <c r="AP813" s="109">
        <v>212</v>
      </c>
      <c r="AQ813" s="110" t="s">
        <v>100</v>
      </c>
      <c r="AR813" s="105">
        <v>212</v>
      </c>
    </row>
    <row r="814" spans="1:46" ht="16.5">
      <c r="A814" s="105">
        <v>214</v>
      </c>
      <c r="B814" s="111" t="s">
        <v>101</v>
      </c>
      <c r="C814" s="111">
        <v>68</v>
      </c>
      <c r="D814" s="111">
        <v>0</v>
      </c>
      <c r="E814" s="111">
        <v>10</v>
      </c>
      <c r="F814" s="111">
        <v>5.3</v>
      </c>
      <c r="G814" s="111">
        <v>0</v>
      </c>
      <c r="H814" s="111">
        <v>0</v>
      </c>
      <c r="I814" s="111">
        <v>10.199999999999999</v>
      </c>
      <c r="J814" s="111">
        <v>0</v>
      </c>
      <c r="K814" s="111">
        <v>0</v>
      </c>
      <c r="L814" s="111">
        <v>6.5</v>
      </c>
      <c r="M814" s="74" t="str">
        <f t="array" ref="M814">_xlfn.TEXTJOIN("-", TRUE, IF(C814:L814&gt;0, $C$2:$L$2, ""))</f>
        <v xml:space="preserve"> Ti-Zr-Mo-Nb-Sn</v>
      </c>
      <c r="N814" s="90">
        <f t="shared" si="24"/>
        <v>793</v>
      </c>
      <c r="O814" s="91">
        <f t="shared" si="25"/>
        <v>5</v>
      </c>
      <c r="P814" s="111">
        <v>1</v>
      </c>
      <c r="Q814" s="111">
        <v>1</v>
      </c>
      <c r="R814" s="20">
        <v>90</v>
      </c>
      <c r="S814" s="111">
        <v>0</v>
      </c>
      <c r="T814" s="109">
        <v>0</v>
      </c>
      <c r="U814" s="109">
        <v>0</v>
      </c>
      <c r="V814" s="112">
        <v>0</v>
      </c>
      <c r="W814" s="109">
        <v>0</v>
      </c>
      <c r="X814" s="109">
        <v>0</v>
      </c>
      <c r="Y814" s="113">
        <v>0</v>
      </c>
      <c r="Z814" s="18" t="s">
        <v>102</v>
      </c>
      <c r="AA814" s="18" t="s">
        <v>102</v>
      </c>
      <c r="AB814" s="111">
        <v>738</v>
      </c>
      <c r="AC814" s="111">
        <v>558</v>
      </c>
      <c r="AD814" s="111">
        <v>2.7</v>
      </c>
      <c r="AE814" s="18" t="s">
        <v>101</v>
      </c>
      <c r="AF814" s="18" t="s">
        <v>102</v>
      </c>
      <c r="AG814" s="18" t="s">
        <v>102</v>
      </c>
      <c r="AH814" s="18" t="s">
        <v>102</v>
      </c>
      <c r="AI814" s="18" t="s">
        <v>102</v>
      </c>
      <c r="AJ814" s="18" t="s">
        <v>102</v>
      </c>
      <c r="AK814" s="18" t="s">
        <v>102</v>
      </c>
      <c r="AL814" s="18" t="s">
        <v>102</v>
      </c>
      <c r="AM814" s="19"/>
      <c r="AN814" s="20" t="s">
        <v>101</v>
      </c>
      <c r="AO814" s="20" t="s">
        <v>149</v>
      </c>
      <c r="AP814" s="109">
        <v>214</v>
      </c>
      <c r="AQ814" s="110" t="s">
        <v>100</v>
      </c>
      <c r="AR814" s="105">
        <v>214</v>
      </c>
    </row>
    <row r="815" spans="1:46" ht="16.5">
      <c r="A815" s="105">
        <v>213</v>
      </c>
      <c r="B815" s="111" t="s">
        <v>101</v>
      </c>
      <c r="C815" s="111">
        <v>68</v>
      </c>
      <c r="D815" s="111">
        <v>0</v>
      </c>
      <c r="E815" s="111">
        <v>10</v>
      </c>
      <c r="F815" s="111">
        <v>5.3</v>
      </c>
      <c r="G815" s="111">
        <v>0</v>
      </c>
      <c r="H815" s="111">
        <v>0</v>
      </c>
      <c r="I815" s="111">
        <v>10.199999999999999</v>
      </c>
      <c r="J815" s="111">
        <v>0</v>
      </c>
      <c r="K815" s="111">
        <v>0</v>
      </c>
      <c r="L815" s="111">
        <v>6.5</v>
      </c>
      <c r="M815" s="74" t="str">
        <f t="array" ref="M815">_xlfn.TEXTJOIN("-", TRUE, IF(C815:L815&gt;0, $C$2:$L$2, ""))</f>
        <v xml:space="preserve"> Ti-Zr-Mo-Nb-Sn</v>
      </c>
      <c r="N815" s="90">
        <f t="shared" si="24"/>
        <v>793</v>
      </c>
      <c r="O815" s="91">
        <f t="shared" si="25"/>
        <v>5</v>
      </c>
      <c r="P815" s="111">
        <v>1</v>
      </c>
      <c r="Q815" s="111">
        <v>1</v>
      </c>
      <c r="R815" s="111">
        <v>90</v>
      </c>
      <c r="S815" s="111">
        <v>0</v>
      </c>
      <c r="T815" s="109">
        <v>950</v>
      </c>
      <c r="U815" s="109">
        <v>2</v>
      </c>
      <c r="V815" s="112">
        <v>1</v>
      </c>
      <c r="W815" s="109">
        <v>0</v>
      </c>
      <c r="X815" s="109">
        <v>0</v>
      </c>
      <c r="Y815" s="113">
        <v>0</v>
      </c>
      <c r="Z815" s="18" t="s">
        <v>102</v>
      </c>
      <c r="AA815" s="18" t="s">
        <v>102</v>
      </c>
      <c r="AB815" s="111">
        <v>577</v>
      </c>
      <c r="AC815" s="111">
        <v>408</v>
      </c>
      <c r="AD815" s="111">
        <v>6.7</v>
      </c>
      <c r="AE815" s="18" t="s">
        <v>101</v>
      </c>
      <c r="AF815" s="18" t="s">
        <v>102</v>
      </c>
      <c r="AG815" s="18" t="s">
        <v>102</v>
      </c>
      <c r="AH815" s="18" t="s">
        <v>102</v>
      </c>
      <c r="AI815" s="18" t="s">
        <v>102</v>
      </c>
      <c r="AJ815" s="18" t="s">
        <v>102</v>
      </c>
      <c r="AK815" s="18" t="s">
        <v>102</v>
      </c>
      <c r="AL815" s="18" t="s">
        <v>102</v>
      </c>
      <c r="AM815" s="19"/>
      <c r="AN815" s="20" t="s">
        <v>101</v>
      </c>
      <c r="AO815" s="20" t="s">
        <v>149</v>
      </c>
      <c r="AP815" s="109">
        <v>213</v>
      </c>
      <c r="AQ815" s="110" t="s">
        <v>100</v>
      </c>
      <c r="AR815" s="105">
        <v>213</v>
      </c>
    </row>
    <row r="816" spans="1:46" ht="16.5">
      <c r="A816" s="105">
        <v>215</v>
      </c>
      <c r="B816" s="111" t="s">
        <v>101</v>
      </c>
      <c r="C816" s="111">
        <v>68</v>
      </c>
      <c r="D816" s="111">
        <v>0</v>
      </c>
      <c r="E816" s="111">
        <v>10</v>
      </c>
      <c r="F816" s="111">
        <v>5.3</v>
      </c>
      <c r="G816" s="111">
        <v>0</v>
      </c>
      <c r="H816" s="111">
        <v>0</v>
      </c>
      <c r="I816" s="111">
        <v>10.199999999999999</v>
      </c>
      <c r="J816" s="111">
        <v>0</v>
      </c>
      <c r="K816" s="111">
        <v>0</v>
      </c>
      <c r="L816" s="111">
        <v>6.5</v>
      </c>
      <c r="M816" s="74" t="str">
        <f t="array" ref="M816">_xlfn.TEXTJOIN("-", TRUE, IF(C816:L816&gt;0, $C$2:$L$2, ""))</f>
        <v xml:space="preserve"> Ti-Zr-Mo-Nb-Sn</v>
      </c>
      <c r="N816" s="90">
        <f t="shared" si="24"/>
        <v>793</v>
      </c>
      <c r="O816" s="91">
        <f t="shared" si="25"/>
        <v>5</v>
      </c>
      <c r="P816" s="111">
        <v>1</v>
      </c>
      <c r="Q816" s="111">
        <v>1</v>
      </c>
      <c r="R816" s="111">
        <v>90</v>
      </c>
      <c r="S816" s="111">
        <v>0</v>
      </c>
      <c r="T816" s="109">
        <v>0</v>
      </c>
      <c r="U816" s="109">
        <v>0</v>
      </c>
      <c r="V816" s="112">
        <v>0</v>
      </c>
      <c r="W816" s="109">
        <v>400</v>
      </c>
      <c r="X816" s="109">
        <v>0.33333333300000001</v>
      </c>
      <c r="Y816" s="113">
        <v>1</v>
      </c>
      <c r="Z816" s="18" t="s">
        <v>102</v>
      </c>
      <c r="AA816" s="18" t="s">
        <v>102</v>
      </c>
      <c r="AB816" s="111">
        <v>1369</v>
      </c>
      <c r="AC816" s="111">
        <v>1176</v>
      </c>
      <c r="AD816" s="111">
        <v>2.9</v>
      </c>
      <c r="AE816" s="18" t="s">
        <v>101</v>
      </c>
      <c r="AF816" s="18" t="s">
        <v>102</v>
      </c>
      <c r="AG816" s="18" t="s">
        <v>102</v>
      </c>
      <c r="AH816" s="18" t="s">
        <v>102</v>
      </c>
      <c r="AI816" s="18" t="s">
        <v>102</v>
      </c>
      <c r="AJ816" s="18" t="s">
        <v>102</v>
      </c>
      <c r="AK816" s="18" t="s">
        <v>102</v>
      </c>
      <c r="AL816" s="18" t="s">
        <v>102</v>
      </c>
      <c r="AM816" s="19"/>
      <c r="AN816" s="20" t="s">
        <v>101</v>
      </c>
      <c r="AO816" s="20" t="s">
        <v>149</v>
      </c>
      <c r="AP816" s="109">
        <v>215</v>
      </c>
      <c r="AQ816" s="110" t="s">
        <v>100</v>
      </c>
      <c r="AR816" s="105">
        <v>215</v>
      </c>
    </row>
    <row r="817" spans="1:44" ht="16.5">
      <c r="A817" s="105">
        <v>216</v>
      </c>
      <c r="B817" s="111" t="s">
        <v>101</v>
      </c>
      <c r="C817" s="111">
        <v>68</v>
      </c>
      <c r="D817" s="111">
        <v>0</v>
      </c>
      <c r="E817" s="111">
        <v>10</v>
      </c>
      <c r="F817" s="111">
        <v>5.3</v>
      </c>
      <c r="G817" s="111">
        <v>0</v>
      </c>
      <c r="H817" s="111">
        <v>0</v>
      </c>
      <c r="I817" s="111">
        <v>10.199999999999999</v>
      </c>
      <c r="J817" s="111">
        <v>0</v>
      </c>
      <c r="K817" s="111">
        <v>0</v>
      </c>
      <c r="L817" s="111">
        <v>6.5</v>
      </c>
      <c r="M817" s="74" t="str">
        <f t="array" ref="M817">_xlfn.TEXTJOIN("-", TRUE, IF(C817:L817&gt;0, $C$2:$L$2, ""))</f>
        <v xml:space="preserve"> Ti-Zr-Mo-Nb-Sn</v>
      </c>
      <c r="N817" s="90">
        <f t="shared" si="24"/>
        <v>793</v>
      </c>
      <c r="O817" s="91">
        <f t="shared" si="25"/>
        <v>5</v>
      </c>
      <c r="P817" s="111">
        <v>1</v>
      </c>
      <c r="Q817" s="111">
        <v>1</v>
      </c>
      <c r="R817" s="111">
        <v>90</v>
      </c>
      <c r="S817" s="111">
        <v>0</v>
      </c>
      <c r="T817" s="109">
        <v>950</v>
      </c>
      <c r="U817" s="109">
        <v>1</v>
      </c>
      <c r="V817" s="112">
        <v>1</v>
      </c>
      <c r="W817" s="109">
        <v>0</v>
      </c>
      <c r="X817" s="109">
        <v>0</v>
      </c>
      <c r="Y817" s="113">
        <v>0</v>
      </c>
      <c r="Z817" s="18" t="s">
        <v>102</v>
      </c>
      <c r="AA817" s="18" t="s">
        <v>102</v>
      </c>
      <c r="AB817" s="111">
        <v>813</v>
      </c>
      <c r="AC817" s="111">
        <v>602</v>
      </c>
      <c r="AD817" s="111">
        <v>8.1</v>
      </c>
      <c r="AE817" s="18" t="s">
        <v>101</v>
      </c>
      <c r="AF817" s="18" t="s">
        <v>102</v>
      </c>
      <c r="AG817" s="18" t="s">
        <v>102</v>
      </c>
      <c r="AH817" s="18" t="s">
        <v>102</v>
      </c>
      <c r="AI817" s="18" t="s">
        <v>102</v>
      </c>
      <c r="AJ817" s="18" t="s">
        <v>102</v>
      </c>
      <c r="AK817" s="18" t="s">
        <v>102</v>
      </c>
      <c r="AL817" s="18" t="s">
        <v>102</v>
      </c>
      <c r="AM817" s="19"/>
      <c r="AN817" s="20" t="s">
        <v>101</v>
      </c>
      <c r="AO817" s="20" t="s">
        <v>149</v>
      </c>
      <c r="AP817" s="109">
        <v>216</v>
      </c>
      <c r="AQ817" s="110" t="s">
        <v>100</v>
      </c>
      <c r="AR817" s="105">
        <v>216</v>
      </c>
    </row>
    <row r="818" spans="1:44" ht="16.5">
      <c r="A818" s="105">
        <v>217</v>
      </c>
      <c r="B818" s="111" t="s">
        <v>101</v>
      </c>
      <c r="C818" s="111">
        <v>68</v>
      </c>
      <c r="D818" s="111">
        <v>0</v>
      </c>
      <c r="E818" s="111">
        <v>10</v>
      </c>
      <c r="F818" s="111">
        <v>5.3</v>
      </c>
      <c r="G818" s="111">
        <v>0</v>
      </c>
      <c r="H818" s="111">
        <v>0</v>
      </c>
      <c r="I818" s="111">
        <v>10.199999999999999</v>
      </c>
      <c r="J818" s="111">
        <v>0</v>
      </c>
      <c r="K818" s="111">
        <v>0</v>
      </c>
      <c r="L818" s="111">
        <v>6.5</v>
      </c>
      <c r="M818" s="74" t="str">
        <f t="array" ref="M818">_xlfn.TEXTJOIN("-", TRUE, IF(C818:L818&gt;0, $C$2:$L$2, ""))</f>
        <v xml:space="preserve"> Ti-Zr-Mo-Nb-Sn</v>
      </c>
      <c r="N818" s="90">
        <f t="shared" si="24"/>
        <v>793</v>
      </c>
      <c r="O818" s="91">
        <f t="shared" si="25"/>
        <v>5</v>
      </c>
      <c r="P818" s="111">
        <v>1</v>
      </c>
      <c r="Q818" s="111">
        <v>1</v>
      </c>
      <c r="R818" s="111">
        <v>90</v>
      </c>
      <c r="S818" s="111">
        <v>0</v>
      </c>
      <c r="T818" s="109">
        <v>950</v>
      </c>
      <c r="U818" s="109">
        <v>1</v>
      </c>
      <c r="V818" s="112">
        <v>1</v>
      </c>
      <c r="W818" s="109">
        <v>400</v>
      </c>
      <c r="X818" s="109">
        <v>0.33333333300000001</v>
      </c>
      <c r="Y818" s="113">
        <v>1</v>
      </c>
      <c r="Z818" s="18" t="s">
        <v>102</v>
      </c>
      <c r="AA818" s="18" t="s">
        <v>102</v>
      </c>
      <c r="AB818" s="111">
        <v>635</v>
      </c>
      <c r="AC818" s="111">
        <v>488</v>
      </c>
      <c r="AD818" s="111">
        <v>1.5</v>
      </c>
      <c r="AE818" s="18" t="s">
        <v>101</v>
      </c>
      <c r="AF818" s="18" t="s">
        <v>102</v>
      </c>
      <c r="AG818" s="18" t="s">
        <v>102</v>
      </c>
      <c r="AH818" s="18" t="s">
        <v>102</v>
      </c>
      <c r="AI818" s="18" t="s">
        <v>102</v>
      </c>
      <c r="AJ818" s="18" t="s">
        <v>102</v>
      </c>
      <c r="AK818" s="18" t="s">
        <v>102</v>
      </c>
      <c r="AL818" s="18" t="s">
        <v>102</v>
      </c>
      <c r="AM818" s="19"/>
      <c r="AN818" s="20" t="s">
        <v>101</v>
      </c>
      <c r="AO818" s="20" t="s">
        <v>149</v>
      </c>
      <c r="AP818" s="109">
        <v>217</v>
      </c>
      <c r="AQ818" s="110" t="s">
        <v>100</v>
      </c>
      <c r="AR818" s="105">
        <v>217</v>
      </c>
    </row>
    <row r="819" spans="1:44" ht="16.5">
      <c r="A819" s="105">
        <v>370</v>
      </c>
      <c r="B819" s="111" t="s">
        <v>113</v>
      </c>
      <c r="C819" s="109">
        <v>76.38000000000001</v>
      </c>
      <c r="D819" s="109">
        <v>0</v>
      </c>
      <c r="E819" s="109">
        <v>5.91</v>
      </c>
      <c r="F819" s="109">
        <v>2.96</v>
      </c>
      <c r="G819" s="109">
        <v>0</v>
      </c>
      <c r="H819" s="109">
        <v>0</v>
      </c>
      <c r="I819" s="109">
        <v>11.799999999999999</v>
      </c>
      <c r="J819" s="109">
        <v>0</v>
      </c>
      <c r="K819" s="109">
        <v>0</v>
      </c>
      <c r="L819" s="109">
        <v>2.9499999999999997</v>
      </c>
      <c r="M819" s="74" t="str">
        <f t="array" ref="M819">_xlfn.TEXTJOIN("-", TRUE, IF(C819:L819&gt;0, $C$2:$L$2, ""))</f>
        <v xml:space="preserve"> Ti-Zr-Mo-Nb-Sn</v>
      </c>
      <c r="N819" s="90">
        <f t="shared" si="24"/>
        <v>793</v>
      </c>
      <c r="O819" s="91">
        <f t="shared" si="25"/>
        <v>5</v>
      </c>
      <c r="P819" s="109">
        <v>1</v>
      </c>
      <c r="Q819" s="146" t="s">
        <v>173</v>
      </c>
      <c r="R819" s="111">
        <v>0</v>
      </c>
      <c r="S819" s="111">
        <v>0</v>
      </c>
      <c r="T819" s="111">
        <v>0</v>
      </c>
      <c r="U819" s="111">
        <v>0</v>
      </c>
      <c r="V819" s="111">
        <v>0</v>
      </c>
      <c r="W819" s="111">
        <v>0</v>
      </c>
      <c r="X819" s="111">
        <v>0</v>
      </c>
      <c r="Y819" s="111">
        <v>0</v>
      </c>
      <c r="Z819" s="109">
        <v>72</v>
      </c>
      <c r="AA819" s="111" t="s">
        <v>113</v>
      </c>
      <c r="AB819" s="111" t="s">
        <v>113</v>
      </c>
      <c r="AC819" s="109">
        <v>499</v>
      </c>
      <c r="AD819" s="111" t="s">
        <v>113</v>
      </c>
      <c r="AE819" s="111" t="s">
        <v>113</v>
      </c>
      <c r="AF819" s="111" t="s">
        <v>113</v>
      </c>
      <c r="AG819" s="111" t="s">
        <v>113</v>
      </c>
      <c r="AH819" s="111" t="s">
        <v>113</v>
      </c>
      <c r="AI819" s="111" t="s">
        <v>113</v>
      </c>
      <c r="AJ819" s="111" t="s">
        <v>113</v>
      </c>
      <c r="AK819" s="111" t="s">
        <v>113</v>
      </c>
      <c r="AL819" s="111" t="s">
        <v>113</v>
      </c>
      <c r="AM819" s="111"/>
      <c r="AN819" s="111" t="s">
        <v>113</v>
      </c>
      <c r="AO819" s="111" t="s">
        <v>114</v>
      </c>
      <c r="AP819" s="109">
        <v>370</v>
      </c>
      <c r="AQ819" s="110" t="s">
        <v>100</v>
      </c>
      <c r="AR819" s="105">
        <v>370</v>
      </c>
    </row>
    <row r="820" spans="1:44" ht="16.5">
      <c r="A820" s="105">
        <v>371</v>
      </c>
      <c r="B820" s="111" t="s">
        <v>113</v>
      </c>
      <c r="C820" s="109">
        <v>79.36</v>
      </c>
      <c r="D820" s="109">
        <v>0</v>
      </c>
      <c r="E820" s="109">
        <v>5.8999999999999995</v>
      </c>
      <c r="F820" s="109">
        <v>2.96</v>
      </c>
      <c r="G820" s="109">
        <v>0</v>
      </c>
      <c r="H820" s="109">
        <v>0</v>
      </c>
      <c r="I820" s="109">
        <v>8.85</v>
      </c>
      <c r="J820" s="109">
        <v>0</v>
      </c>
      <c r="K820" s="109">
        <v>0</v>
      </c>
      <c r="L820" s="109">
        <v>2.93</v>
      </c>
      <c r="M820" s="74" t="str">
        <f t="array" ref="M820">_xlfn.TEXTJOIN("-", TRUE, IF(C820:L820&gt;0, $C$2:$L$2, ""))</f>
        <v xml:space="preserve"> Ti-Zr-Mo-Nb-Sn</v>
      </c>
      <c r="N820" s="90">
        <f t="shared" si="24"/>
        <v>793</v>
      </c>
      <c r="O820" s="91">
        <f t="shared" si="25"/>
        <v>5</v>
      </c>
      <c r="P820" s="109">
        <v>1</v>
      </c>
      <c r="Q820" s="146" t="s">
        <v>173</v>
      </c>
      <c r="R820" s="111">
        <v>0</v>
      </c>
      <c r="S820" s="111">
        <v>0</v>
      </c>
      <c r="T820" s="111">
        <v>0</v>
      </c>
      <c r="U820" s="111">
        <v>0</v>
      </c>
      <c r="V820" s="111">
        <v>0</v>
      </c>
      <c r="W820" s="111">
        <v>0</v>
      </c>
      <c r="X820" s="111">
        <v>0</v>
      </c>
      <c r="Y820" s="111">
        <v>0</v>
      </c>
      <c r="Z820" s="109">
        <v>56</v>
      </c>
      <c r="AA820" s="111" t="s">
        <v>113</v>
      </c>
      <c r="AB820" s="111" t="s">
        <v>113</v>
      </c>
      <c r="AC820" s="109">
        <v>566</v>
      </c>
      <c r="AD820" s="111" t="s">
        <v>113</v>
      </c>
      <c r="AE820" s="111" t="s">
        <v>113</v>
      </c>
      <c r="AF820" s="111" t="s">
        <v>113</v>
      </c>
      <c r="AG820" s="111" t="s">
        <v>113</v>
      </c>
      <c r="AH820" s="111" t="s">
        <v>113</v>
      </c>
      <c r="AI820" s="111" t="s">
        <v>113</v>
      </c>
      <c r="AJ820" s="111" t="s">
        <v>113</v>
      </c>
      <c r="AK820" s="111" t="s">
        <v>113</v>
      </c>
      <c r="AL820" s="111" t="s">
        <v>113</v>
      </c>
      <c r="AM820" s="111"/>
      <c r="AN820" s="111" t="s">
        <v>113</v>
      </c>
      <c r="AO820" s="111" t="s">
        <v>232</v>
      </c>
      <c r="AP820" s="109">
        <v>371</v>
      </c>
      <c r="AQ820" s="110" t="s">
        <v>100</v>
      </c>
      <c r="AR820" s="105">
        <v>371</v>
      </c>
    </row>
    <row r="821" spans="1:44" ht="16.5">
      <c r="A821" s="105">
        <v>372</v>
      </c>
      <c r="B821" s="111" t="s">
        <v>113</v>
      </c>
      <c r="C821" s="109">
        <v>81.22</v>
      </c>
      <c r="D821" s="109">
        <v>0</v>
      </c>
      <c r="E821" s="109">
        <v>3.1300000000000003</v>
      </c>
      <c r="F821" s="109">
        <v>3.16</v>
      </c>
      <c r="G821" s="109">
        <v>0</v>
      </c>
      <c r="H821" s="109">
        <v>0</v>
      </c>
      <c r="I821" s="109">
        <v>9.35</v>
      </c>
      <c r="J821" s="109">
        <v>0</v>
      </c>
      <c r="K821" s="109">
        <v>0</v>
      </c>
      <c r="L821" s="109">
        <v>3.1300000000000003</v>
      </c>
      <c r="M821" s="74" t="str">
        <f t="array" ref="M821">_xlfn.TEXTJOIN("-", TRUE, IF(C821:L821&gt;0, $C$2:$L$2, ""))</f>
        <v xml:space="preserve"> Ti-Zr-Mo-Nb-Sn</v>
      </c>
      <c r="N821" s="90">
        <f t="shared" si="24"/>
        <v>793</v>
      </c>
      <c r="O821" s="91">
        <f t="shared" si="25"/>
        <v>5</v>
      </c>
      <c r="P821" s="109">
        <v>1</v>
      </c>
      <c r="Q821" s="146" t="s">
        <v>173</v>
      </c>
      <c r="R821" s="111">
        <v>0</v>
      </c>
      <c r="S821" s="111">
        <v>0</v>
      </c>
      <c r="T821" s="111">
        <v>0</v>
      </c>
      <c r="U821" s="111">
        <v>0</v>
      </c>
      <c r="V821" s="111">
        <v>0</v>
      </c>
      <c r="W821" s="111">
        <v>0</v>
      </c>
      <c r="X821" s="111">
        <v>0</v>
      </c>
      <c r="Y821" s="111">
        <v>0</v>
      </c>
      <c r="Z821" s="109">
        <v>55</v>
      </c>
      <c r="AA821" s="111" t="s">
        <v>113</v>
      </c>
      <c r="AB821" s="111" t="s">
        <v>113</v>
      </c>
      <c r="AC821" s="109">
        <v>533</v>
      </c>
      <c r="AD821" s="111" t="s">
        <v>113</v>
      </c>
      <c r="AE821" s="111" t="s">
        <v>113</v>
      </c>
      <c r="AF821" s="111" t="s">
        <v>113</v>
      </c>
      <c r="AG821" s="111" t="s">
        <v>113</v>
      </c>
      <c r="AH821" s="111" t="s">
        <v>113</v>
      </c>
      <c r="AI821" s="111" t="s">
        <v>113</v>
      </c>
      <c r="AJ821" s="111" t="s">
        <v>113</v>
      </c>
      <c r="AK821" s="111" t="s">
        <v>113</v>
      </c>
      <c r="AL821" s="111" t="s">
        <v>113</v>
      </c>
      <c r="AM821" s="111"/>
      <c r="AN821" s="111" t="s">
        <v>113</v>
      </c>
      <c r="AO821" s="111" t="s">
        <v>114</v>
      </c>
      <c r="AP821" s="109">
        <v>372</v>
      </c>
      <c r="AQ821" s="110" t="s">
        <v>100</v>
      </c>
      <c r="AR821" s="105">
        <v>372</v>
      </c>
    </row>
    <row r="822" spans="1:44" ht="16.5">
      <c r="A822" s="105">
        <v>403</v>
      </c>
      <c r="B822" s="111" t="s">
        <v>113</v>
      </c>
      <c r="C822" s="109">
        <v>79.990000000000009</v>
      </c>
      <c r="D822" s="109">
        <v>0</v>
      </c>
      <c r="E822" s="109">
        <v>1.8800000000000001</v>
      </c>
      <c r="F822" s="109">
        <v>1.79</v>
      </c>
      <c r="G822" s="109">
        <v>0</v>
      </c>
      <c r="H822" s="109">
        <v>0</v>
      </c>
      <c r="I822" s="109">
        <v>15.379999999999999</v>
      </c>
      <c r="J822" s="109">
        <v>0</v>
      </c>
      <c r="K822" s="109">
        <v>0</v>
      </c>
      <c r="L822" s="109">
        <v>0.96</v>
      </c>
      <c r="M822" s="74" t="str">
        <f t="array" ref="M822">_xlfn.TEXTJOIN("-", TRUE, IF(C822:L822&gt;0, $C$2:$L$2, ""))</f>
        <v xml:space="preserve"> Ti-Zr-Mo-Nb-Sn</v>
      </c>
      <c r="N822" s="90">
        <f t="shared" si="24"/>
        <v>793</v>
      </c>
      <c r="O822" s="91">
        <f t="shared" si="25"/>
        <v>5</v>
      </c>
      <c r="P822" s="109">
        <v>1</v>
      </c>
      <c r="Q822" s="109">
        <v>1</v>
      </c>
      <c r="R822" s="111" t="s">
        <v>113</v>
      </c>
      <c r="S822" s="111" t="s">
        <v>113</v>
      </c>
      <c r="T822" s="111" t="s">
        <v>113</v>
      </c>
      <c r="U822" s="111" t="s">
        <v>113</v>
      </c>
      <c r="V822" s="109">
        <v>2</v>
      </c>
      <c r="W822" s="111" t="s">
        <v>113</v>
      </c>
      <c r="X822" s="111" t="s">
        <v>113</v>
      </c>
      <c r="Y822" s="111" t="s">
        <v>113</v>
      </c>
      <c r="Z822" s="109">
        <v>83</v>
      </c>
      <c r="AA822" s="111" t="s">
        <v>113</v>
      </c>
      <c r="AB822" s="111" t="s">
        <v>113</v>
      </c>
      <c r="AC822" s="109">
        <v>499.1</v>
      </c>
      <c r="AD822" s="111" t="s">
        <v>113</v>
      </c>
      <c r="AE822" s="111" t="s">
        <v>113</v>
      </c>
      <c r="AF822" s="111" t="s">
        <v>113</v>
      </c>
      <c r="AG822" s="111" t="s">
        <v>113</v>
      </c>
      <c r="AH822" s="111" t="s">
        <v>113</v>
      </c>
      <c r="AI822" s="111" t="s">
        <v>113</v>
      </c>
      <c r="AJ822" s="111" t="s">
        <v>113</v>
      </c>
      <c r="AK822" s="111" t="s">
        <v>113</v>
      </c>
      <c r="AL822" s="111" t="s">
        <v>113</v>
      </c>
      <c r="AM822" s="111"/>
      <c r="AN822" s="111" t="s">
        <v>113</v>
      </c>
      <c r="AO822" s="111" t="s">
        <v>114</v>
      </c>
      <c r="AP822" s="109">
        <v>403</v>
      </c>
      <c r="AQ822" s="110" t="s">
        <v>100</v>
      </c>
      <c r="AR822" s="105">
        <v>403</v>
      </c>
    </row>
    <row r="823" spans="1:44" ht="16.5">
      <c r="A823" s="105">
        <v>504</v>
      </c>
      <c r="B823" s="111" t="s">
        <v>113</v>
      </c>
      <c r="C823" s="109">
        <v>80.64</v>
      </c>
      <c r="D823" s="109">
        <v>0</v>
      </c>
      <c r="E823" s="109">
        <v>1.7399999999999998</v>
      </c>
      <c r="F823" s="109">
        <v>1.78</v>
      </c>
      <c r="G823" s="109">
        <v>0</v>
      </c>
      <c r="H823" s="109">
        <v>0</v>
      </c>
      <c r="I823" s="109">
        <v>14.93</v>
      </c>
      <c r="J823" s="109">
        <v>0</v>
      </c>
      <c r="K823" s="109">
        <v>0</v>
      </c>
      <c r="L823" s="109">
        <v>0.91</v>
      </c>
      <c r="M823" s="74" t="str">
        <f t="array" ref="M823">_xlfn.TEXTJOIN("-", TRUE, IF(C823:L823&gt;0, $C$2:$L$2, ""))</f>
        <v xml:space="preserve"> Ti-Zr-Mo-Nb-Sn</v>
      </c>
      <c r="N823" s="90">
        <f t="shared" si="24"/>
        <v>793</v>
      </c>
      <c r="O823" s="91">
        <f t="shared" si="25"/>
        <v>5</v>
      </c>
      <c r="P823" s="109">
        <v>1</v>
      </c>
      <c r="Q823" s="109">
        <v>1</v>
      </c>
      <c r="R823" s="111" t="s">
        <v>113</v>
      </c>
      <c r="S823" s="111" t="s">
        <v>113</v>
      </c>
      <c r="T823" s="111" t="s">
        <v>113</v>
      </c>
      <c r="U823" s="111" t="s">
        <v>113</v>
      </c>
      <c r="V823" s="109">
        <v>1</v>
      </c>
      <c r="W823" s="111" t="s">
        <v>113</v>
      </c>
      <c r="X823" s="111" t="s">
        <v>113</v>
      </c>
      <c r="Y823" s="111" t="s">
        <v>113</v>
      </c>
      <c r="Z823" s="109">
        <v>72</v>
      </c>
      <c r="AA823" s="111" t="s">
        <v>113</v>
      </c>
      <c r="AB823" s="111" t="s">
        <v>113</v>
      </c>
      <c r="AC823" s="109">
        <v>534</v>
      </c>
      <c r="AD823" s="111" t="s">
        <v>113</v>
      </c>
      <c r="AE823" s="111" t="s">
        <v>113</v>
      </c>
      <c r="AF823" s="111" t="s">
        <v>113</v>
      </c>
      <c r="AG823" s="111" t="s">
        <v>113</v>
      </c>
      <c r="AH823" s="111" t="s">
        <v>113</v>
      </c>
      <c r="AI823" s="111" t="s">
        <v>113</v>
      </c>
      <c r="AJ823" s="111" t="s">
        <v>113</v>
      </c>
      <c r="AK823" s="111" t="s">
        <v>113</v>
      </c>
      <c r="AL823" s="111" t="s">
        <v>113</v>
      </c>
      <c r="AM823" s="111"/>
      <c r="AN823" s="111" t="s">
        <v>113</v>
      </c>
      <c r="AO823" s="111" t="s">
        <v>114</v>
      </c>
      <c r="AP823" s="109">
        <v>504</v>
      </c>
      <c r="AQ823" s="110" t="s">
        <v>100</v>
      </c>
      <c r="AR823" s="105">
        <v>504</v>
      </c>
    </row>
    <row r="824" spans="1:44" ht="16.5">
      <c r="A824" s="105">
        <v>505</v>
      </c>
      <c r="B824" s="111" t="s">
        <v>113</v>
      </c>
      <c r="C824" s="109">
        <v>78.400000000000006</v>
      </c>
      <c r="D824" s="109">
        <v>0</v>
      </c>
      <c r="E824" s="109">
        <v>1.97</v>
      </c>
      <c r="F824" s="109">
        <v>3.32</v>
      </c>
      <c r="G824" s="109">
        <v>0</v>
      </c>
      <c r="H824" s="109">
        <v>0</v>
      </c>
      <c r="I824" s="109">
        <v>15.329999999999998</v>
      </c>
      <c r="J824" s="109">
        <v>0</v>
      </c>
      <c r="K824" s="109">
        <v>0</v>
      </c>
      <c r="L824" s="109">
        <v>0.98</v>
      </c>
      <c r="M824" s="74" t="str">
        <f t="array" ref="M824">_xlfn.TEXTJOIN("-", TRUE, IF(C824:L824&gt;0, $C$2:$L$2, ""))</f>
        <v xml:space="preserve"> Ti-Zr-Mo-Nb-Sn</v>
      </c>
      <c r="N824" s="90">
        <f t="shared" si="24"/>
        <v>793</v>
      </c>
      <c r="O824" s="91">
        <f t="shared" si="25"/>
        <v>5</v>
      </c>
      <c r="P824" s="109">
        <v>1</v>
      </c>
      <c r="Q824" s="109">
        <v>1</v>
      </c>
      <c r="R824" s="111" t="s">
        <v>113</v>
      </c>
      <c r="S824" s="111" t="s">
        <v>113</v>
      </c>
      <c r="T824" s="111" t="s">
        <v>113</v>
      </c>
      <c r="U824" s="111" t="s">
        <v>113</v>
      </c>
      <c r="V824" s="109">
        <v>1</v>
      </c>
      <c r="W824" s="111" t="s">
        <v>113</v>
      </c>
      <c r="X824" s="111" t="s">
        <v>113</v>
      </c>
      <c r="Y824" s="111" t="s">
        <v>113</v>
      </c>
      <c r="Z824" s="109">
        <v>68</v>
      </c>
      <c r="AA824" s="111" t="s">
        <v>113</v>
      </c>
      <c r="AB824" s="111" t="s">
        <v>113</v>
      </c>
      <c r="AC824" s="109">
        <v>491</v>
      </c>
      <c r="AD824" s="111" t="s">
        <v>113</v>
      </c>
      <c r="AE824" s="111" t="s">
        <v>113</v>
      </c>
      <c r="AF824" s="111" t="s">
        <v>113</v>
      </c>
      <c r="AG824" s="111" t="s">
        <v>113</v>
      </c>
      <c r="AH824" s="111" t="s">
        <v>113</v>
      </c>
      <c r="AI824" s="111" t="s">
        <v>113</v>
      </c>
      <c r="AJ824" s="111" t="s">
        <v>113</v>
      </c>
      <c r="AK824" s="111" t="s">
        <v>113</v>
      </c>
      <c r="AL824" s="111" t="s">
        <v>113</v>
      </c>
      <c r="AM824" s="111"/>
      <c r="AN824" s="111" t="s">
        <v>113</v>
      </c>
      <c r="AO824" s="111" t="s">
        <v>114</v>
      </c>
      <c r="AP824" s="109">
        <v>505</v>
      </c>
      <c r="AQ824" s="110" t="s">
        <v>100</v>
      </c>
      <c r="AR824" s="105">
        <v>505</v>
      </c>
    </row>
    <row r="825" spans="1:44" ht="16.5">
      <c r="A825" s="29">
        <v>9</v>
      </c>
      <c r="B825" s="19"/>
      <c r="C825" s="18">
        <v>81.25</v>
      </c>
      <c r="D825" s="19">
        <v>0</v>
      </c>
      <c r="E825" s="18">
        <v>6.25</v>
      </c>
      <c r="F825" s="18">
        <v>3.13</v>
      </c>
      <c r="G825" s="18">
        <v>0</v>
      </c>
      <c r="H825" s="18">
        <v>0</v>
      </c>
      <c r="I825" s="18">
        <v>6.25</v>
      </c>
      <c r="J825" s="18">
        <v>0</v>
      </c>
      <c r="K825" s="18">
        <v>0</v>
      </c>
      <c r="L825" s="18">
        <v>3.12</v>
      </c>
      <c r="M825" s="74" t="str">
        <f t="array" ref="M825">_xlfn.TEXTJOIN("-", TRUE, IF(C825:L825&gt;0, $C$2:$L$2, ""))</f>
        <v xml:space="preserve"> Ti-Zr-Mo-Nb-Sn</v>
      </c>
      <c r="N825" s="90">
        <f t="shared" si="24"/>
        <v>793</v>
      </c>
      <c r="O825" s="91">
        <f t="shared" si="25"/>
        <v>5</v>
      </c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8">
        <v>48</v>
      </c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10" t="s">
        <v>382</v>
      </c>
      <c r="AR825" s="32"/>
    </row>
    <row r="826" spans="1:44" ht="16.5">
      <c r="A826" s="29">
        <v>10</v>
      </c>
      <c r="B826" s="19"/>
      <c r="C826" s="18">
        <v>75</v>
      </c>
      <c r="D826" s="19">
        <v>0</v>
      </c>
      <c r="E826" s="18">
        <v>12.5</v>
      </c>
      <c r="F826" s="18">
        <v>3.13</v>
      </c>
      <c r="G826" s="18">
        <v>0</v>
      </c>
      <c r="H826" s="18">
        <v>0</v>
      </c>
      <c r="I826" s="18">
        <v>6.25</v>
      </c>
      <c r="J826" s="18">
        <v>0</v>
      </c>
      <c r="K826" s="18">
        <v>0</v>
      </c>
      <c r="L826" s="18">
        <v>3.12</v>
      </c>
      <c r="M826" s="74" t="str">
        <f t="array" ref="M826">_xlfn.TEXTJOIN("-", TRUE, IF(C826:L826&gt;0, $C$2:$L$2, ""))</f>
        <v xml:space="preserve"> Ti-Zr-Mo-Nb-Sn</v>
      </c>
      <c r="N826" s="90">
        <f t="shared" si="24"/>
        <v>793</v>
      </c>
      <c r="O826" s="91">
        <f t="shared" si="25"/>
        <v>5</v>
      </c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8">
        <v>56</v>
      </c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10" t="s">
        <v>382</v>
      </c>
      <c r="AR826" s="32"/>
    </row>
    <row r="827" spans="1:44" ht="16.5">
      <c r="A827" s="29">
        <v>11</v>
      </c>
      <c r="B827" s="19"/>
      <c r="C827" s="18">
        <v>76.47</v>
      </c>
      <c r="D827" s="19">
        <v>0</v>
      </c>
      <c r="E827" s="18">
        <v>5.88</v>
      </c>
      <c r="F827" s="18">
        <v>2.94</v>
      </c>
      <c r="G827" s="18">
        <v>0</v>
      </c>
      <c r="H827" s="18">
        <v>0</v>
      </c>
      <c r="I827" s="18">
        <v>11.76</v>
      </c>
      <c r="J827" s="18">
        <v>0</v>
      </c>
      <c r="K827" s="18">
        <v>0</v>
      </c>
      <c r="L827" s="18">
        <v>2.95</v>
      </c>
      <c r="M827" s="74" t="str">
        <f t="array" ref="M827">_xlfn.TEXTJOIN("-", TRUE, IF(C827:L827&gt;0, $C$2:$L$2, ""))</f>
        <v xml:space="preserve"> Ti-Zr-Mo-Nb-Sn</v>
      </c>
      <c r="N827" s="90">
        <f t="shared" si="24"/>
        <v>793</v>
      </c>
      <c r="O827" s="91">
        <f t="shared" si="25"/>
        <v>5</v>
      </c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8">
        <v>72</v>
      </c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10" t="s">
        <v>382</v>
      </c>
      <c r="AR827" s="32"/>
    </row>
    <row r="828" spans="1:44" ht="16.5">
      <c r="A828" s="29">
        <v>28</v>
      </c>
      <c r="B828" s="19"/>
      <c r="C828" s="18">
        <v>68.099999999999994</v>
      </c>
      <c r="D828" s="19">
        <v>0</v>
      </c>
      <c r="E828" s="18">
        <v>10</v>
      </c>
      <c r="F828" s="18">
        <v>5.2</v>
      </c>
      <c r="G828" s="18">
        <v>0</v>
      </c>
      <c r="H828" s="18">
        <v>0</v>
      </c>
      <c r="I828" s="18">
        <v>10.199999999999999</v>
      </c>
      <c r="J828" s="18">
        <v>0</v>
      </c>
      <c r="K828" s="18">
        <v>0</v>
      </c>
      <c r="L828" s="18">
        <v>6.5</v>
      </c>
      <c r="M828" s="74" t="str">
        <f t="array" ref="M828">_xlfn.TEXTJOIN("-", TRUE, IF(C828:L828&gt;0, $C$2:$L$2, ""))</f>
        <v xml:space="preserve"> Ti-Zr-Mo-Nb-Sn</v>
      </c>
      <c r="N828" s="90">
        <f t="shared" si="24"/>
        <v>793</v>
      </c>
      <c r="O828" s="91">
        <f t="shared" si="25"/>
        <v>5</v>
      </c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8">
        <v>48</v>
      </c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10" t="s">
        <v>382</v>
      </c>
      <c r="AR828" s="32"/>
    </row>
    <row r="829" spans="1:44" ht="16.5">
      <c r="A829" s="29">
        <v>29</v>
      </c>
      <c r="B829" s="19"/>
      <c r="C829" s="18">
        <v>60</v>
      </c>
      <c r="D829" s="19">
        <v>0</v>
      </c>
      <c r="E829" s="18">
        <v>19.100000000000001</v>
      </c>
      <c r="F829" s="18">
        <v>5</v>
      </c>
      <c r="G829" s="18">
        <v>0</v>
      </c>
      <c r="H829" s="18">
        <v>0</v>
      </c>
      <c r="I829" s="18">
        <v>9.6999999999999993</v>
      </c>
      <c r="J829" s="18">
        <v>0</v>
      </c>
      <c r="K829" s="18">
        <v>0</v>
      </c>
      <c r="L829" s="18">
        <v>6.2</v>
      </c>
      <c r="M829" s="74" t="str">
        <f t="array" ref="M829">_xlfn.TEXTJOIN("-", TRUE, IF(C829:L829&gt;0, $C$2:$L$2, ""))</f>
        <v xml:space="preserve"> Ti-Zr-Mo-Nb-Sn</v>
      </c>
      <c r="N829" s="90">
        <f t="shared" si="24"/>
        <v>793</v>
      </c>
      <c r="O829" s="91">
        <f t="shared" si="25"/>
        <v>5</v>
      </c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8">
        <v>56</v>
      </c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10" t="s">
        <v>382</v>
      </c>
      <c r="AR829" s="32"/>
    </row>
    <row r="830" spans="1:44" ht="16.5">
      <c r="A830" s="29">
        <v>36</v>
      </c>
      <c r="B830" s="19"/>
      <c r="C830" s="18">
        <v>61.9</v>
      </c>
      <c r="D830" s="19">
        <v>0</v>
      </c>
      <c r="E830" s="18">
        <v>9.1</v>
      </c>
      <c r="F830" s="18">
        <v>4.7</v>
      </c>
      <c r="G830" s="18">
        <v>0</v>
      </c>
      <c r="H830" s="18">
        <v>0</v>
      </c>
      <c r="I830" s="18">
        <v>18.5</v>
      </c>
      <c r="J830" s="18">
        <v>0</v>
      </c>
      <c r="K830" s="18">
        <v>0</v>
      </c>
      <c r="L830" s="18">
        <v>5.8</v>
      </c>
      <c r="M830" s="74" t="str">
        <f t="array" ref="M830">_xlfn.TEXTJOIN("-", TRUE, IF(C830:L830&gt;0, $C$2:$L$2, ""))</f>
        <v xml:space="preserve"> Ti-Zr-Mo-Nb-Sn</v>
      </c>
      <c r="N830" s="90">
        <f t="shared" si="24"/>
        <v>793</v>
      </c>
      <c r="O830" s="91">
        <f t="shared" si="25"/>
        <v>5</v>
      </c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8">
        <v>72</v>
      </c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10" t="s">
        <v>382</v>
      </c>
      <c r="AR830" s="32"/>
    </row>
    <row r="831" spans="1:44" ht="16.5">
      <c r="A831" s="29">
        <v>37</v>
      </c>
      <c r="B831" s="19"/>
      <c r="C831" s="18">
        <v>54.7</v>
      </c>
      <c r="D831" s="19">
        <v>0</v>
      </c>
      <c r="E831" s="18">
        <v>17.399999999999999</v>
      </c>
      <c r="F831" s="18">
        <v>4.5</v>
      </c>
      <c r="G831" s="18">
        <v>0</v>
      </c>
      <c r="H831" s="18">
        <v>0</v>
      </c>
      <c r="I831" s="18">
        <v>17.8</v>
      </c>
      <c r="J831" s="18">
        <v>0</v>
      </c>
      <c r="K831" s="18">
        <v>0</v>
      </c>
      <c r="L831" s="18">
        <v>5.6</v>
      </c>
      <c r="M831" s="74" t="str">
        <f t="array" ref="M831">_xlfn.TEXTJOIN("-", TRUE, IF(C831:L831&gt;0, $C$2:$L$2, ""))</f>
        <v xml:space="preserve"> Ti-Zr-Mo-Nb-Sn</v>
      </c>
      <c r="N831" s="90">
        <f t="shared" si="24"/>
        <v>793</v>
      </c>
      <c r="O831" s="91">
        <f t="shared" si="25"/>
        <v>5</v>
      </c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8">
        <v>82</v>
      </c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10" t="s">
        <v>382</v>
      </c>
      <c r="AR831" s="32"/>
    </row>
    <row r="832" spans="1:44" ht="16.5">
      <c r="A832" s="29">
        <v>44</v>
      </c>
      <c r="B832" s="19"/>
      <c r="C832" s="18">
        <v>56.6</v>
      </c>
      <c r="D832" s="19">
        <v>0</v>
      </c>
      <c r="E832" s="18">
        <v>8.1999999999999993</v>
      </c>
      <c r="F832" s="18">
        <v>4.4000000000000004</v>
      </c>
      <c r="G832" s="18">
        <v>0</v>
      </c>
      <c r="H832" s="18">
        <v>0</v>
      </c>
      <c r="I832" s="18">
        <v>25.4</v>
      </c>
      <c r="J832" s="18">
        <v>0</v>
      </c>
      <c r="K832" s="18">
        <v>0</v>
      </c>
      <c r="L832" s="18">
        <v>5.4</v>
      </c>
      <c r="M832" s="74" t="str">
        <f t="array" ref="M832">_xlfn.TEXTJOIN("-", TRUE, IF(C832:L832&gt;0, $C$2:$L$2, ""))</f>
        <v xml:space="preserve"> Ti-Zr-Mo-Nb-Sn</v>
      </c>
      <c r="N832" s="90">
        <f t="shared" si="24"/>
        <v>793</v>
      </c>
      <c r="O832" s="91">
        <f t="shared" si="25"/>
        <v>5</v>
      </c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8">
        <v>66</v>
      </c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10" t="s">
        <v>382</v>
      </c>
      <c r="AR832" s="32"/>
    </row>
    <row r="833" spans="1:44" ht="16.5">
      <c r="A833" s="29">
        <v>45</v>
      </c>
      <c r="B833" s="19"/>
      <c r="C833" s="18">
        <v>50.2</v>
      </c>
      <c r="D833" s="19">
        <v>0</v>
      </c>
      <c r="E833" s="18">
        <v>15.9</v>
      </c>
      <c r="F833" s="18">
        <v>4.3</v>
      </c>
      <c r="G833" s="18">
        <v>0</v>
      </c>
      <c r="H833" s="18">
        <v>0</v>
      </c>
      <c r="I833" s="18">
        <v>24.4</v>
      </c>
      <c r="J833" s="18">
        <v>0</v>
      </c>
      <c r="K833" s="18">
        <v>0</v>
      </c>
      <c r="L833" s="18">
        <v>5.2</v>
      </c>
      <c r="M833" s="74" t="str">
        <f t="array" ref="M833">_xlfn.TEXTJOIN("-", TRUE, IF(C833:L833&gt;0, $C$2:$L$2, ""))</f>
        <v xml:space="preserve"> Ti-Zr-Mo-Nb-Sn</v>
      </c>
      <c r="N833" s="90">
        <f t="shared" si="24"/>
        <v>793</v>
      </c>
      <c r="O833" s="91">
        <f t="shared" si="25"/>
        <v>5</v>
      </c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8">
        <v>72</v>
      </c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10" t="s">
        <v>382</v>
      </c>
      <c r="AR833" s="32"/>
    </row>
    <row r="834" spans="1:44" ht="16.5">
      <c r="A834" s="29">
        <v>51</v>
      </c>
      <c r="B834" s="19"/>
      <c r="C834" s="18">
        <v>81.3</v>
      </c>
      <c r="D834" s="19">
        <v>0</v>
      </c>
      <c r="E834" s="18">
        <v>7.5</v>
      </c>
      <c r="F834" s="18">
        <v>3.1</v>
      </c>
      <c r="G834" s="18">
        <v>0</v>
      </c>
      <c r="H834" s="18">
        <v>0</v>
      </c>
      <c r="I834" s="18">
        <v>5</v>
      </c>
      <c r="J834" s="18">
        <v>0</v>
      </c>
      <c r="K834" s="18">
        <v>0</v>
      </c>
      <c r="L834" s="18">
        <v>3.1</v>
      </c>
      <c r="M834" s="74" t="str">
        <f t="array" ref="M834">_xlfn.TEXTJOIN("-", TRUE, IF(C834:L834&gt;0, $C$2:$L$2, ""))</f>
        <v xml:space="preserve"> Ti-Zr-Mo-Nb-Sn</v>
      </c>
      <c r="N834" s="90">
        <f t="shared" si="24"/>
        <v>793</v>
      </c>
      <c r="O834" s="91">
        <f t="shared" si="25"/>
        <v>5</v>
      </c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8">
        <v>58</v>
      </c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10" t="s">
        <v>382</v>
      </c>
      <c r="AR834" s="32"/>
    </row>
    <row r="835" spans="1:44" ht="16.5">
      <c r="A835" s="29">
        <v>52</v>
      </c>
      <c r="B835" s="19"/>
      <c r="C835" s="18">
        <v>81.3</v>
      </c>
      <c r="D835" s="19">
        <v>0</v>
      </c>
      <c r="E835" s="18">
        <v>9.4</v>
      </c>
      <c r="F835" s="18">
        <v>3.1</v>
      </c>
      <c r="G835" s="18">
        <v>0</v>
      </c>
      <c r="H835" s="18">
        <v>0</v>
      </c>
      <c r="I835" s="18">
        <v>3.1</v>
      </c>
      <c r="J835" s="18">
        <v>0</v>
      </c>
      <c r="K835" s="18">
        <v>0</v>
      </c>
      <c r="L835" s="18">
        <v>3.1</v>
      </c>
      <c r="M835" s="74" t="str">
        <f t="array" ref="M835">_xlfn.TEXTJOIN("-", TRUE, IF(C835:L835&gt;0, $C$2:$L$2, ""))</f>
        <v xml:space="preserve"> Ti-Zr-Mo-Nb-Sn</v>
      </c>
      <c r="N835" s="90">
        <f t="shared" ref="N835:N898" si="26">IF(COUNTIF(M$3:M$1206, M835)&gt;1, MATCH(M835, M:M, 0), "")</f>
        <v>793</v>
      </c>
      <c r="O835" s="91">
        <f t="shared" ref="O835:O898" si="27">COUNTIF(C835:L835, "&lt;&gt;0")</f>
        <v>5</v>
      </c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8">
        <v>56</v>
      </c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10" t="s">
        <v>382</v>
      </c>
      <c r="AR835" s="32"/>
    </row>
    <row r="836" spans="1:44" ht="16.5">
      <c r="A836" s="29">
        <v>53</v>
      </c>
      <c r="B836" s="19"/>
      <c r="C836" s="18">
        <v>81.17</v>
      </c>
      <c r="D836" s="19">
        <v>0</v>
      </c>
      <c r="E836" s="18">
        <v>6.27</v>
      </c>
      <c r="F836" s="18">
        <v>3.16</v>
      </c>
      <c r="G836" s="18">
        <v>0</v>
      </c>
      <c r="H836" s="18">
        <v>0</v>
      </c>
      <c r="I836" s="18">
        <v>6.27</v>
      </c>
      <c r="J836" s="18">
        <v>0</v>
      </c>
      <c r="K836" s="18">
        <v>0</v>
      </c>
      <c r="L836" s="18">
        <v>3.13</v>
      </c>
      <c r="M836" s="74" t="str">
        <f t="array" ref="M836">_xlfn.TEXTJOIN("-", TRUE, IF(C836:L836&gt;0, $C$2:$L$2, ""))</f>
        <v xml:space="preserve"> Ti-Zr-Mo-Nb-Sn</v>
      </c>
      <c r="N836" s="90">
        <f t="shared" si="26"/>
        <v>793</v>
      </c>
      <c r="O836" s="91">
        <f t="shared" si="27"/>
        <v>5</v>
      </c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8">
        <v>48</v>
      </c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10" t="s">
        <v>382</v>
      </c>
      <c r="AR836" s="32"/>
    </row>
    <row r="837" spans="1:44" ht="16.5">
      <c r="A837" s="29">
        <v>54</v>
      </c>
      <c r="B837" s="19"/>
      <c r="C837" s="18">
        <v>76.38</v>
      </c>
      <c r="D837" s="19">
        <v>0</v>
      </c>
      <c r="E837" s="18">
        <v>5.91</v>
      </c>
      <c r="F837" s="18">
        <v>2.96</v>
      </c>
      <c r="G837" s="18">
        <v>0</v>
      </c>
      <c r="H837" s="18">
        <v>0</v>
      </c>
      <c r="I837" s="18">
        <v>11.8</v>
      </c>
      <c r="J837" s="18">
        <v>0</v>
      </c>
      <c r="K837" s="18">
        <v>0</v>
      </c>
      <c r="L837" s="18">
        <v>2.95</v>
      </c>
      <c r="M837" s="74" t="str">
        <f t="array" ref="M837">_xlfn.TEXTJOIN("-", TRUE, IF(C837:L837&gt;0, $C$2:$L$2, ""))</f>
        <v xml:space="preserve"> Ti-Zr-Mo-Nb-Sn</v>
      </c>
      <c r="N837" s="90">
        <f t="shared" si="26"/>
        <v>793</v>
      </c>
      <c r="O837" s="91">
        <f t="shared" si="27"/>
        <v>5</v>
      </c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8">
        <v>72</v>
      </c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10" t="s">
        <v>382</v>
      </c>
      <c r="AR837" s="32"/>
    </row>
    <row r="838" spans="1:44" ht="16.5">
      <c r="A838" s="29">
        <v>55</v>
      </c>
      <c r="B838" s="19"/>
      <c r="C838" s="18">
        <v>79.36</v>
      </c>
      <c r="D838" s="19">
        <v>0</v>
      </c>
      <c r="E838" s="18">
        <v>5.9</v>
      </c>
      <c r="F838" s="18">
        <v>2.96</v>
      </c>
      <c r="G838" s="18">
        <v>0</v>
      </c>
      <c r="H838" s="18">
        <v>0</v>
      </c>
      <c r="I838" s="18">
        <v>8.85</v>
      </c>
      <c r="J838" s="18">
        <v>0</v>
      </c>
      <c r="K838" s="18">
        <v>0</v>
      </c>
      <c r="L838" s="18">
        <v>2.93</v>
      </c>
      <c r="M838" s="74" t="str">
        <f t="array" ref="M838">_xlfn.TEXTJOIN("-", TRUE, IF(C838:L838&gt;0, $C$2:$L$2, ""))</f>
        <v xml:space="preserve"> Ti-Zr-Mo-Nb-Sn</v>
      </c>
      <c r="N838" s="90">
        <f t="shared" si="26"/>
        <v>793</v>
      </c>
      <c r="O838" s="91">
        <f t="shared" si="27"/>
        <v>5</v>
      </c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8">
        <v>56</v>
      </c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10" t="s">
        <v>382</v>
      </c>
      <c r="AR838" s="32"/>
    </row>
    <row r="839" spans="1:44" ht="16.5">
      <c r="A839" s="29">
        <v>56</v>
      </c>
      <c r="B839" s="19"/>
      <c r="C839" s="18">
        <v>82.3</v>
      </c>
      <c r="D839" s="19">
        <v>0</v>
      </c>
      <c r="E839" s="18">
        <v>5.9</v>
      </c>
      <c r="F839" s="18">
        <v>2.95</v>
      </c>
      <c r="G839" s="18">
        <v>0</v>
      </c>
      <c r="H839" s="18">
        <v>0</v>
      </c>
      <c r="I839" s="18">
        <v>5.9</v>
      </c>
      <c r="J839" s="18">
        <v>0</v>
      </c>
      <c r="K839" s="18">
        <v>0</v>
      </c>
      <c r="L839" s="18">
        <v>2.95</v>
      </c>
      <c r="M839" s="74" t="str">
        <f t="array" ref="M839">_xlfn.TEXTJOIN("-", TRUE, IF(C839:L839&gt;0, $C$2:$L$2, ""))</f>
        <v xml:space="preserve"> Ti-Zr-Mo-Nb-Sn</v>
      </c>
      <c r="N839" s="90">
        <f t="shared" si="26"/>
        <v>793</v>
      </c>
      <c r="O839" s="91">
        <f t="shared" si="27"/>
        <v>5</v>
      </c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8">
        <v>54</v>
      </c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10" t="s">
        <v>382</v>
      </c>
      <c r="AR839" s="32"/>
    </row>
    <row r="840" spans="1:44" ht="16.5">
      <c r="A840" s="29">
        <v>57</v>
      </c>
      <c r="B840" s="19"/>
      <c r="C840" s="18">
        <v>85.25</v>
      </c>
      <c r="D840" s="19">
        <v>0</v>
      </c>
      <c r="E840" s="18">
        <v>2.97</v>
      </c>
      <c r="F840" s="18">
        <v>2.94</v>
      </c>
      <c r="G840" s="18">
        <v>0</v>
      </c>
      <c r="H840" s="18">
        <v>0</v>
      </c>
      <c r="I840" s="18">
        <v>5.9</v>
      </c>
      <c r="J840" s="18">
        <v>0</v>
      </c>
      <c r="K840" s="18">
        <v>0</v>
      </c>
      <c r="L840" s="18">
        <v>2.94</v>
      </c>
      <c r="M840" s="74" t="str">
        <f t="array" ref="M840">_xlfn.TEXTJOIN("-", TRUE, IF(C840:L840&gt;0, $C$2:$L$2, ""))</f>
        <v xml:space="preserve"> Ti-Zr-Mo-Nb-Sn</v>
      </c>
      <c r="N840" s="90">
        <f t="shared" si="26"/>
        <v>793</v>
      </c>
      <c r="O840" s="91">
        <f t="shared" si="27"/>
        <v>5</v>
      </c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8">
        <v>59</v>
      </c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10" t="s">
        <v>382</v>
      </c>
      <c r="AR840" s="32"/>
    </row>
    <row r="841" spans="1:44" ht="16.5">
      <c r="A841" s="29">
        <v>58</v>
      </c>
      <c r="B841" s="19"/>
      <c r="C841" s="18">
        <v>81.22</v>
      </c>
      <c r="D841" s="19">
        <v>0</v>
      </c>
      <c r="E841" s="18">
        <v>3.13</v>
      </c>
      <c r="F841" s="18">
        <v>3.16</v>
      </c>
      <c r="G841" s="18">
        <v>0</v>
      </c>
      <c r="H841" s="18">
        <v>0</v>
      </c>
      <c r="I841" s="18">
        <v>9.36</v>
      </c>
      <c r="J841" s="18">
        <v>0</v>
      </c>
      <c r="K841" s="18">
        <v>0</v>
      </c>
      <c r="L841" s="18">
        <v>3.13</v>
      </c>
      <c r="M841" s="74" t="str">
        <f t="array" ref="M841">_xlfn.TEXTJOIN("-", TRUE, IF(C841:L841&gt;0, $C$2:$L$2, ""))</f>
        <v xml:space="preserve"> Ti-Zr-Mo-Nb-Sn</v>
      </c>
      <c r="N841" s="90">
        <f t="shared" si="26"/>
        <v>793</v>
      </c>
      <c r="O841" s="91">
        <f t="shared" si="27"/>
        <v>5</v>
      </c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8">
        <v>55</v>
      </c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10" t="s">
        <v>382</v>
      </c>
      <c r="AR841" s="32"/>
    </row>
    <row r="842" spans="1:44" ht="16.5">
      <c r="A842" s="29">
        <v>173</v>
      </c>
      <c r="B842" s="19"/>
      <c r="C842" s="18">
        <v>72.22</v>
      </c>
      <c r="D842" s="19">
        <v>0</v>
      </c>
      <c r="E842" s="18">
        <v>5.56</v>
      </c>
      <c r="F842" s="18">
        <v>2.78</v>
      </c>
      <c r="G842" s="18">
        <v>0</v>
      </c>
      <c r="H842" s="18">
        <v>0</v>
      </c>
      <c r="I842" s="18">
        <v>16.670000000000002</v>
      </c>
      <c r="J842" s="18">
        <v>0</v>
      </c>
      <c r="K842" s="18">
        <v>0</v>
      </c>
      <c r="L842" s="18">
        <v>2.77</v>
      </c>
      <c r="M842" s="74" t="str">
        <f t="array" ref="M842">_xlfn.TEXTJOIN("-", TRUE, IF(C842:L842&gt;0, $C$2:$L$2, ""))</f>
        <v xml:space="preserve"> Ti-Zr-Mo-Nb-Sn</v>
      </c>
      <c r="N842" s="90">
        <f t="shared" si="26"/>
        <v>793</v>
      </c>
      <c r="O842" s="91">
        <f t="shared" si="27"/>
        <v>5</v>
      </c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8">
        <v>66</v>
      </c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10" t="s">
        <v>382</v>
      </c>
      <c r="AR842" s="32"/>
    </row>
    <row r="843" spans="1:44" ht="16.5">
      <c r="A843" s="29">
        <v>201</v>
      </c>
      <c r="B843" s="19"/>
      <c r="C843" s="18">
        <v>78.92</v>
      </c>
      <c r="D843" s="19">
        <v>0</v>
      </c>
      <c r="E843" s="18">
        <v>1.9</v>
      </c>
      <c r="F843" s="18">
        <v>3.31</v>
      </c>
      <c r="G843" s="18">
        <v>0</v>
      </c>
      <c r="H843" s="18">
        <v>0</v>
      </c>
      <c r="I843" s="18">
        <v>14.9</v>
      </c>
      <c r="J843" s="18">
        <v>0</v>
      </c>
      <c r="K843" s="18">
        <v>0</v>
      </c>
      <c r="L843" s="18">
        <v>0.97</v>
      </c>
      <c r="M843" s="74" t="str">
        <f t="array" ref="M843">_xlfn.TEXTJOIN("-", TRUE, IF(C843:L843&gt;0, $C$2:$L$2, ""))</f>
        <v xml:space="preserve"> Ti-Zr-Mo-Nb-Sn</v>
      </c>
      <c r="N843" s="90">
        <f t="shared" si="26"/>
        <v>793</v>
      </c>
      <c r="O843" s="91">
        <f t="shared" si="27"/>
        <v>5</v>
      </c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8">
        <v>63</v>
      </c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10" t="s">
        <v>382</v>
      </c>
      <c r="AR843" s="32"/>
    </row>
    <row r="844" spans="1:44" ht="16.5">
      <c r="A844" s="29">
        <v>202</v>
      </c>
      <c r="B844" s="19"/>
      <c r="C844" s="18">
        <v>80.72</v>
      </c>
      <c r="D844" s="19">
        <v>0</v>
      </c>
      <c r="E844" s="18">
        <v>1.87</v>
      </c>
      <c r="F844" s="18">
        <v>1.77</v>
      </c>
      <c r="G844" s="18">
        <v>0</v>
      </c>
      <c r="H844" s="18">
        <v>0</v>
      </c>
      <c r="I844" s="18">
        <v>14.68</v>
      </c>
      <c r="J844" s="18">
        <v>0</v>
      </c>
      <c r="K844" s="18">
        <v>0</v>
      </c>
      <c r="L844" s="18">
        <v>0.96</v>
      </c>
      <c r="M844" s="74" t="str">
        <f t="array" ref="M844">_xlfn.TEXTJOIN("-", TRUE, IF(C844:L844&gt;0, $C$2:$L$2, ""))</f>
        <v xml:space="preserve"> Ti-Zr-Mo-Nb-Sn</v>
      </c>
      <c r="N844" s="90">
        <f t="shared" si="26"/>
        <v>793</v>
      </c>
      <c r="O844" s="91">
        <f t="shared" si="27"/>
        <v>5</v>
      </c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8">
        <v>69</v>
      </c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10" t="s">
        <v>382</v>
      </c>
      <c r="AR844" s="32"/>
    </row>
    <row r="845" spans="1:44" ht="16.5">
      <c r="A845" s="29">
        <v>205</v>
      </c>
      <c r="B845" s="19"/>
      <c r="C845" s="18">
        <v>80.23</v>
      </c>
      <c r="D845" s="19">
        <v>0</v>
      </c>
      <c r="E845" s="18">
        <v>0.63</v>
      </c>
      <c r="F845" s="18">
        <v>1.79</v>
      </c>
      <c r="G845" s="18">
        <v>0</v>
      </c>
      <c r="H845" s="18">
        <v>0</v>
      </c>
      <c r="I845" s="18">
        <v>15.42</v>
      </c>
      <c r="J845" s="18">
        <v>0</v>
      </c>
      <c r="K845" s="18">
        <v>0</v>
      </c>
      <c r="L845" s="18">
        <v>1.93</v>
      </c>
      <c r="M845" s="74" t="str">
        <f t="array" ref="M845">_xlfn.TEXTJOIN("-", TRUE, IF(C845:L845&gt;0, $C$2:$L$2, ""))</f>
        <v xml:space="preserve"> Ti-Zr-Mo-Nb-Sn</v>
      </c>
      <c r="N845" s="90">
        <f t="shared" si="26"/>
        <v>793</v>
      </c>
      <c r="O845" s="91">
        <f t="shared" si="27"/>
        <v>5</v>
      </c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8">
        <v>58</v>
      </c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10" t="s">
        <v>382</v>
      </c>
      <c r="AR845" s="32"/>
    </row>
    <row r="846" spans="1:44" ht="16.5">
      <c r="A846" s="29">
        <v>208</v>
      </c>
      <c r="B846" s="19"/>
      <c r="C846" s="18">
        <v>79.989999999999995</v>
      </c>
      <c r="D846" s="19">
        <v>0</v>
      </c>
      <c r="E846" s="18">
        <v>1.88</v>
      </c>
      <c r="F846" s="18">
        <v>1.79</v>
      </c>
      <c r="G846" s="18">
        <v>0</v>
      </c>
      <c r="H846" s="18">
        <v>0</v>
      </c>
      <c r="I846" s="18">
        <v>15.38</v>
      </c>
      <c r="J846" s="18">
        <v>0</v>
      </c>
      <c r="K846" s="18">
        <v>0</v>
      </c>
      <c r="L846" s="18">
        <v>0.96</v>
      </c>
      <c r="M846" s="74" t="str">
        <f t="array" ref="M846">_xlfn.TEXTJOIN("-", TRUE, IF(C846:L846&gt;0, $C$2:$L$2, ""))</f>
        <v xml:space="preserve"> Ti-Zr-Mo-Nb-Sn</v>
      </c>
      <c r="N846" s="90">
        <f t="shared" si="26"/>
        <v>793</v>
      </c>
      <c r="O846" s="91">
        <f t="shared" si="27"/>
        <v>5</v>
      </c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8">
        <v>69</v>
      </c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10" t="s">
        <v>382</v>
      </c>
      <c r="AR846" s="32"/>
    </row>
    <row r="847" spans="1:44" ht="16.5">
      <c r="A847" s="29">
        <v>209</v>
      </c>
      <c r="B847" s="19"/>
      <c r="C847" s="18">
        <v>83.67</v>
      </c>
      <c r="D847" s="19">
        <v>0</v>
      </c>
      <c r="E847" s="18">
        <v>3.05</v>
      </c>
      <c r="F847" s="18">
        <v>2.9</v>
      </c>
      <c r="G847" s="18">
        <v>0</v>
      </c>
      <c r="H847" s="18">
        <v>0</v>
      </c>
      <c r="I847" s="18">
        <v>8.98</v>
      </c>
      <c r="J847" s="18">
        <v>0</v>
      </c>
      <c r="K847" s="18">
        <v>0</v>
      </c>
      <c r="L847" s="18">
        <v>1.4</v>
      </c>
      <c r="M847" s="74" t="str">
        <f t="array" ref="M847">_xlfn.TEXTJOIN("-", TRUE, IF(C847:L847&gt;0, $C$2:$L$2, ""))</f>
        <v xml:space="preserve"> Ti-Zr-Mo-Nb-Sn</v>
      </c>
      <c r="N847" s="90">
        <f t="shared" si="26"/>
        <v>793</v>
      </c>
      <c r="O847" s="91">
        <f t="shared" si="27"/>
        <v>5</v>
      </c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8">
        <v>65</v>
      </c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10" t="s">
        <v>382</v>
      </c>
      <c r="AR847" s="32"/>
    </row>
    <row r="848" spans="1:44" ht="16.5">
      <c r="A848" s="27">
        <v>17</v>
      </c>
      <c r="B848" s="20"/>
      <c r="C848" s="20">
        <v>80</v>
      </c>
      <c r="D848" s="20">
        <v>4</v>
      </c>
      <c r="E848" s="20">
        <v>0</v>
      </c>
      <c r="F848" s="20">
        <v>5</v>
      </c>
      <c r="G848" s="20">
        <v>5</v>
      </c>
      <c r="H848" s="20">
        <v>0</v>
      </c>
      <c r="I848" s="20">
        <v>0</v>
      </c>
      <c r="J848" s="20">
        <v>6</v>
      </c>
      <c r="K848" s="20">
        <v>0</v>
      </c>
      <c r="L848" s="20">
        <v>0</v>
      </c>
      <c r="M848" s="74" t="str">
        <f t="array" ref="M848">_xlfn.TEXTJOIN("-", TRUE, IF(C848:L848&gt;0, $C$2:$L$2, ""))</f>
        <v xml:space="preserve"> Ti-Al-Mo-V-Cr</v>
      </c>
      <c r="N848" s="90">
        <f t="shared" si="26"/>
        <v>848</v>
      </c>
      <c r="O848" s="91">
        <f t="shared" si="27"/>
        <v>5</v>
      </c>
      <c r="P848" s="20">
        <v>1</v>
      </c>
      <c r="Q848" s="20">
        <v>1</v>
      </c>
      <c r="R848" s="20">
        <v>800</v>
      </c>
      <c r="S848" s="20">
        <v>65.7</v>
      </c>
      <c r="T848" s="20">
        <v>730</v>
      </c>
      <c r="U848" s="20">
        <v>0.5</v>
      </c>
      <c r="V848" s="20">
        <v>2</v>
      </c>
      <c r="W848" s="20">
        <v>0</v>
      </c>
      <c r="X848" s="20">
        <v>0</v>
      </c>
      <c r="Y848" s="20">
        <v>2</v>
      </c>
      <c r="Z848" s="20"/>
      <c r="AA848" s="20"/>
      <c r="AB848" s="20">
        <v>973</v>
      </c>
      <c r="AC848" s="20"/>
      <c r="AD848" s="20">
        <v>22</v>
      </c>
      <c r="AE848" s="20"/>
      <c r="AF848" s="20"/>
      <c r="AG848" s="20"/>
      <c r="AH848" s="20"/>
      <c r="AI848" s="20"/>
      <c r="AJ848" s="20"/>
      <c r="AK848" s="20"/>
      <c r="AL848" s="20"/>
      <c r="AM848" s="20"/>
      <c r="AN848" s="20" t="s">
        <v>557</v>
      </c>
      <c r="AO848" s="20" t="s">
        <v>558</v>
      </c>
      <c r="AP848" s="20">
        <v>5</v>
      </c>
      <c r="AQ848" s="133" t="s">
        <v>374</v>
      </c>
      <c r="AR848" s="27">
        <v>17</v>
      </c>
    </row>
    <row r="849" spans="1:44" ht="16.5">
      <c r="A849" s="27">
        <v>18</v>
      </c>
      <c r="B849" s="20"/>
      <c r="C849" s="20">
        <v>80</v>
      </c>
      <c r="D849" s="20">
        <v>4</v>
      </c>
      <c r="E849" s="20">
        <v>0</v>
      </c>
      <c r="F849" s="20">
        <v>5</v>
      </c>
      <c r="G849" s="20">
        <v>5</v>
      </c>
      <c r="H849" s="20">
        <v>0</v>
      </c>
      <c r="I849" s="20">
        <v>0</v>
      </c>
      <c r="J849" s="20">
        <v>6</v>
      </c>
      <c r="K849" s="20">
        <v>0</v>
      </c>
      <c r="L849" s="20">
        <v>0</v>
      </c>
      <c r="M849" s="74" t="str">
        <f t="array" ref="M849">_xlfn.TEXTJOIN("-", TRUE, IF(C849:L849&gt;0, $C$2:$L$2, ""))</f>
        <v xml:space="preserve"> Ti-Al-Mo-V-Cr</v>
      </c>
      <c r="N849" s="90">
        <f t="shared" si="26"/>
        <v>848</v>
      </c>
      <c r="O849" s="91">
        <f t="shared" si="27"/>
        <v>5</v>
      </c>
      <c r="P849" s="20">
        <v>1</v>
      </c>
      <c r="Q849" s="20">
        <v>1</v>
      </c>
      <c r="R849" s="20">
        <v>800</v>
      </c>
      <c r="S849" s="20">
        <v>65.7</v>
      </c>
      <c r="T849" s="20">
        <v>760</v>
      </c>
      <c r="U849" s="20">
        <v>0.5</v>
      </c>
      <c r="V849" s="20">
        <v>2</v>
      </c>
      <c r="W849" s="20">
        <v>0</v>
      </c>
      <c r="X849" s="20">
        <v>0</v>
      </c>
      <c r="Y849" s="20">
        <v>2</v>
      </c>
      <c r="Z849" s="20"/>
      <c r="AA849" s="20"/>
      <c r="AB849" s="20">
        <v>953.57</v>
      </c>
      <c r="AC849" s="20"/>
      <c r="AD849" s="20">
        <v>23</v>
      </c>
      <c r="AE849" s="20"/>
      <c r="AF849" s="20"/>
      <c r="AG849" s="20"/>
      <c r="AH849" s="20"/>
      <c r="AI849" s="20"/>
      <c r="AJ849" s="20"/>
      <c r="AK849" s="20"/>
      <c r="AL849" s="20"/>
      <c r="AM849" s="20"/>
      <c r="AN849" s="20" t="s">
        <v>559</v>
      </c>
      <c r="AO849" s="20" t="s">
        <v>560</v>
      </c>
      <c r="AP849" s="20">
        <v>5</v>
      </c>
      <c r="AQ849" s="133" t="s">
        <v>374</v>
      </c>
      <c r="AR849" s="27">
        <v>18</v>
      </c>
    </row>
    <row r="850" spans="1:44" ht="16.5">
      <c r="A850" s="27">
        <v>19</v>
      </c>
      <c r="B850" s="20"/>
      <c r="C850" s="20">
        <v>80</v>
      </c>
      <c r="D850" s="20">
        <v>4</v>
      </c>
      <c r="E850" s="20">
        <v>0</v>
      </c>
      <c r="F850" s="20">
        <v>5</v>
      </c>
      <c r="G850" s="20">
        <v>5</v>
      </c>
      <c r="H850" s="20">
        <v>0</v>
      </c>
      <c r="I850" s="20">
        <v>0</v>
      </c>
      <c r="J850" s="20">
        <v>6</v>
      </c>
      <c r="K850" s="20">
        <v>0</v>
      </c>
      <c r="L850" s="20">
        <v>0</v>
      </c>
      <c r="M850" s="74" t="str">
        <f t="array" ref="M850">_xlfn.TEXTJOIN("-", TRUE, IF(C850:L850&gt;0, $C$2:$L$2, ""))</f>
        <v xml:space="preserve"> Ti-Al-Mo-V-Cr</v>
      </c>
      <c r="N850" s="90">
        <f t="shared" si="26"/>
        <v>848</v>
      </c>
      <c r="O850" s="91">
        <f t="shared" si="27"/>
        <v>5</v>
      </c>
      <c r="P850" s="20">
        <v>1</v>
      </c>
      <c r="Q850" s="20">
        <v>1</v>
      </c>
      <c r="R850" s="20">
        <v>800</v>
      </c>
      <c r="S850" s="20">
        <v>65.7</v>
      </c>
      <c r="T850" s="20">
        <v>800</v>
      </c>
      <c r="U850" s="20">
        <v>0.5</v>
      </c>
      <c r="V850" s="20">
        <v>2</v>
      </c>
      <c r="W850" s="20">
        <v>0</v>
      </c>
      <c r="X850" s="20">
        <v>0</v>
      </c>
      <c r="Y850" s="20">
        <v>2</v>
      </c>
      <c r="Z850" s="20"/>
      <c r="AA850" s="20"/>
      <c r="AB850" s="20">
        <v>875.28</v>
      </c>
      <c r="AC850" s="20"/>
      <c r="AD850" s="20">
        <v>21.92</v>
      </c>
      <c r="AE850" s="20"/>
      <c r="AF850" s="20"/>
      <c r="AG850" s="20"/>
      <c r="AH850" s="20"/>
      <c r="AI850" s="20"/>
      <c r="AJ850" s="20"/>
      <c r="AK850" s="20"/>
      <c r="AL850" s="20"/>
      <c r="AM850" s="20"/>
      <c r="AN850" s="20" t="s">
        <v>561</v>
      </c>
      <c r="AO850" s="20" t="s">
        <v>562</v>
      </c>
      <c r="AP850" s="20">
        <v>5</v>
      </c>
      <c r="AQ850" s="133" t="s">
        <v>374</v>
      </c>
      <c r="AR850" s="27">
        <v>19</v>
      </c>
    </row>
    <row r="851" spans="1:44" ht="16.5">
      <c r="A851" s="27">
        <v>20</v>
      </c>
      <c r="B851" s="20"/>
      <c r="C851" s="20">
        <v>80</v>
      </c>
      <c r="D851" s="20">
        <v>4</v>
      </c>
      <c r="E851" s="20">
        <v>0</v>
      </c>
      <c r="F851" s="20">
        <v>5</v>
      </c>
      <c r="G851" s="20">
        <v>5</v>
      </c>
      <c r="H851" s="20">
        <v>0</v>
      </c>
      <c r="I851" s="20">
        <v>0</v>
      </c>
      <c r="J851" s="20">
        <v>6</v>
      </c>
      <c r="K851" s="20">
        <v>0</v>
      </c>
      <c r="L851" s="20">
        <v>0</v>
      </c>
      <c r="M851" s="74" t="str">
        <f t="array" ref="M851">_xlfn.TEXTJOIN("-", TRUE, IF(C851:L851&gt;0, $C$2:$L$2, ""))</f>
        <v xml:space="preserve"> Ti-Al-Mo-V-Cr</v>
      </c>
      <c r="N851" s="90">
        <f t="shared" si="26"/>
        <v>848</v>
      </c>
      <c r="O851" s="91">
        <f t="shared" si="27"/>
        <v>5</v>
      </c>
      <c r="P851" s="20">
        <v>1</v>
      </c>
      <c r="Q851" s="20">
        <v>1</v>
      </c>
      <c r="R851" s="20">
        <v>800</v>
      </c>
      <c r="S851" s="20">
        <v>65.7</v>
      </c>
      <c r="T851" s="20">
        <v>830</v>
      </c>
      <c r="U851" s="20">
        <v>0.5</v>
      </c>
      <c r="V851" s="20">
        <v>2</v>
      </c>
      <c r="W851" s="20">
        <v>0</v>
      </c>
      <c r="X851" s="20">
        <v>0</v>
      </c>
      <c r="Y851" s="20">
        <v>2</v>
      </c>
      <c r="Z851" s="20"/>
      <c r="AA851" s="20"/>
      <c r="AB851" s="20">
        <v>867.62</v>
      </c>
      <c r="AC851" s="20"/>
      <c r="AD851" s="20">
        <v>22.9</v>
      </c>
      <c r="AE851" s="20"/>
      <c r="AF851" s="20"/>
      <c r="AG851" s="20"/>
      <c r="AH851" s="20"/>
      <c r="AI851" s="20"/>
      <c r="AJ851" s="20"/>
      <c r="AK851" s="20"/>
      <c r="AL851" s="20"/>
      <c r="AM851" s="20"/>
      <c r="AN851" s="20" t="s">
        <v>563</v>
      </c>
      <c r="AO851" s="20" t="s">
        <v>564</v>
      </c>
      <c r="AP851" s="20">
        <v>5</v>
      </c>
      <c r="AQ851" s="133" t="s">
        <v>374</v>
      </c>
      <c r="AR851" s="27">
        <v>20</v>
      </c>
    </row>
    <row r="852" spans="1:44" ht="16.5">
      <c r="A852" s="27">
        <v>21</v>
      </c>
      <c r="B852" s="20"/>
      <c r="C852" s="20">
        <v>80</v>
      </c>
      <c r="D852" s="20">
        <v>4</v>
      </c>
      <c r="E852" s="20">
        <v>0</v>
      </c>
      <c r="F852" s="20">
        <v>5</v>
      </c>
      <c r="G852" s="20">
        <v>5</v>
      </c>
      <c r="H852" s="20">
        <v>0</v>
      </c>
      <c r="I852" s="20">
        <v>0</v>
      </c>
      <c r="J852" s="20">
        <v>6</v>
      </c>
      <c r="K852" s="20">
        <v>0</v>
      </c>
      <c r="L852" s="20">
        <v>0</v>
      </c>
      <c r="M852" s="74" t="str">
        <f t="array" ref="M852">_xlfn.TEXTJOIN("-", TRUE, IF(C852:L852&gt;0, $C$2:$L$2, ""))</f>
        <v xml:space="preserve"> Ti-Al-Mo-V-Cr</v>
      </c>
      <c r="N852" s="90">
        <f t="shared" si="26"/>
        <v>848</v>
      </c>
      <c r="O852" s="91">
        <f t="shared" si="27"/>
        <v>5</v>
      </c>
      <c r="P852" s="20">
        <v>1</v>
      </c>
      <c r="Q852" s="20">
        <v>1</v>
      </c>
      <c r="R852" s="20">
        <v>800</v>
      </c>
      <c r="S852" s="20">
        <v>65.7</v>
      </c>
      <c r="T852" s="20">
        <v>730</v>
      </c>
      <c r="U852" s="20">
        <v>0.5</v>
      </c>
      <c r="V852" s="20">
        <v>2</v>
      </c>
      <c r="W852" s="20">
        <v>460</v>
      </c>
      <c r="X852" s="20">
        <v>6</v>
      </c>
      <c r="Y852" s="20">
        <v>2</v>
      </c>
      <c r="Z852" s="20"/>
      <c r="AA852" s="20"/>
      <c r="AB852" s="20">
        <v>1485.34</v>
      </c>
      <c r="AC852" s="20"/>
      <c r="AD852" s="20">
        <v>10.119999999999999</v>
      </c>
      <c r="AE852" s="20"/>
      <c r="AF852" s="20"/>
      <c r="AG852" s="20"/>
      <c r="AH852" s="20"/>
      <c r="AI852" s="20"/>
      <c r="AJ852" s="20"/>
      <c r="AK852" s="20"/>
      <c r="AL852" s="20"/>
      <c r="AM852" s="20"/>
      <c r="AN852" s="20" t="s">
        <v>565</v>
      </c>
      <c r="AO852" s="20" t="s">
        <v>566</v>
      </c>
      <c r="AP852" s="20">
        <v>5</v>
      </c>
      <c r="AQ852" s="133" t="s">
        <v>374</v>
      </c>
      <c r="AR852" s="27">
        <v>21</v>
      </c>
    </row>
    <row r="853" spans="1:44" ht="16.5">
      <c r="A853" s="27">
        <v>22</v>
      </c>
      <c r="B853" s="20"/>
      <c r="C853" s="20">
        <v>80</v>
      </c>
      <c r="D853" s="20">
        <v>4</v>
      </c>
      <c r="E853" s="20">
        <v>0</v>
      </c>
      <c r="F853" s="20">
        <v>5</v>
      </c>
      <c r="G853" s="20">
        <v>5</v>
      </c>
      <c r="H853" s="20">
        <v>0</v>
      </c>
      <c r="I853" s="20">
        <v>0</v>
      </c>
      <c r="J853" s="20">
        <v>6</v>
      </c>
      <c r="K853" s="20">
        <v>0</v>
      </c>
      <c r="L853" s="20">
        <v>0</v>
      </c>
      <c r="M853" s="74" t="str">
        <f t="array" ref="M853">_xlfn.TEXTJOIN("-", TRUE, IF(C853:L853&gt;0, $C$2:$L$2, ""))</f>
        <v xml:space="preserve"> Ti-Al-Mo-V-Cr</v>
      </c>
      <c r="N853" s="90">
        <f t="shared" si="26"/>
        <v>848</v>
      </c>
      <c r="O853" s="91">
        <f t="shared" si="27"/>
        <v>5</v>
      </c>
      <c r="P853" s="20">
        <v>1</v>
      </c>
      <c r="Q853" s="20">
        <v>1</v>
      </c>
      <c r="R853" s="20">
        <v>800</v>
      </c>
      <c r="S853" s="20">
        <v>65.7</v>
      </c>
      <c r="T853" s="20">
        <v>760</v>
      </c>
      <c r="U853" s="20">
        <v>0.5</v>
      </c>
      <c r="V853" s="20">
        <v>2</v>
      </c>
      <c r="W853" s="20">
        <v>460</v>
      </c>
      <c r="X853" s="20">
        <v>6</v>
      </c>
      <c r="Y853" s="20">
        <v>2</v>
      </c>
      <c r="Z853" s="20"/>
      <c r="AA853" s="20"/>
      <c r="AB853" s="20">
        <v>1572.56</v>
      </c>
      <c r="AC853" s="20"/>
      <c r="AD853" s="20">
        <v>6.18</v>
      </c>
      <c r="AE853" s="20"/>
      <c r="AF853" s="20"/>
      <c r="AG853" s="20"/>
      <c r="AH853" s="20"/>
      <c r="AI853" s="20"/>
      <c r="AJ853" s="20"/>
      <c r="AK853" s="20"/>
      <c r="AL853" s="20"/>
      <c r="AM853" s="20"/>
      <c r="AN853" s="20" t="s">
        <v>567</v>
      </c>
      <c r="AO853" s="20" t="s">
        <v>568</v>
      </c>
      <c r="AP853" s="20">
        <v>5</v>
      </c>
      <c r="AQ853" s="133" t="s">
        <v>374</v>
      </c>
      <c r="AR853" s="27">
        <v>22</v>
      </c>
    </row>
    <row r="854" spans="1:44" ht="16.5">
      <c r="A854" s="27">
        <v>23</v>
      </c>
      <c r="B854" s="20"/>
      <c r="C854" s="20">
        <v>80</v>
      </c>
      <c r="D854" s="20">
        <v>4</v>
      </c>
      <c r="E854" s="20">
        <v>0</v>
      </c>
      <c r="F854" s="20">
        <v>5</v>
      </c>
      <c r="G854" s="20">
        <v>5</v>
      </c>
      <c r="H854" s="20">
        <v>0</v>
      </c>
      <c r="I854" s="20">
        <v>0</v>
      </c>
      <c r="J854" s="20">
        <v>6</v>
      </c>
      <c r="K854" s="20">
        <v>0</v>
      </c>
      <c r="L854" s="20">
        <v>0</v>
      </c>
      <c r="M854" s="74" t="str">
        <f t="array" ref="M854">_xlfn.TEXTJOIN("-", TRUE, IF(C854:L854&gt;0, $C$2:$L$2, ""))</f>
        <v xml:space="preserve"> Ti-Al-Mo-V-Cr</v>
      </c>
      <c r="N854" s="90">
        <f t="shared" si="26"/>
        <v>848</v>
      </c>
      <c r="O854" s="91">
        <f t="shared" si="27"/>
        <v>5</v>
      </c>
      <c r="P854" s="20">
        <v>1</v>
      </c>
      <c r="Q854" s="20">
        <v>1</v>
      </c>
      <c r="R854" s="20">
        <v>800</v>
      </c>
      <c r="S854" s="20">
        <v>65.7</v>
      </c>
      <c r="T854" s="20">
        <v>800</v>
      </c>
      <c r="U854" s="20">
        <v>0.5</v>
      </c>
      <c r="V854" s="20">
        <v>2</v>
      </c>
      <c r="W854" s="20">
        <v>460</v>
      </c>
      <c r="X854" s="20">
        <v>6</v>
      </c>
      <c r="Y854" s="20">
        <v>2</v>
      </c>
      <c r="Z854" s="20"/>
      <c r="AA854" s="20"/>
      <c r="AB854" s="20">
        <v>1208.8</v>
      </c>
      <c r="AC854" s="20"/>
      <c r="AD854" s="20">
        <v>10.73</v>
      </c>
      <c r="AE854" s="20"/>
      <c r="AF854" s="20"/>
      <c r="AG854" s="20"/>
      <c r="AH854" s="20"/>
      <c r="AI854" s="20"/>
      <c r="AJ854" s="20"/>
      <c r="AK854" s="20"/>
      <c r="AL854" s="20"/>
      <c r="AM854" s="20"/>
      <c r="AN854" s="20" t="s">
        <v>569</v>
      </c>
      <c r="AO854" s="20" t="s">
        <v>570</v>
      </c>
      <c r="AP854" s="20">
        <v>5</v>
      </c>
      <c r="AQ854" s="133" t="s">
        <v>374</v>
      </c>
      <c r="AR854" s="27">
        <v>23</v>
      </c>
    </row>
    <row r="855" spans="1:44" ht="16.5">
      <c r="A855" s="27">
        <v>24</v>
      </c>
      <c r="B855" s="20"/>
      <c r="C855" s="20">
        <v>80</v>
      </c>
      <c r="D855" s="20">
        <v>4</v>
      </c>
      <c r="E855" s="20">
        <v>0</v>
      </c>
      <c r="F855" s="20">
        <v>5</v>
      </c>
      <c r="G855" s="20">
        <v>5</v>
      </c>
      <c r="H855" s="20">
        <v>0</v>
      </c>
      <c r="I855" s="20">
        <v>0</v>
      </c>
      <c r="J855" s="20">
        <v>6</v>
      </c>
      <c r="K855" s="20">
        <v>0</v>
      </c>
      <c r="L855" s="20">
        <v>0</v>
      </c>
      <c r="M855" s="74" t="str">
        <f t="array" ref="M855">_xlfn.TEXTJOIN("-", TRUE, IF(C855:L855&gt;0, $C$2:$L$2, ""))</f>
        <v xml:space="preserve"> Ti-Al-Mo-V-Cr</v>
      </c>
      <c r="N855" s="90">
        <f t="shared" si="26"/>
        <v>848</v>
      </c>
      <c r="O855" s="91">
        <f t="shared" si="27"/>
        <v>5</v>
      </c>
      <c r="P855" s="20">
        <v>1</v>
      </c>
      <c r="Q855" s="20">
        <v>1</v>
      </c>
      <c r="R855" s="20">
        <v>800</v>
      </c>
      <c r="S855" s="20">
        <v>65.7</v>
      </c>
      <c r="T855" s="20">
        <v>830</v>
      </c>
      <c r="U855" s="20">
        <v>0.5</v>
      </c>
      <c r="V855" s="20">
        <v>2</v>
      </c>
      <c r="W855" s="20">
        <v>460</v>
      </c>
      <c r="X855" s="20">
        <v>6</v>
      </c>
      <c r="Y855" s="20">
        <v>2</v>
      </c>
      <c r="Z855" s="20"/>
      <c r="AA855" s="20"/>
      <c r="AB855" s="20">
        <v>1288.17</v>
      </c>
      <c r="AC855" s="20"/>
      <c r="AD855" s="20">
        <v>7.72</v>
      </c>
      <c r="AE855" s="20"/>
      <c r="AF855" s="20"/>
      <c r="AG855" s="20"/>
      <c r="AH855" s="20"/>
      <c r="AI855" s="20"/>
      <c r="AJ855" s="20"/>
      <c r="AK855" s="20"/>
      <c r="AL855" s="20"/>
      <c r="AM855" s="20"/>
      <c r="AN855" s="20" t="s">
        <v>571</v>
      </c>
      <c r="AO855" s="20" t="s">
        <v>572</v>
      </c>
      <c r="AP855" s="20">
        <v>5</v>
      </c>
      <c r="AQ855" s="133" t="s">
        <v>374</v>
      </c>
      <c r="AR855" s="27">
        <v>24</v>
      </c>
    </row>
    <row r="856" spans="1:44" ht="16.5">
      <c r="A856" s="27">
        <v>25</v>
      </c>
      <c r="B856" s="20"/>
      <c r="C856" s="20">
        <v>80</v>
      </c>
      <c r="D856" s="20">
        <v>4</v>
      </c>
      <c r="E856" s="20">
        <v>0</v>
      </c>
      <c r="F856" s="20">
        <v>5</v>
      </c>
      <c r="G856" s="20">
        <v>5</v>
      </c>
      <c r="H856" s="20">
        <v>0</v>
      </c>
      <c r="I856" s="20">
        <v>0</v>
      </c>
      <c r="J856" s="20">
        <v>6</v>
      </c>
      <c r="K856" s="20">
        <v>0</v>
      </c>
      <c r="L856" s="20">
        <v>0</v>
      </c>
      <c r="M856" s="74" t="str">
        <f t="array" ref="M856">_xlfn.TEXTJOIN("-", TRUE, IF(C856:L856&gt;0, $C$2:$L$2, ""))</f>
        <v xml:space="preserve"> Ti-Al-Mo-V-Cr</v>
      </c>
      <c r="N856" s="90">
        <f t="shared" si="26"/>
        <v>848</v>
      </c>
      <c r="O856" s="91">
        <f t="shared" si="27"/>
        <v>5</v>
      </c>
      <c r="P856" s="20">
        <v>1</v>
      </c>
      <c r="Q856" s="20">
        <v>1</v>
      </c>
      <c r="R856" s="20">
        <v>800</v>
      </c>
      <c r="S856" s="20">
        <v>65.7</v>
      </c>
      <c r="T856" s="20">
        <v>730</v>
      </c>
      <c r="U856" s="20">
        <v>0.5</v>
      </c>
      <c r="V856" s="20">
        <v>2</v>
      </c>
      <c r="W856" s="20">
        <v>480</v>
      </c>
      <c r="X856" s="20">
        <v>6</v>
      </c>
      <c r="Y856" s="20">
        <v>2</v>
      </c>
      <c r="Z856" s="20"/>
      <c r="AA856" s="20"/>
      <c r="AB856" s="20">
        <v>1475.41</v>
      </c>
      <c r="AC856" s="20"/>
      <c r="AD856" s="20">
        <v>10.18</v>
      </c>
      <c r="AE856" s="20"/>
      <c r="AF856" s="20"/>
      <c r="AG856" s="20"/>
      <c r="AH856" s="20"/>
      <c r="AI856" s="20"/>
      <c r="AJ856" s="20"/>
      <c r="AK856" s="20"/>
      <c r="AL856" s="20"/>
      <c r="AM856" s="20"/>
      <c r="AN856" s="20" t="s">
        <v>573</v>
      </c>
      <c r="AO856" s="20" t="s">
        <v>574</v>
      </c>
      <c r="AP856" s="20">
        <v>5</v>
      </c>
      <c r="AQ856" s="133" t="s">
        <v>374</v>
      </c>
      <c r="AR856" s="27">
        <v>25</v>
      </c>
    </row>
    <row r="857" spans="1:44" ht="16.5">
      <c r="A857" s="27">
        <v>26</v>
      </c>
      <c r="B857" s="20"/>
      <c r="C857" s="20">
        <v>80</v>
      </c>
      <c r="D857" s="20">
        <v>4</v>
      </c>
      <c r="E857" s="20">
        <v>0</v>
      </c>
      <c r="F857" s="20">
        <v>5</v>
      </c>
      <c r="G857" s="20">
        <v>5</v>
      </c>
      <c r="H857" s="20">
        <v>0</v>
      </c>
      <c r="I857" s="20">
        <v>0</v>
      </c>
      <c r="J857" s="20">
        <v>6</v>
      </c>
      <c r="K857" s="20">
        <v>0</v>
      </c>
      <c r="L857" s="20">
        <v>0</v>
      </c>
      <c r="M857" s="74" t="str">
        <f t="array" ref="M857">_xlfn.TEXTJOIN("-", TRUE, IF(C857:L857&gt;0, $C$2:$L$2, ""))</f>
        <v xml:space="preserve"> Ti-Al-Mo-V-Cr</v>
      </c>
      <c r="N857" s="90">
        <f t="shared" si="26"/>
        <v>848</v>
      </c>
      <c r="O857" s="91">
        <f t="shared" si="27"/>
        <v>5</v>
      </c>
      <c r="P857" s="20">
        <v>1</v>
      </c>
      <c r="Q857" s="20">
        <v>1</v>
      </c>
      <c r="R857" s="20">
        <v>800</v>
      </c>
      <c r="S857" s="20">
        <v>65.7</v>
      </c>
      <c r="T857" s="20">
        <v>760</v>
      </c>
      <c r="U857" s="20">
        <v>0.5</v>
      </c>
      <c r="V857" s="20">
        <v>2</v>
      </c>
      <c r="W857" s="20">
        <v>480</v>
      </c>
      <c r="X857" s="20">
        <v>6</v>
      </c>
      <c r="Y857" s="20">
        <v>2</v>
      </c>
      <c r="Z857" s="20"/>
      <c r="AA857" s="20"/>
      <c r="AB857" s="20">
        <v>1474.28</v>
      </c>
      <c r="AC857" s="20"/>
      <c r="AD857" s="20">
        <v>8.9499999999999993</v>
      </c>
      <c r="AE857" s="20"/>
      <c r="AF857" s="20"/>
      <c r="AG857" s="20"/>
      <c r="AH857" s="20"/>
      <c r="AI857" s="20"/>
      <c r="AJ857" s="20"/>
      <c r="AK857" s="20"/>
      <c r="AL857" s="20"/>
      <c r="AM857" s="20"/>
      <c r="AN857" s="20" t="s">
        <v>575</v>
      </c>
      <c r="AO857" s="20" t="s">
        <v>576</v>
      </c>
      <c r="AP857" s="20">
        <v>5</v>
      </c>
      <c r="AQ857" s="133" t="s">
        <v>374</v>
      </c>
      <c r="AR857" s="27">
        <v>26</v>
      </c>
    </row>
    <row r="858" spans="1:44" ht="16.5">
      <c r="A858" s="27">
        <v>27</v>
      </c>
      <c r="B858" s="20"/>
      <c r="C858" s="20">
        <v>80</v>
      </c>
      <c r="D858" s="20">
        <v>4</v>
      </c>
      <c r="E858" s="20">
        <v>0</v>
      </c>
      <c r="F858" s="20">
        <v>5</v>
      </c>
      <c r="G858" s="20">
        <v>5</v>
      </c>
      <c r="H858" s="20">
        <v>0</v>
      </c>
      <c r="I858" s="20">
        <v>0</v>
      </c>
      <c r="J858" s="20">
        <v>6</v>
      </c>
      <c r="K858" s="20">
        <v>0</v>
      </c>
      <c r="L858" s="20">
        <v>0</v>
      </c>
      <c r="M858" s="74" t="str">
        <f t="array" ref="M858">_xlfn.TEXTJOIN("-", TRUE, IF(C858:L858&gt;0, $C$2:$L$2, ""))</f>
        <v xml:space="preserve"> Ti-Al-Mo-V-Cr</v>
      </c>
      <c r="N858" s="90">
        <f t="shared" si="26"/>
        <v>848</v>
      </c>
      <c r="O858" s="91">
        <f t="shared" si="27"/>
        <v>5</v>
      </c>
      <c r="P858" s="20">
        <v>1</v>
      </c>
      <c r="Q858" s="20">
        <v>1</v>
      </c>
      <c r="R858" s="20">
        <v>800</v>
      </c>
      <c r="S858" s="20">
        <v>65.7</v>
      </c>
      <c r="T858" s="20">
        <v>800</v>
      </c>
      <c r="U858" s="20">
        <v>0.5</v>
      </c>
      <c r="V858" s="20">
        <v>2</v>
      </c>
      <c r="W858" s="20">
        <v>480</v>
      </c>
      <c r="X858" s="20">
        <v>6</v>
      </c>
      <c r="Y858" s="20">
        <v>2</v>
      </c>
      <c r="Z858" s="20"/>
      <c r="AA858" s="20"/>
      <c r="AB858" s="20">
        <v>1263.42</v>
      </c>
      <c r="AC858" s="20"/>
      <c r="AD858" s="20">
        <v>9.44</v>
      </c>
      <c r="AE858" s="20"/>
      <c r="AF858" s="20"/>
      <c r="AG858" s="20"/>
      <c r="AH858" s="20"/>
      <c r="AI858" s="20"/>
      <c r="AJ858" s="20"/>
      <c r="AK858" s="20"/>
      <c r="AL858" s="20"/>
      <c r="AM858" s="20"/>
      <c r="AN858" s="20" t="s">
        <v>577</v>
      </c>
      <c r="AO858" s="20" t="s">
        <v>578</v>
      </c>
      <c r="AP858" s="20">
        <v>5</v>
      </c>
      <c r="AQ858" s="133" t="s">
        <v>374</v>
      </c>
      <c r="AR858" s="27">
        <v>27</v>
      </c>
    </row>
    <row r="859" spans="1:44" ht="16.5">
      <c r="A859" s="27">
        <v>28</v>
      </c>
      <c r="B859" s="20"/>
      <c r="C859" s="20">
        <v>80</v>
      </c>
      <c r="D859" s="20">
        <v>4</v>
      </c>
      <c r="E859" s="20">
        <v>0</v>
      </c>
      <c r="F859" s="20">
        <v>5</v>
      </c>
      <c r="G859" s="20">
        <v>5</v>
      </c>
      <c r="H859" s="20">
        <v>0</v>
      </c>
      <c r="I859" s="20">
        <v>0</v>
      </c>
      <c r="J859" s="20">
        <v>6</v>
      </c>
      <c r="K859" s="20">
        <v>0</v>
      </c>
      <c r="L859" s="20">
        <v>0</v>
      </c>
      <c r="M859" s="74" t="str">
        <f t="array" ref="M859">_xlfn.TEXTJOIN("-", TRUE, IF(C859:L859&gt;0, $C$2:$L$2, ""))</f>
        <v xml:space="preserve"> Ti-Al-Mo-V-Cr</v>
      </c>
      <c r="N859" s="90">
        <f t="shared" si="26"/>
        <v>848</v>
      </c>
      <c r="O859" s="91">
        <f t="shared" si="27"/>
        <v>5</v>
      </c>
      <c r="P859" s="20">
        <v>1</v>
      </c>
      <c r="Q859" s="20">
        <v>1</v>
      </c>
      <c r="R859" s="20">
        <v>800</v>
      </c>
      <c r="S859" s="20">
        <v>65.7</v>
      </c>
      <c r="T859" s="20">
        <v>830</v>
      </c>
      <c r="U859" s="20">
        <v>0.5</v>
      </c>
      <c r="V859" s="20">
        <v>2</v>
      </c>
      <c r="W859" s="20">
        <v>480</v>
      </c>
      <c r="X859" s="20">
        <v>6</v>
      </c>
      <c r="Y859" s="20">
        <v>2</v>
      </c>
      <c r="Z859" s="20"/>
      <c r="AA859" s="20"/>
      <c r="AB859" s="20">
        <v>1216.6300000000001</v>
      </c>
      <c r="AC859" s="20"/>
      <c r="AD859" s="20">
        <v>9.9</v>
      </c>
      <c r="AE859" s="20"/>
      <c r="AF859" s="20"/>
      <c r="AG859" s="20"/>
      <c r="AH859" s="20"/>
      <c r="AI859" s="20"/>
      <c r="AJ859" s="20"/>
      <c r="AK859" s="20"/>
      <c r="AL859" s="20"/>
      <c r="AM859" s="20"/>
      <c r="AN859" s="20" t="s">
        <v>579</v>
      </c>
      <c r="AO859" s="20" t="s">
        <v>580</v>
      </c>
      <c r="AP859" s="20">
        <v>5</v>
      </c>
      <c r="AQ859" s="133" t="s">
        <v>374</v>
      </c>
      <c r="AR859" s="27">
        <v>28</v>
      </c>
    </row>
    <row r="860" spans="1:44" ht="16.5">
      <c r="A860" s="27">
        <v>29</v>
      </c>
      <c r="B860" s="20"/>
      <c r="C860" s="20">
        <v>80</v>
      </c>
      <c r="D860" s="20">
        <v>4</v>
      </c>
      <c r="E860" s="20">
        <v>0</v>
      </c>
      <c r="F860" s="20">
        <v>5</v>
      </c>
      <c r="G860" s="20">
        <v>5</v>
      </c>
      <c r="H860" s="20">
        <v>0</v>
      </c>
      <c r="I860" s="20">
        <v>0</v>
      </c>
      <c r="J860" s="20">
        <v>6</v>
      </c>
      <c r="K860" s="20">
        <v>0</v>
      </c>
      <c r="L860" s="20">
        <v>0</v>
      </c>
      <c r="M860" s="74" t="str">
        <f t="array" ref="M860">_xlfn.TEXTJOIN("-", TRUE, IF(C860:L860&gt;0, $C$2:$L$2, ""))</f>
        <v xml:space="preserve"> Ti-Al-Mo-V-Cr</v>
      </c>
      <c r="N860" s="90">
        <f t="shared" si="26"/>
        <v>848</v>
      </c>
      <c r="O860" s="91">
        <f t="shared" si="27"/>
        <v>5</v>
      </c>
      <c r="P860" s="20">
        <v>1</v>
      </c>
      <c r="Q860" s="20">
        <v>1</v>
      </c>
      <c r="R860" s="20">
        <v>800</v>
      </c>
      <c r="S860" s="20">
        <v>65.7</v>
      </c>
      <c r="T860" s="20">
        <v>730</v>
      </c>
      <c r="U860" s="20">
        <v>0.5</v>
      </c>
      <c r="V860" s="20">
        <v>2</v>
      </c>
      <c r="W860" s="20">
        <v>500</v>
      </c>
      <c r="X860" s="20">
        <v>6</v>
      </c>
      <c r="Y860" s="20">
        <v>2</v>
      </c>
      <c r="Z860" s="20"/>
      <c r="AA860" s="20"/>
      <c r="AB860" s="20">
        <v>1383.33</v>
      </c>
      <c r="AC860" s="20"/>
      <c r="AD860" s="20">
        <v>13.87</v>
      </c>
      <c r="AE860" s="20"/>
      <c r="AF860" s="20"/>
      <c r="AG860" s="20"/>
      <c r="AH860" s="20"/>
      <c r="AI860" s="20"/>
      <c r="AJ860" s="20"/>
      <c r="AK860" s="20"/>
      <c r="AL860" s="20"/>
      <c r="AM860" s="20"/>
      <c r="AN860" s="20" t="s">
        <v>581</v>
      </c>
      <c r="AO860" s="20" t="s">
        <v>582</v>
      </c>
      <c r="AP860" s="20">
        <v>5</v>
      </c>
      <c r="AQ860" s="133" t="s">
        <v>374</v>
      </c>
      <c r="AR860" s="27">
        <v>29</v>
      </c>
    </row>
    <row r="861" spans="1:44" ht="16.5">
      <c r="A861" s="27">
        <v>30</v>
      </c>
      <c r="B861" s="20"/>
      <c r="C861" s="20">
        <v>80</v>
      </c>
      <c r="D861" s="20">
        <v>4</v>
      </c>
      <c r="E861" s="20">
        <v>0</v>
      </c>
      <c r="F861" s="20">
        <v>5</v>
      </c>
      <c r="G861" s="20">
        <v>5</v>
      </c>
      <c r="H861" s="20">
        <v>0</v>
      </c>
      <c r="I861" s="20">
        <v>0</v>
      </c>
      <c r="J861" s="20">
        <v>6</v>
      </c>
      <c r="K861" s="20">
        <v>0</v>
      </c>
      <c r="L861" s="20">
        <v>0</v>
      </c>
      <c r="M861" s="74" t="str">
        <f t="array" ref="M861">_xlfn.TEXTJOIN("-", TRUE, IF(C861:L861&gt;0, $C$2:$L$2, ""))</f>
        <v xml:space="preserve"> Ti-Al-Mo-V-Cr</v>
      </c>
      <c r="N861" s="90">
        <f t="shared" si="26"/>
        <v>848</v>
      </c>
      <c r="O861" s="91">
        <f t="shared" si="27"/>
        <v>5</v>
      </c>
      <c r="P861" s="20">
        <v>1</v>
      </c>
      <c r="Q861" s="20">
        <v>1</v>
      </c>
      <c r="R861" s="20">
        <v>800</v>
      </c>
      <c r="S861" s="20">
        <v>65.7</v>
      </c>
      <c r="T861" s="20">
        <v>760</v>
      </c>
      <c r="U861" s="20">
        <v>0.5</v>
      </c>
      <c r="V861" s="20">
        <v>2</v>
      </c>
      <c r="W861" s="20">
        <v>500</v>
      </c>
      <c r="X861" s="20">
        <v>6</v>
      </c>
      <c r="Y861" s="20">
        <v>2</v>
      </c>
      <c r="Z861" s="20"/>
      <c r="AA861" s="20"/>
      <c r="AB861" s="20">
        <v>1470.05</v>
      </c>
      <c r="AC861" s="20"/>
      <c r="AD861" s="20">
        <v>10.4</v>
      </c>
      <c r="AE861" s="20"/>
      <c r="AF861" s="20"/>
      <c r="AG861" s="20"/>
      <c r="AH861" s="20"/>
      <c r="AI861" s="20"/>
      <c r="AJ861" s="20"/>
      <c r="AK861" s="20"/>
      <c r="AL861" s="20"/>
      <c r="AM861" s="20"/>
      <c r="AN861" s="20" t="s">
        <v>583</v>
      </c>
      <c r="AO861" s="20" t="s">
        <v>584</v>
      </c>
      <c r="AP861" s="20">
        <v>5</v>
      </c>
      <c r="AQ861" s="133" t="s">
        <v>374</v>
      </c>
      <c r="AR861" s="27">
        <v>30</v>
      </c>
    </row>
    <row r="862" spans="1:44" ht="16.5">
      <c r="A862" s="27">
        <v>31</v>
      </c>
      <c r="B862" s="20"/>
      <c r="C862" s="20">
        <v>80</v>
      </c>
      <c r="D862" s="20">
        <v>4</v>
      </c>
      <c r="E862" s="20">
        <v>0</v>
      </c>
      <c r="F862" s="20">
        <v>5</v>
      </c>
      <c r="G862" s="20">
        <v>5</v>
      </c>
      <c r="H862" s="20">
        <v>0</v>
      </c>
      <c r="I862" s="20">
        <v>0</v>
      </c>
      <c r="J862" s="20">
        <v>6</v>
      </c>
      <c r="K862" s="20">
        <v>0</v>
      </c>
      <c r="L862" s="20">
        <v>0</v>
      </c>
      <c r="M862" s="74" t="str">
        <f t="array" ref="M862">_xlfn.TEXTJOIN("-", TRUE, IF(C862:L862&gt;0, $C$2:$L$2, ""))</f>
        <v xml:space="preserve"> Ti-Al-Mo-V-Cr</v>
      </c>
      <c r="N862" s="90">
        <f t="shared" si="26"/>
        <v>848</v>
      </c>
      <c r="O862" s="91">
        <f t="shared" si="27"/>
        <v>5</v>
      </c>
      <c r="P862" s="20">
        <v>1</v>
      </c>
      <c r="Q862" s="20">
        <v>1</v>
      </c>
      <c r="R862" s="20">
        <v>800</v>
      </c>
      <c r="S862" s="20">
        <v>65.7</v>
      </c>
      <c r="T862" s="20">
        <v>800</v>
      </c>
      <c r="U862" s="20">
        <v>0.5</v>
      </c>
      <c r="V862" s="20">
        <v>2</v>
      </c>
      <c r="W862" s="20">
        <v>500</v>
      </c>
      <c r="X862" s="20">
        <v>6</v>
      </c>
      <c r="Y862" s="20">
        <v>2</v>
      </c>
      <c r="Z862" s="20"/>
      <c r="AA862" s="20"/>
      <c r="AB862" s="20">
        <v>1400.15</v>
      </c>
      <c r="AC862" s="20"/>
      <c r="AD862" s="20">
        <v>7.52</v>
      </c>
      <c r="AE862" s="20"/>
      <c r="AF862" s="20"/>
      <c r="AG862" s="20"/>
      <c r="AH862" s="20"/>
      <c r="AI862" s="20"/>
      <c r="AJ862" s="20"/>
      <c r="AK862" s="20"/>
      <c r="AL862" s="20"/>
      <c r="AM862" s="20"/>
      <c r="AN862" s="20" t="s">
        <v>585</v>
      </c>
      <c r="AO862" s="20" t="s">
        <v>586</v>
      </c>
      <c r="AP862" s="20">
        <v>5</v>
      </c>
      <c r="AQ862" s="133" t="s">
        <v>374</v>
      </c>
      <c r="AR862" s="27">
        <v>31</v>
      </c>
    </row>
    <row r="863" spans="1:44" ht="16.5">
      <c r="A863" s="27">
        <v>32</v>
      </c>
      <c r="B863" s="20"/>
      <c r="C863" s="20">
        <v>80</v>
      </c>
      <c r="D863" s="20">
        <v>4</v>
      </c>
      <c r="E863" s="20">
        <v>0</v>
      </c>
      <c r="F863" s="20">
        <v>5</v>
      </c>
      <c r="G863" s="20">
        <v>5</v>
      </c>
      <c r="H863" s="20">
        <v>0</v>
      </c>
      <c r="I863" s="20">
        <v>0</v>
      </c>
      <c r="J863" s="20">
        <v>6</v>
      </c>
      <c r="K863" s="20">
        <v>0</v>
      </c>
      <c r="L863" s="20">
        <v>0</v>
      </c>
      <c r="M863" s="74" t="str">
        <f t="array" ref="M863">_xlfn.TEXTJOIN("-", TRUE, IF(C863:L863&gt;0, $C$2:$L$2, ""))</f>
        <v xml:space="preserve"> Ti-Al-Mo-V-Cr</v>
      </c>
      <c r="N863" s="90">
        <f t="shared" si="26"/>
        <v>848</v>
      </c>
      <c r="O863" s="91">
        <f t="shared" si="27"/>
        <v>5</v>
      </c>
      <c r="P863" s="20">
        <v>1</v>
      </c>
      <c r="Q863" s="20">
        <v>1</v>
      </c>
      <c r="R863" s="20">
        <v>800</v>
      </c>
      <c r="S863" s="20">
        <v>65.7</v>
      </c>
      <c r="T863" s="20">
        <v>830</v>
      </c>
      <c r="U863" s="20">
        <v>0.5</v>
      </c>
      <c r="V863" s="20">
        <v>2</v>
      </c>
      <c r="W863" s="20">
        <v>500</v>
      </c>
      <c r="X863" s="20">
        <v>6</v>
      </c>
      <c r="Y863" s="20">
        <v>2</v>
      </c>
      <c r="Z863" s="20"/>
      <c r="AA863" s="20"/>
      <c r="AB863" s="20">
        <v>1305.81</v>
      </c>
      <c r="AC863" s="20"/>
      <c r="AD863" s="20">
        <v>7.75</v>
      </c>
      <c r="AE863" s="20"/>
      <c r="AF863" s="20"/>
      <c r="AG863" s="20"/>
      <c r="AH863" s="20"/>
      <c r="AI863" s="20"/>
      <c r="AJ863" s="20"/>
      <c r="AK863" s="20"/>
      <c r="AL863" s="20"/>
      <c r="AM863" s="20"/>
      <c r="AN863" s="20" t="s">
        <v>587</v>
      </c>
      <c r="AO863" s="20" t="s">
        <v>588</v>
      </c>
      <c r="AP863" s="20">
        <v>5</v>
      </c>
      <c r="AQ863" s="133" t="s">
        <v>374</v>
      </c>
      <c r="AR863" s="27">
        <v>32</v>
      </c>
    </row>
    <row r="864" spans="1:44" ht="16.5">
      <c r="A864" s="27">
        <v>33</v>
      </c>
      <c r="B864" s="20"/>
      <c r="C864" s="20">
        <v>80</v>
      </c>
      <c r="D864" s="20">
        <v>4</v>
      </c>
      <c r="E864" s="20">
        <v>0</v>
      </c>
      <c r="F864" s="20">
        <v>5</v>
      </c>
      <c r="G864" s="20">
        <v>5</v>
      </c>
      <c r="H864" s="20">
        <v>0</v>
      </c>
      <c r="I864" s="20">
        <v>0</v>
      </c>
      <c r="J864" s="20">
        <v>6</v>
      </c>
      <c r="K864" s="20">
        <v>0</v>
      </c>
      <c r="L864" s="20">
        <v>0</v>
      </c>
      <c r="M864" s="74" t="str">
        <f t="array" ref="M864">_xlfn.TEXTJOIN("-", TRUE, IF(C864:L864&gt;0, $C$2:$L$2, ""))</f>
        <v xml:space="preserve"> Ti-Al-Mo-V-Cr</v>
      </c>
      <c r="N864" s="90">
        <f t="shared" si="26"/>
        <v>848</v>
      </c>
      <c r="O864" s="91">
        <f t="shared" si="27"/>
        <v>5</v>
      </c>
      <c r="P864" s="20">
        <v>1</v>
      </c>
      <c r="Q864" s="20">
        <v>1</v>
      </c>
      <c r="R864" s="20">
        <v>800</v>
      </c>
      <c r="S864" s="20">
        <v>65.7</v>
      </c>
      <c r="T864" s="20">
        <v>730</v>
      </c>
      <c r="U864" s="20">
        <v>0.5</v>
      </c>
      <c r="V864" s="20">
        <v>2</v>
      </c>
      <c r="W864" s="20">
        <v>520</v>
      </c>
      <c r="X864" s="20">
        <v>6</v>
      </c>
      <c r="Y864" s="20">
        <v>2</v>
      </c>
      <c r="Z864" s="20"/>
      <c r="AA864" s="20"/>
      <c r="AB864" s="20">
        <v>1279.6600000000001</v>
      </c>
      <c r="AC864" s="20"/>
      <c r="AD864" s="20">
        <v>15.55</v>
      </c>
      <c r="AE864" s="20"/>
      <c r="AF864" s="20"/>
      <c r="AG864" s="20"/>
      <c r="AH864" s="20"/>
      <c r="AI864" s="20"/>
      <c r="AJ864" s="20"/>
      <c r="AK864" s="20"/>
      <c r="AL864" s="20"/>
      <c r="AM864" s="20"/>
      <c r="AN864" s="20" t="s">
        <v>589</v>
      </c>
      <c r="AO864" s="20" t="s">
        <v>590</v>
      </c>
      <c r="AP864" s="20">
        <v>5</v>
      </c>
      <c r="AQ864" s="133" t="s">
        <v>374</v>
      </c>
      <c r="AR864" s="27">
        <v>33</v>
      </c>
    </row>
    <row r="865" spans="1:45" ht="16.5">
      <c r="A865" s="27">
        <v>34</v>
      </c>
      <c r="B865" s="20"/>
      <c r="C865" s="20">
        <v>80</v>
      </c>
      <c r="D865" s="20">
        <v>4</v>
      </c>
      <c r="E865" s="20">
        <v>0</v>
      </c>
      <c r="F865" s="20">
        <v>5</v>
      </c>
      <c r="G865" s="20">
        <v>5</v>
      </c>
      <c r="H865" s="20">
        <v>0</v>
      </c>
      <c r="I865" s="20">
        <v>0</v>
      </c>
      <c r="J865" s="20">
        <v>6</v>
      </c>
      <c r="K865" s="20">
        <v>0</v>
      </c>
      <c r="L865" s="20">
        <v>0</v>
      </c>
      <c r="M865" s="74" t="str">
        <f t="array" ref="M865">_xlfn.TEXTJOIN("-", TRUE, IF(C865:L865&gt;0, $C$2:$L$2, ""))</f>
        <v xml:space="preserve"> Ti-Al-Mo-V-Cr</v>
      </c>
      <c r="N865" s="90">
        <f t="shared" si="26"/>
        <v>848</v>
      </c>
      <c r="O865" s="91">
        <f t="shared" si="27"/>
        <v>5</v>
      </c>
      <c r="P865" s="20">
        <v>1</v>
      </c>
      <c r="Q865" s="20">
        <v>1</v>
      </c>
      <c r="R865" s="20">
        <v>800</v>
      </c>
      <c r="S865" s="20">
        <v>65.7</v>
      </c>
      <c r="T865" s="20">
        <v>760</v>
      </c>
      <c r="U865" s="20">
        <v>0.5</v>
      </c>
      <c r="V865" s="20">
        <v>2</v>
      </c>
      <c r="W865" s="20">
        <v>520</v>
      </c>
      <c r="X865" s="20">
        <v>6</v>
      </c>
      <c r="Y865" s="20">
        <v>2</v>
      </c>
      <c r="Z865" s="20"/>
      <c r="AA865" s="20"/>
      <c r="AB865" s="20">
        <v>1366.56</v>
      </c>
      <c r="AC865" s="20"/>
      <c r="AD865" s="20">
        <v>12.97</v>
      </c>
      <c r="AE865" s="20"/>
      <c r="AF865" s="20"/>
      <c r="AG865" s="20"/>
      <c r="AH865" s="20"/>
      <c r="AI865" s="20"/>
      <c r="AJ865" s="20"/>
      <c r="AK865" s="20"/>
      <c r="AL865" s="20"/>
      <c r="AM865" s="20"/>
      <c r="AN865" s="20" t="s">
        <v>591</v>
      </c>
      <c r="AO865" s="20" t="s">
        <v>592</v>
      </c>
      <c r="AP865" s="20">
        <v>5</v>
      </c>
      <c r="AQ865" s="133" t="s">
        <v>374</v>
      </c>
      <c r="AR865" s="27">
        <v>34</v>
      </c>
    </row>
    <row r="866" spans="1:45" ht="16.5">
      <c r="A866" s="27">
        <v>35</v>
      </c>
      <c r="B866" s="20"/>
      <c r="C866" s="20">
        <v>80</v>
      </c>
      <c r="D866" s="20">
        <v>4</v>
      </c>
      <c r="E866" s="20">
        <v>0</v>
      </c>
      <c r="F866" s="20">
        <v>5</v>
      </c>
      <c r="G866" s="20">
        <v>5</v>
      </c>
      <c r="H866" s="20">
        <v>0</v>
      </c>
      <c r="I866" s="20">
        <v>0</v>
      </c>
      <c r="J866" s="20">
        <v>6</v>
      </c>
      <c r="K866" s="20">
        <v>0</v>
      </c>
      <c r="L866" s="20">
        <v>0</v>
      </c>
      <c r="M866" s="74" t="str">
        <f t="array" ref="M866">_xlfn.TEXTJOIN("-", TRUE, IF(C866:L866&gt;0, $C$2:$L$2, ""))</f>
        <v xml:space="preserve"> Ti-Al-Mo-V-Cr</v>
      </c>
      <c r="N866" s="90">
        <f t="shared" si="26"/>
        <v>848</v>
      </c>
      <c r="O866" s="91">
        <f t="shared" si="27"/>
        <v>5</v>
      </c>
      <c r="P866" s="20">
        <v>1</v>
      </c>
      <c r="Q866" s="20">
        <v>1</v>
      </c>
      <c r="R866" s="20">
        <v>800</v>
      </c>
      <c r="S866" s="20">
        <v>65.7</v>
      </c>
      <c r="T866" s="20">
        <v>800</v>
      </c>
      <c r="U866" s="20">
        <v>0.5</v>
      </c>
      <c r="V866" s="20">
        <v>2</v>
      </c>
      <c r="W866" s="20">
        <v>520</v>
      </c>
      <c r="X866" s="20">
        <v>6</v>
      </c>
      <c r="Y866" s="20">
        <v>2</v>
      </c>
      <c r="Z866" s="20"/>
      <c r="AA866" s="20"/>
      <c r="AB866" s="20">
        <v>1413.25</v>
      </c>
      <c r="AC866" s="20"/>
      <c r="AD866" s="20">
        <v>8.1999999999999993</v>
      </c>
      <c r="AE866" s="20"/>
      <c r="AF866" s="20"/>
      <c r="AG866" s="20"/>
      <c r="AH866" s="20"/>
      <c r="AI866" s="20"/>
      <c r="AJ866" s="20"/>
      <c r="AK866" s="20"/>
      <c r="AL866" s="20"/>
      <c r="AM866" s="20"/>
      <c r="AN866" s="20" t="s">
        <v>593</v>
      </c>
      <c r="AO866" s="20" t="s">
        <v>594</v>
      </c>
      <c r="AP866" s="20">
        <v>5</v>
      </c>
      <c r="AQ866" s="133" t="s">
        <v>374</v>
      </c>
      <c r="AR866" s="27">
        <v>35</v>
      </c>
    </row>
    <row r="867" spans="1:45" ht="16.5">
      <c r="A867" s="27">
        <v>36</v>
      </c>
      <c r="B867" s="20"/>
      <c r="C867" s="20">
        <v>80</v>
      </c>
      <c r="D867" s="20">
        <v>4</v>
      </c>
      <c r="E867" s="20">
        <v>0</v>
      </c>
      <c r="F867" s="20">
        <v>5</v>
      </c>
      <c r="G867" s="20">
        <v>5</v>
      </c>
      <c r="H867" s="20">
        <v>0</v>
      </c>
      <c r="I867" s="20">
        <v>0</v>
      </c>
      <c r="J867" s="20">
        <v>6</v>
      </c>
      <c r="K867" s="20">
        <v>0</v>
      </c>
      <c r="L867" s="20">
        <v>0</v>
      </c>
      <c r="M867" s="74" t="str">
        <f t="array" ref="M867">_xlfn.TEXTJOIN("-", TRUE, IF(C867:L867&gt;0, $C$2:$L$2, ""))</f>
        <v xml:space="preserve"> Ti-Al-Mo-V-Cr</v>
      </c>
      <c r="N867" s="90">
        <f t="shared" si="26"/>
        <v>848</v>
      </c>
      <c r="O867" s="91">
        <f t="shared" si="27"/>
        <v>5</v>
      </c>
      <c r="P867" s="20">
        <v>1</v>
      </c>
      <c r="Q867" s="20">
        <v>1</v>
      </c>
      <c r="R867" s="20">
        <v>800</v>
      </c>
      <c r="S867" s="20">
        <v>65.7</v>
      </c>
      <c r="T867" s="20">
        <v>830</v>
      </c>
      <c r="U867" s="20">
        <v>0.5</v>
      </c>
      <c r="V867" s="20">
        <v>2</v>
      </c>
      <c r="W867" s="20">
        <v>520</v>
      </c>
      <c r="X867" s="20">
        <v>6</v>
      </c>
      <c r="Y867" s="20">
        <v>2</v>
      </c>
      <c r="Z867" s="20"/>
      <c r="AA867" s="20"/>
      <c r="AB867" s="20">
        <v>1409.09</v>
      </c>
      <c r="AC867" s="20"/>
      <c r="AD867" s="20">
        <v>6.88</v>
      </c>
      <c r="AE867" s="20"/>
      <c r="AF867" s="20"/>
      <c r="AG867" s="20"/>
      <c r="AH867" s="20"/>
      <c r="AI867" s="20"/>
      <c r="AJ867" s="20"/>
      <c r="AK867" s="20"/>
      <c r="AL867" s="20"/>
      <c r="AM867" s="20"/>
      <c r="AN867" s="20" t="s">
        <v>595</v>
      </c>
      <c r="AO867" s="20" t="s">
        <v>596</v>
      </c>
      <c r="AP867" s="20">
        <v>5</v>
      </c>
      <c r="AQ867" s="133" t="s">
        <v>374</v>
      </c>
      <c r="AR867" s="27">
        <v>36</v>
      </c>
    </row>
    <row r="868" spans="1:45" ht="16.5">
      <c r="A868" s="37">
        <v>59</v>
      </c>
      <c r="B868" s="44"/>
      <c r="C868" s="44">
        <f>100-SUM(D868:L868)</f>
        <v>88.6</v>
      </c>
      <c r="D868" s="44">
        <v>6.1</v>
      </c>
      <c r="E868" s="44">
        <v>0.65</v>
      </c>
      <c r="F868" s="44">
        <v>0.65</v>
      </c>
      <c r="G868" s="44">
        <v>4</v>
      </c>
      <c r="H868" s="44">
        <v>0</v>
      </c>
      <c r="I868" s="44">
        <v>0</v>
      </c>
      <c r="J868" s="44">
        <v>0</v>
      </c>
      <c r="K868" s="44">
        <v>0</v>
      </c>
      <c r="L868" s="44">
        <v>0</v>
      </c>
      <c r="M868" s="74" t="str">
        <f t="array" ref="M868">_xlfn.TEXTJOIN("-", TRUE, IF(C868:L868&gt;0, $C$2:$L$2, ""))</f>
        <v xml:space="preserve"> Ti-Al-Zr-Mo-V</v>
      </c>
      <c r="N868" s="90">
        <f t="shared" si="26"/>
        <v>868</v>
      </c>
      <c r="O868" s="91">
        <f t="shared" si="27"/>
        <v>5</v>
      </c>
      <c r="P868" s="44" t="s">
        <v>81</v>
      </c>
      <c r="Q868" s="44" t="s">
        <v>81</v>
      </c>
      <c r="R868" s="44" t="s">
        <v>81</v>
      </c>
      <c r="S868" s="44" t="s">
        <v>81</v>
      </c>
      <c r="T868" s="44" t="s">
        <v>81</v>
      </c>
      <c r="U868" s="44" t="s">
        <v>81</v>
      </c>
      <c r="V868" s="44" t="s">
        <v>81</v>
      </c>
      <c r="W868" s="44">
        <v>0</v>
      </c>
      <c r="X868" s="44">
        <v>0</v>
      </c>
      <c r="Y868" s="44">
        <v>0</v>
      </c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>
        <v>130</v>
      </c>
      <c r="AL868" s="44"/>
      <c r="AM868" s="44"/>
      <c r="AN868" s="45"/>
      <c r="AO868" s="45" t="s">
        <v>236</v>
      </c>
      <c r="AP868" s="44">
        <v>11</v>
      </c>
      <c r="AQ868" s="41" t="s">
        <v>83</v>
      </c>
      <c r="AR868" s="37">
        <v>59</v>
      </c>
      <c r="AS868" s="16"/>
    </row>
    <row r="869" spans="1:45" ht="16.5">
      <c r="A869" s="37">
        <v>60</v>
      </c>
      <c r="B869" s="44"/>
      <c r="C869" s="44">
        <f>100-SUM(D869:L869)</f>
        <v>88.6</v>
      </c>
      <c r="D869" s="44">
        <v>6.1</v>
      </c>
      <c r="E869" s="44">
        <v>0.65</v>
      </c>
      <c r="F869" s="44">
        <v>0.65</v>
      </c>
      <c r="G869" s="44">
        <v>4</v>
      </c>
      <c r="H869" s="44">
        <v>0</v>
      </c>
      <c r="I869" s="44">
        <v>0</v>
      </c>
      <c r="J869" s="44">
        <v>0</v>
      </c>
      <c r="K869" s="44">
        <v>0</v>
      </c>
      <c r="L869" s="44">
        <v>0</v>
      </c>
      <c r="M869" s="74" t="str">
        <f t="array" ref="M869">_xlfn.TEXTJOIN("-", TRUE, IF(C869:L869&gt;0, $C$2:$L$2, ""))</f>
        <v xml:space="preserve"> Ti-Al-Zr-Mo-V</v>
      </c>
      <c r="N869" s="90">
        <f t="shared" si="26"/>
        <v>868</v>
      </c>
      <c r="O869" s="91">
        <f t="shared" si="27"/>
        <v>5</v>
      </c>
      <c r="P869" s="44" t="s">
        <v>81</v>
      </c>
      <c r="Q869" s="44" t="s">
        <v>81</v>
      </c>
      <c r="R869" s="44" t="s">
        <v>81</v>
      </c>
      <c r="S869" s="44" t="s">
        <v>81</v>
      </c>
      <c r="T869" s="44">
        <v>910</v>
      </c>
      <c r="U869" s="44">
        <v>2</v>
      </c>
      <c r="V869" s="44">
        <v>2</v>
      </c>
      <c r="W869" s="44">
        <v>0</v>
      </c>
      <c r="X869" s="44">
        <v>0</v>
      </c>
      <c r="Y869" s="44">
        <v>0</v>
      </c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>
        <v>80</v>
      </c>
      <c r="AL869" s="44"/>
      <c r="AM869" s="44"/>
      <c r="AN869" s="45"/>
      <c r="AO869" s="45" t="s">
        <v>236</v>
      </c>
      <c r="AP869" s="44">
        <v>11</v>
      </c>
      <c r="AQ869" s="41" t="s">
        <v>83</v>
      </c>
      <c r="AR869" s="37">
        <v>60</v>
      </c>
      <c r="AS869" s="16"/>
    </row>
    <row r="870" spans="1:45" ht="16.5">
      <c r="A870" s="37">
        <v>61</v>
      </c>
      <c r="B870" s="44"/>
      <c r="C870" s="44">
        <f>100-SUM(D870:L870)</f>
        <v>88.6</v>
      </c>
      <c r="D870" s="44">
        <v>6.1</v>
      </c>
      <c r="E870" s="44">
        <v>0.65</v>
      </c>
      <c r="F870" s="44">
        <v>0.65</v>
      </c>
      <c r="G870" s="44">
        <v>4</v>
      </c>
      <c r="H870" s="44">
        <v>0</v>
      </c>
      <c r="I870" s="44">
        <v>0</v>
      </c>
      <c r="J870" s="44">
        <v>0</v>
      </c>
      <c r="K870" s="44">
        <v>0</v>
      </c>
      <c r="L870" s="44">
        <v>0</v>
      </c>
      <c r="M870" s="74" t="str">
        <f t="array" ref="M870">_xlfn.TEXTJOIN("-", TRUE, IF(C870:L870&gt;0, $C$2:$L$2, ""))</f>
        <v xml:space="preserve"> Ti-Al-Zr-Mo-V</v>
      </c>
      <c r="N870" s="90">
        <f t="shared" si="26"/>
        <v>868</v>
      </c>
      <c r="O870" s="91">
        <f t="shared" si="27"/>
        <v>5</v>
      </c>
      <c r="P870" s="44" t="s">
        <v>81</v>
      </c>
      <c r="Q870" s="44" t="s">
        <v>81</v>
      </c>
      <c r="R870" s="44" t="s">
        <v>81</v>
      </c>
      <c r="S870" s="44" t="s">
        <v>81</v>
      </c>
      <c r="T870" s="44">
        <v>910</v>
      </c>
      <c r="U870" s="44">
        <v>1</v>
      </c>
      <c r="V870" s="44">
        <v>3</v>
      </c>
      <c r="W870" s="44">
        <v>0</v>
      </c>
      <c r="X870" s="44">
        <v>0</v>
      </c>
      <c r="Y870" s="44">
        <v>0</v>
      </c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>
        <v>220</v>
      </c>
      <c r="AL870" s="44"/>
      <c r="AM870" s="44"/>
      <c r="AN870" s="45"/>
      <c r="AO870" s="45" t="s">
        <v>236</v>
      </c>
      <c r="AP870" s="44">
        <v>11</v>
      </c>
      <c r="AQ870" s="41" t="s">
        <v>83</v>
      </c>
      <c r="AR870" s="37">
        <v>61</v>
      </c>
      <c r="AS870" s="16"/>
    </row>
    <row r="871" spans="1:45" ht="16.5">
      <c r="A871" s="37">
        <v>62</v>
      </c>
      <c r="B871" s="44"/>
      <c r="C871" s="44">
        <f>100-SUM(D871:L871)</f>
        <v>88.6</v>
      </c>
      <c r="D871" s="44">
        <v>6.1</v>
      </c>
      <c r="E871" s="44">
        <v>0.65</v>
      </c>
      <c r="F871" s="44">
        <v>0.65</v>
      </c>
      <c r="G871" s="44">
        <v>4</v>
      </c>
      <c r="H871" s="44">
        <v>0</v>
      </c>
      <c r="I871" s="44">
        <v>0</v>
      </c>
      <c r="J871" s="44">
        <v>0</v>
      </c>
      <c r="K871" s="44">
        <v>0</v>
      </c>
      <c r="L871" s="44">
        <v>0</v>
      </c>
      <c r="M871" s="74" t="str">
        <f t="array" ref="M871">_xlfn.TEXTJOIN("-", TRUE, IF(C871:L871&gt;0, $C$2:$L$2, ""))</f>
        <v xml:space="preserve"> Ti-Al-Zr-Mo-V</v>
      </c>
      <c r="N871" s="90">
        <f t="shared" si="26"/>
        <v>868</v>
      </c>
      <c r="O871" s="91">
        <f t="shared" si="27"/>
        <v>5</v>
      </c>
      <c r="P871" s="44" t="s">
        <v>81</v>
      </c>
      <c r="Q871" s="44" t="s">
        <v>81</v>
      </c>
      <c r="R871" s="44" t="s">
        <v>81</v>
      </c>
      <c r="S871" s="44" t="s">
        <v>81</v>
      </c>
      <c r="T871" s="44">
        <v>955</v>
      </c>
      <c r="U871" s="44">
        <v>1</v>
      </c>
      <c r="V871" s="44">
        <v>3</v>
      </c>
      <c r="W871" s="44">
        <v>500</v>
      </c>
      <c r="X871" s="44">
        <v>2</v>
      </c>
      <c r="Y871" s="44">
        <v>2</v>
      </c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>
        <v>19.5</v>
      </c>
      <c r="AL871" s="44"/>
      <c r="AM871" s="44"/>
      <c r="AN871" s="45"/>
      <c r="AO871" s="45" t="s">
        <v>236</v>
      </c>
      <c r="AP871" s="44">
        <v>11</v>
      </c>
      <c r="AQ871" s="41" t="s">
        <v>83</v>
      </c>
      <c r="AR871" s="37">
        <v>62</v>
      </c>
      <c r="AS871" s="16"/>
    </row>
    <row r="872" spans="1:45" ht="16.5">
      <c r="A872" s="37">
        <v>25</v>
      </c>
      <c r="B872" s="39"/>
      <c r="C872" s="39">
        <v>88.3</v>
      </c>
      <c r="D872" s="44">
        <v>6.1</v>
      </c>
      <c r="E872" s="39">
        <v>0.8</v>
      </c>
      <c r="F872" s="39">
        <v>0.8</v>
      </c>
      <c r="G872" s="151">
        <v>4</v>
      </c>
      <c r="H872" s="39">
        <v>0</v>
      </c>
      <c r="I872" s="39">
        <v>0</v>
      </c>
      <c r="J872" s="44">
        <v>0</v>
      </c>
      <c r="K872" s="44">
        <v>0</v>
      </c>
      <c r="L872" s="39">
        <v>0</v>
      </c>
      <c r="M872" s="74" t="str">
        <f t="array" ref="M872">_xlfn.TEXTJOIN("-", TRUE, IF(C872:L872&gt;0, $C$2:$L$2, ""))</f>
        <v xml:space="preserve"> Ti-Al-Zr-Mo-V</v>
      </c>
      <c r="N872" s="90">
        <f t="shared" si="26"/>
        <v>868</v>
      </c>
      <c r="O872" s="91">
        <f t="shared" si="27"/>
        <v>5</v>
      </c>
      <c r="P872" s="39" t="s">
        <v>81</v>
      </c>
      <c r="Q872" s="39" t="s">
        <v>81</v>
      </c>
      <c r="R872" s="39" t="s">
        <v>81</v>
      </c>
      <c r="S872" s="39" t="s">
        <v>81</v>
      </c>
      <c r="T872" s="39">
        <v>955</v>
      </c>
      <c r="U872" s="39">
        <v>1</v>
      </c>
      <c r="V872" s="39">
        <v>3</v>
      </c>
      <c r="W872" s="39">
        <v>500</v>
      </c>
      <c r="X872" s="39">
        <v>2</v>
      </c>
      <c r="Y872" s="39">
        <v>2</v>
      </c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>
        <v>55.7</v>
      </c>
      <c r="AM872" s="39"/>
      <c r="AN872" s="40"/>
      <c r="AO872" s="40" t="s">
        <v>196</v>
      </c>
      <c r="AP872" s="44">
        <v>4</v>
      </c>
      <c r="AQ872" s="41" t="s">
        <v>83</v>
      </c>
      <c r="AR872" s="37">
        <v>25</v>
      </c>
    </row>
    <row r="873" spans="1:45" ht="16.5">
      <c r="A873" s="37">
        <v>98</v>
      </c>
      <c r="B873" s="39"/>
      <c r="C873" s="39">
        <v>88</v>
      </c>
      <c r="D873" s="44">
        <v>6</v>
      </c>
      <c r="E873" s="39">
        <v>2</v>
      </c>
      <c r="F873" s="39">
        <v>1</v>
      </c>
      <c r="G873" s="44">
        <v>0</v>
      </c>
      <c r="H873" s="39">
        <v>0</v>
      </c>
      <c r="I873" s="39">
        <v>3</v>
      </c>
      <c r="J873" s="44">
        <v>0</v>
      </c>
      <c r="K873" s="44">
        <v>0</v>
      </c>
      <c r="L873" s="39">
        <v>0</v>
      </c>
      <c r="M873" s="74" t="str">
        <f t="array" ref="M873">_xlfn.TEXTJOIN("-", TRUE, IF(C873:L873&gt;0, $C$2:$L$2, ""))</f>
        <v xml:space="preserve"> Ti-Al-Zr-Mo-Nb</v>
      </c>
      <c r="N873" s="90">
        <f t="shared" si="26"/>
        <v>873</v>
      </c>
      <c r="O873" s="91">
        <f t="shared" si="27"/>
        <v>5</v>
      </c>
      <c r="P873" s="39" t="s">
        <v>81</v>
      </c>
      <c r="Q873" s="39" t="s">
        <v>81</v>
      </c>
      <c r="R873" s="39" t="s">
        <v>81</v>
      </c>
      <c r="S873" s="39" t="s">
        <v>81</v>
      </c>
      <c r="T873" s="39" t="s">
        <v>81</v>
      </c>
      <c r="U873" s="39" t="s">
        <v>81</v>
      </c>
      <c r="V873" s="39" t="s">
        <v>81</v>
      </c>
      <c r="W873" s="39" t="s">
        <v>81</v>
      </c>
      <c r="X873" s="39" t="s">
        <v>81</v>
      </c>
      <c r="Y873" s="39" t="s">
        <v>81</v>
      </c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>
        <v>51</v>
      </c>
      <c r="AM873" s="39"/>
      <c r="AN873" s="40"/>
      <c r="AO873" s="40" t="s">
        <v>252</v>
      </c>
      <c r="AP873" s="44">
        <v>24</v>
      </c>
      <c r="AQ873" s="41" t="s">
        <v>83</v>
      </c>
      <c r="AR873" s="37">
        <v>98</v>
      </c>
    </row>
    <row r="874" spans="1:45" ht="16.5">
      <c r="A874" s="37">
        <v>99</v>
      </c>
      <c r="B874" s="39"/>
      <c r="C874" s="39">
        <v>88</v>
      </c>
      <c r="D874" s="44">
        <v>6</v>
      </c>
      <c r="E874" s="39">
        <v>2</v>
      </c>
      <c r="F874" s="39">
        <v>1</v>
      </c>
      <c r="G874" s="44">
        <v>0</v>
      </c>
      <c r="H874" s="39">
        <v>0</v>
      </c>
      <c r="I874" s="39">
        <v>3</v>
      </c>
      <c r="J874" s="44">
        <v>0</v>
      </c>
      <c r="K874" s="44">
        <v>0</v>
      </c>
      <c r="L874" s="39">
        <v>0</v>
      </c>
      <c r="M874" s="74" t="str">
        <f t="array" ref="M874">_xlfn.TEXTJOIN("-", TRUE, IF(C874:L874&gt;0, $C$2:$L$2, ""))</f>
        <v xml:space="preserve"> Ti-Al-Zr-Mo-Nb</v>
      </c>
      <c r="N874" s="90">
        <f t="shared" si="26"/>
        <v>873</v>
      </c>
      <c r="O874" s="91">
        <f t="shared" si="27"/>
        <v>5</v>
      </c>
      <c r="P874" s="39" t="s">
        <v>81</v>
      </c>
      <c r="Q874" s="39" t="s">
        <v>81</v>
      </c>
      <c r="R874" s="39" t="s">
        <v>81</v>
      </c>
      <c r="S874" s="39" t="s">
        <v>81</v>
      </c>
      <c r="T874" s="39" t="s">
        <v>81</v>
      </c>
      <c r="U874" s="39" t="s">
        <v>81</v>
      </c>
      <c r="V874" s="39" t="s">
        <v>81</v>
      </c>
      <c r="W874" s="39" t="s">
        <v>81</v>
      </c>
      <c r="X874" s="39" t="s">
        <v>81</v>
      </c>
      <c r="Y874" s="39" t="s">
        <v>81</v>
      </c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>
        <v>50</v>
      </c>
      <c r="AM874" s="39"/>
      <c r="AN874" s="40"/>
      <c r="AO874" s="40" t="s">
        <v>252</v>
      </c>
      <c r="AP874" s="44">
        <v>24</v>
      </c>
      <c r="AQ874" s="38" t="s">
        <v>83</v>
      </c>
      <c r="AR874" s="37">
        <v>99</v>
      </c>
    </row>
    <row r="875" spans="1:45" ht="16.5">
      <c r="A875" s="37">
        <v>100</v>
      </c>
      <c r="B875" s="39"/>
      <c r="C875" s="39">
        <v>88</v>
      </c>
      <c r="D875" s="44">
        <v>6</v>
      </c>
      <c r="E875" s="39">
        <v>2</v>
      </c>
      <c r="F875" s="39">
        <v>1</v>
      </c>
      <c r="G875" s="44">
        <v>0</v>
      </c>
      <c r="H875" s="39">
        <v>0</v>
      </c>
      <c r="I875" s="39">
        <v>3</v>
      </c>
      <c r="J875" s="44">
        <v>0</v>
      </c>
      <c r="K875" s="44">
        <v>0</v>
      </c>
      <c r="L875" s="39">
        <v>0</v>
      </c>
      <c r="M875" s="74" t="str">
        <f t="array" ref="M875">_xlfn.TEXTJOIN("-", TRUE, IF(C875:L875&gt;0, $C$2:$L$2, ""))</f>
        <v xml:space="preserve"> Ti-Al-Zr-Mo-Nb</v>
      </c>
      <c r="N875" s="90">
        <f t="shared" si="26"/>
        <v>873</v>
      </c>
      <c r="O875" s="91">
        <f t="shared" si="27"/>
        <v>5</v>
      </c>
      <c r="P875" s="39" t="s">
        <v>81</v>
      </c>
      <c r="Q875" s="39" t="s">
        <v>81</v>
      </c>
      <c r="R875" s="39" t="s">
        <v>81</v>
      </c>
      <c r="S875" s="39" t="s">
        <v>81</v>
      </c>
      <c r="T875" s="39" t="s">
        <v>81</v>
      </c>
      <c r="U875" s="39" t="s">
        <v>81</v>
      </c>
      <c r="V875" s="39" t="s">
        <v>81</v>
      </c>
      <c r="W875" s="39" t="s">
        <v>81</v>
      </c>
      <c r="X875" s="39" t="s">
        <v>81</v>
      </c>
      <c r="Y875" s="39" t="s">
        <v>81</v>
      </c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>
        <v>48</v>
      </c>
      <c r="AM875" s="39"/>
      <c r="AN875" s="40"/>
      <c r="AO875" s="40" t="s">
        <v>252</v>
      </c>
      <c r="AP875" s="44">
        <v>24</v>
      </c>
      <c r="AQ875" s="41" t="s">
        <v>83</v>
      </c>
      <c r="AR875" s="37">
        <v>100</v>
      </c>
    </row>
    <row r="876" spans="1:45" ht="16.5">
      <c r="A876" s="42">
        <v>101</v>
      </c>
      <c r="B876" s="39"/>
      <c r="C876" s="39">
        <v>88</v>
      </c>
      <c r="D876" s="44">
        <v>6</v>
      </c>
      <c r="E876" s="39">
        <v>2</v>
      </c>
      <c r="F876" s="39">
        <v>1</v>
      </c>
      <c r="G876" s="44">
        <v>0</v>
      </c>
      <c r="H876" s="39">
        <v>0</v>
      </c>
      <c r="I876" s="39">
        <v>3</v>
      </c>
      <c r="J876" s="44">
        <v>0</v>
      </c>
      <c r="K876" s="44">
        <v>0</v>
      </c>
      <c r="L876" s="39">
        <v>0</v>
      </c>
      <c r="M876" s="74" t="str">
        <f t="array" ref="M876">_xlfn.TEXTJOIN("-", TRUE, IF(C876:L876&gt;0, $C$2:$L$2, ""))</f>
        <v xml:space="preserve"> Ti-Al-Zr-Mo-Nb</v>
      </c>
      <c r="N876" s="90">
        <f t="shared" si="26"/>
        <v>873</v>
      </c>
      <c r="O876" s="91">
        <f t="shared" si="27"/>
        <v>5</v>
      </c>
      <c r="P876" s="39" t="s">
        <v>81</v>
      </c>
      <c r="Q876" s="39" t="s">
        <v>81</v>
      </c>
      <c r="R876" s="39" t="s">
        <v>81</v>
      </c>
      <c r="S876" s="39" t="s">
        <v>81</v>
      </c>
      <c r="T876" s="39" t="s">
        <v>81</v>
      </c>
      <c r="U876" s="39" t="s">
        <v>81</v>
      </c>
      <c r="V876" s="39" t="s">
        <v>81</v>
      </c>
      <c r="W876" s="39" t="s">
        <v>81</v>
      </c>
      <c r="X876" s="39" t="s">
        <v>81</v>
      </c>
      <c r="Y876" s="39" t="s">
        <v>81</v>
      </c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>
        <v>460</v>
      </c>
      <c r="AL876" s="39"/>
      <c r="AM876" s="39"/>
      <c r="AN876" s="40"/>
      <c r="AO876" s="40" t="s">
        <v>252</v>
      </c>
      <c r="AP876" s="76">
        <v>24</v>
      </c>
      <c r="AQ876" s="41" t="s">
        <v>83</v>
      </c>
      <c r="AR876" s="42">
        <v>101</v>
      </c>
    </row>
    <row r="877" spans="1:45" ht="16.5">
      <c r="A877" s="37">
        <v>102</v>
      </c>
      <c r="B877" s="39"/>
      <c r="C877" s="39">
        <v>88</v>
      </c>
      <c r="D877" s="44">
        <v>6</v>
      </c>
      <c r="E877" s="39">
        <v>2</v>
      </c>
      <c r="F877" s="39">
        <v>1</v>
      </c>
      <c r="G877" s="44">
        <v>0</v>
      </c>
      <c r="H877" s="39">
        <v>0</v>
      </c>
      <c r="I877" s="39">
        <v>3</v>
      </c>
      <c r="J877" s="44">
        <v>0</v>
      </c>
      <c r="K877" s="44">
        <v>0</v>
      </c>
      <c r="L877" s="39">
        <v>0</v>
      </c>
      <c r="M877" s="74" t="str">
        <f t="array" ref="M877">_xlfn.TEXTJOIN("-", TRUE, IF(C877:L877&gt;0, $C$2:$L$2, ""))</f>
        <v xml:space="preserve"> Ti-Al-Zr-Mo-Nb</v>
      </c>
      <c r="N877" s="90">
        <f t="shared" si="26"/>
        <v>873</v>
      </c>
      <c r="O877" s="91">
        <f t="shared" si="27"/>
        <v>5</v>
      </c>
      <c r="P877" s="39" t="s">
        <v>81</v>
      </c>
      <c r="Q877" s="39" t="s">
        <v>81</v>
      </c>
      <c r="R877" s="39" t="s">
        <v>81</v>
      </c>
      <c r="S877" s="39" t="s">
        <v>81</v>
      </c>
      <c r="T877" s="39" t="s">
        <v>81</v>
      </c>
      <c r="U877" s="39" t="s">
        <v>81</v>
      </c>
      <c r="V877" s="39" t="s">
        <v>81</v>
      </c>
      <c r="W877" s="39" t="s">
        <v>81</v>
      </c>
      <c r="X877" s="39" t="s">
        <v>81</v>
      </c>
      <c r="Y877" s="39" t="s">
        <v>81</v>
      </c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>
        <v>430</v>
      </c>
      <c r="AL877" s="39"/>
      <c r="AM877" s="39"/>
      <c r="AN877" s="40"/>
      <c r="AO877" s="40" t="s">
        <v>252</v>
      </c>
      <c r="AP877" s="44">
        <v>24</v>
      </c>
      <c r="AQ877" s="41" t="s">
        <v>83</v>
      </c>
      <c r="AR877" s="37">
        <v>102</v>
      </c>
    </row>
    <row r="878" spans="1:45" ht="16.5">
      <c r="A878" s="37">
        <v>103</v>
      </c>
      <c r="B878" s="39"/>
      <c r="C878" s="39">
        <v>88</v>
      </c>
      <c r="D878" s="44">
        <v>6</v>
      </c>
      <c r="E878" s="39">
        <v>2</v>
      </c>
      <c r="F878" s="39">
        <v>1</v>
      </c>
      <c r="G878" s="44">
        <v>0</v>
      </c>
      <c r="H878" s="39">
        <v>0</v>
      </c>
      <c r="I878" s="39">
        <v>3</v>
      </c>
      <c r="J878" s="44">
        <v>0</v>
      </c>
      <c r="K878" s="44">
        <v>0</v>
      </c>
      <c r="L878" s="39">
        <v>0</v>
      </c>
      <c r="M878" s="74" t="str">
        <f t="array" ref="M878">_xlfn.TEXTJOIN("-", TRUE, IF(C878:L878&gt;0, $C$2:$L$2, ""))</f>
        <v xml:space="preserve"> Ti-Al-Zr-Mo-Nb</v>
      </c>
      <c r="N878" s="90">
        <f t="shared" si="26"/>
        <v>873</v>
      </c>
      <c r="O878" s="91">
        <f t="shared" si="27"/>
        <v>5</v>
      </c>
      <c r="P878" s="39" t="s">
        <v>81</v>
      </c>
      <c r="Q878" s="39" t="s">
        <v>81</v>
      </c>
      <c r="R878" s="39" t="s">
        <v>81</v>
      </c>
      <c r="S878" s="39" t="s">
        <v>81</v>
      </c>
      <c r="T878" s="39" t="s">
        <v>81</v>
      </c>
      <c r="U878" s="39" t="s">
        <v>81</v>
      </c>
      <c r="V878" s="39" t="s">
        <v>81</v>
      </c>
      <c r="W878" s="39" t="s">
        <v>81</v>
      </c>
      <c r="X878" s="39" t="s">
        <v>81</v>
      </c>
      <c r="Y878" s="39" t="s">
        <v>81</v>
      </c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>
        <v>180</v>
      </c>
      <c r="AL878" s="39"/>
      <c r="AM878" s="39"/>
      <c r="AN878" s="40"/>
      <c r="AO878" s="40" t="s">
        <v>252</v>
      </c>
      <c r="AP878" s="44">
        <v>24</v>
      </c>
      <c r="AQ878" s="41" t="s">
        <v>83</v>
      </c>
      <c r="AR878" s="37">
        <v>103</v>
      </c>
    </row>
    <row r="879" spans="1:45" ht="16.5">
      <c r="A879" s="37">
        <v>119</v>
      </c>
      <c r="B879" s="39"/>
      <c r="C879" s="39">
        <v>93.388000000000005</v>
      </c>
      <c r="D879" s="44">
        <v>2.61</v>
      </c>
      <c r="E879" s="39">
        <v>3.07</v>
      </c>
      <c r="F879" s="39">
        <v>0.86</v>
      </c>
      <c r="G879" s="44">
        <v>0</v>
      </c>
      <c r="H879" s="39">
        <v>0</v>
      </c>
      <c r="I879" s="39">
        <v>0.02</v>
      </c>
      <c r="J879" s="44">
        <v>0</v>
      </c>
      <c r="K879" s="44">
        <v>0</v>
      </c>
      <c r="L879" s="39">
        <v>0</v>
      </c>
      <c r="M879" s="74" t="str">
        <f t="array" ref="M879">_xlfn.TEXTJOIN("-", TRUE, IF(C879:L879&gt;0, $C$2:$L$2, ""))</f>
        <v xml:space="preserve"> Ti-Al-Zr-Mo-Nb</v>
      </c>
      <c r="N879" s="90">
        <f t="shared" si="26"/>
        <v>873</v>
      </c>
      <c r="O879" s="91">
        <f t="shared" si="27"/>
        <v>5</v>
      </c>
      <c r="P879" s="39" t="s">
        <v>81</v>
      </c>
      <c r="Q879" s="39">
        <v>2</v>
      </c>
      <c r="R879" s="39" t="s">
        <v>81</v>
      </c>
      <c r="S879" s="39" t="s">
        <v>81</v>
      </c>
      <c r="T879" s="39">
        <v>950</v>
      </c>
      <c r="U879" s="39">
        <v>1</v>
      </c>
      <c r="V879" s="39" t="s">
        <v>81</v>
      </c>
      <c r="W879" s="39">
        <v>0</v>
      </c>
      <c r="X879" s="39">
        <v>0</v>
      </c>
      <c r="Y879" s="39">
        <v>0</v>
      </c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>
        <v>90</v>
      </c>
      <c r="AM879" s="39"/>
      <c r="AN879" s="40"/>
      <c r="AO879" s="40" t="s">
        <v>253</v>
      </c>
      <c r="AP879" s="44">
        <v>30</v>
      </c>
      <c r="AQ879" s="41" t="s">
        <v>83</v>
      </c>
      <c r="AR879" s="37">
        <v>119</v>
      </c>
    </row>
    <row r="880" spans="1:45" ht="16.5">
      <c r="A880" s="37">
        <v>120</v>
      </c>
      <c r="B880" s="44"/>
      <c r="C880" s="44">
        <v>93.388000000000005</v>
      </c>
      <c r="D880" s="44">
        <v>2.61</v>
      </c>
      <c r="E880" s="44">
        <v>3.07</v>
      </c>
      <c r="F880" s="44">
        <v>0.86</v>
      </c>
      <c r="G880" s="44">
        <v>0</v>
      </c>
      <c r="H880" s="44">
        <v>0</v>
      </c>
      <c r="I880" s="44">
        <v>0.02</v>
      </c>
      <c r="J880" s="44">
        <v>0</v>
      </c>
      <c r="K880" s="44">
        <v>0</v>
      </c>
      <c r="L880" s="44">
        <v>0</v>
      </c>
      <c r="M880" s="74" t="str">
        <f t="array" ref="M880">_xlfn.TEXTJOIN("-", TRUE, IF(C880:L880&gt;0, $C$2:$L$2, ""))</f>
        <v xml:space="preserve"> Ti-Al-Zr-Mo-Nb</v>
      </c>
      <c r="N880" s="90">
        <f t="shared" si="26"/>
        <v>873</v>
      </c>
      <c r="O880" s="91">
        <f t="shared" si="27"/>
        <v>5</v>
      </c>
      <c r="P880" s="44" t="s">
        <v>81</v>
      </c>
      <c r="Q880" s="44">
        <v>2</v>
      </c>
      <c r="R880" s="44" t="s">
        <v>81</v>
      </c>
      <c r="S880" s="44" t="s">
        <v>81</v>
      </c>
      <c r="T880" s="44">
        <v>950</v>
      </c>
      <c r="U880" s="44">
        <v>1</v>
      </c>
      <c r="V880" s="44" t="s">
        <v>81</v>
      </c>
      <c r="W880" s="44">
        <v>0</v>
      </c>
      <c r="X880" s="44">
        <v>0</v>
      </c>
      <c r="Y880" s="44">
        <v>0</v>
      </c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>
        <v>79</v>
      </c>
      <c r="AM880" s="44"/>
      <c r="AN880" s="45"/>
      <c r="AO880" s="45" t="s">
        <v>253</v>
      </c>
      <c r="AP880" s="44">
        <v>30</v>
      </c>
      <c r="AQ880" s="41" t="s">
        <v>83</v>
      </c>
      <c r="AR880" s="37">
        <v>120</v>
      </c>
    </row>
    <row r="881" spans="1:45" ht="16.5">
      <c r="A881" s="37">
        <v>121</v>
      </c>
      <c r="B881" s="44"/>
      <c r="C881" s="44">
        <v>93.388000000000005</v>
      </c>
      <c r="D881" s="44">
        <v>2.61</v>
      </c>
      <c r="E881" s="44">
        <v>3.07</v>
      </c>
      <c r="F881" s="44">
        <v>0.86</v>
      </c>
      <c r="G881" s="44">
        <v>0</v>
      </c>
      <c r="H881" s="44">
        <v>0</v>
      </c>
      <c r="I881" s="44">
        <v>0.02</v>
      </c>
      <c r="J881" s="44">
        <v>0</v>
      </c>
      <c r="K881" s="44">
        <v>0</v>
      </c>
      <c r="L881" s="44">
        <v>0</v>
      </c>
      <c r="M881" s="74" t="str">
        <f t="array" ref="M881">_xlfn.TEXTJOIN("-", TRUE, IF(C881:L881&gt;0, $C$2:$L$2, ""))</f>
        <v xml:space="preserve"> Ti-Al-Zr-Mo-Nb</v>
      </c>
      <c r="N881" s="90">
        <f t="shared" si="26"/>
        <v>873</v>
      </c>
      <c r="O881" s="91">
        <f t="shared" si="27"/>
        <v>5</v>
      </c>
      <c r="P881" s="44" t="s">
        <v>81</v>
      </c>
      <c r="Q881" s="44">
        <v>2</v>
      </c>
      <c r="R881" s="44" t="s">
        <v>81</v>
      </c>
      <c r="S881" s="44" t="s">
        <v>81</v>
      </c>
      <c r="T881" s="44">
        <v>950</v>
      </c>
      <c r="U881" s="44">
        <v>1</v>
      </c>
      <c r="V881" s="44" t="s">
        <v>81</v>
      </c>
      <c r="W881" s="44">
        <v>0</v>
      </c>
      <c r="X881" s="44">
        <v>0</v>
      </c>
      <c r="Y881" s="44">
        <v>0</v>
      </c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>
        <v>80</v>
      </c>
      <c r="AM881" s="44"/>
      <c r="AN881" s="45"/>
      <c r="AO881" s="45" t="s">
        <v>253</v>
      </c>
      <c r="AP881" s="44">
        <v>30</v>
      </c>
      <c r="AQ881" s="41" t="s">
        <v>83</v>
      </c>
      <c r="AR881" s="37">
        <v>121</v>
      </c>
    </row>
    <row r="882" spans="1:45" ht="16.5">
      <c r="A882" s="37">
        <v>122</v>
      </c>
      <c r="B882" s="44"/>
      <c r="C882" s="44">
        <v>93.388000000000005</v>
      </c>
      <c r="D882" s="44">
        <v>2.61</v>
      </c>
      <c r="E882" s="44">
        <v>3.07</v>
      </c>
      <c r="F882" s="44">
        <v>0.86</v>
      </c>
      <c r="G882" s="44">
        <v>0</v>
      </c>
      <c r="H882" s="44">
        <v>0</v>
      </c>
      <c r="I882" s="44">
        <v>0.02</v>
      </c>
      <c r="J882" s="44">
        <v>0</v>
      </c>
      <c r="K882" s="44">
        <v>0</v>
      </c>
      <c r="L882" s="44">
        <v>0</v>
      </c>
      <c r="M882" s="74" t="str">
        <f t="array" ref="M882">_xlfn.TEXTJOIN("-", TRUE, IF(C882:L882&gt;0, $C$2:$L$2, ""))</f>
        <v xml:space="preserve"> Ti-Al-Zr-Mo-Nb</v>
      </c>
      <c r="N882" s="90">
        <f t="shared" si="26"/>
        <v>873</v>
      </c>
      <c r="O882" s="91">
        <f t="shared" si="27"/>
        <v>5</v>
      </c>
      <c r="P882" s="44" t="s">
        <v>81</v>
      </c>
      <c r="Q882" s="44">
        <v>2</v>
      </c>
      <c r="R882" s="44" t="s">
        <v>81</v>
      </c>
      <c r="S882" s="44" t="s">
        <v>81</v>
      </c>
      <c r="T882" s="44">
        <v>950</v>
      </c>
      <c r="U882" s="44">
        <v>1</v>
      </c>
      <c r="V882" s="44" t="s">
        <v>81</v>
      </c>
      <c r="W882" s="44">
        <v>0</v>
      </c>
      <c r="X882" s="44">
        <v>0</v>
      </c>
      <c r="Y882" s="44">
        <v>0</v>
      </c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>
        <v>61</v>
      </c>
      <c r="AM882" s="44"/>
      <c r="AN882" s="45"/>
      <c r="AO882" s="45" t="s">
        <v>253</v>
      </c>
      <c r="AP882" s="44">
        <v>30</v>
      </c>
      <c r="AQ882" s="41" t="s">
        <v>83</v>
      </c>
      <c r="AR882" s="37">
        <v>122</v>
      </c>
    </row>
    <row r="883" spans="1:45" ht="16.5">
      <c r="A883" s="37">
        <v>123</v>
      </c>
      <c r="B883" s="44"/>
      <c r="C883" s="44">
        <v>93.388000000000005</v>
      </c>
      <c r="D883" s="44">
        <v>2.61</v>
      </c>
      <c r="E883" s="44">
        <v>3.07</v>
      </c>
      <c r="F883" s="44">
        <v>0.86</v>
      </c>
      <c r="G883" s="44">
        <v>0</v>
      </c>
      <c r="H883" s="44">
        <v>0</v>
      </c>
      <c r="I883" s="44">
        <v>0.02</v>
      </c>
      <c r="J883" s="44">
        <v>0</v>
      </c>
      <c r="K883" s="44">
        <v>0</v>
      </c>
      <c r="L883" s="44">
        <v>0</v>
      </c>
      <c r="M883" s="74" t="str">
        <f t="array" ref="M883">_xlfn.TEXTJOIN("-", TRUE, IF(C883:L883&gt;0, $C$2:$L$2, ""))</f>
        <v xml:space="preserve"> Ti-Al-Zr-Mo-Nb</v>
      </c>
      <c r="N883" s="90">
        <f t="shared" si="26"/>
        <v>873</v>
      </c>
      <c r="O883" s="91">
        <f t="shared" si="27"/>
        <v>5</v>
      </c>
      <c r="P883" s="44" t="s">
        <v>81</v>
      </c>
      <c r="Q883" s="44">
        <v>2</v>
      </c>
      <c r="R883" s="44" t="s">
        <v>81</v>
      </c>
      <c r="S883" s="44" t="s">
        <v>81</v>
      </c>
      <c r="T883" s="44">
        <v>950</v>
      </c>
      <c r="U883" s="44">
        <v>1</v>
      </c>
      <c r="V883" s="44" t="s">
        <v>81</v>
      </c>
      <c r="W883" s="44">
        <v>0</v>
      </c>
      <c r="X883" s="44">
        <v>0</v>
      </c>
      <c r="Y883" s="44">
        <v>0</v>
      </c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>
        <v>29</v>
      </c>
      <c r="AM883" s="44"/>
      <c r="AN883" s="45"/>
      <c r="AO883" s="45" t="s">
        <v>253</v>
      </c>
      <c r="AP883" s="44">
        <v>30</v>
      </c>
      <c r="AQ883" s="41" t="s">
        <v>83</v>
      </c>
      <c r="AR883" s="37">
        <v>123</v>
      </c>
    </row>
    <row r="884" spans="1:45" ht="16.5">
      <c r="A884" s="105">
        <v>110</v>
      </c>
      <c r="B884" s="111" t="s">
        <v>101</v>
      </c>
      <c r="C884" s="111">
        <v>87.93</v>
      </c>
      <c r="D884" s="111">
        <v>6.13</v>
      </c>
      <c r="E884" s="111">
        <v>1.95</v>
      </c>
      <c r="F884" s="111">
        <v>0.97</v>
      </c>
      <c r="G884" s="111">
        <v>0</v>
      </c>
      <c r="H884" s="111">
        <v>0</v>
      </c>
      <c r="I884" s="111">
        <v>3.02</v>
      </c>
      <c r="J884" s="111">
        <v>0</v>
      </c>
      <c r="K884" s="111">
        <v>0</v>
      </c>
      <c r="L884" s="111">
        <v>0</v>
      </c>
      <c r="M884" s="74" t="str">
        <f t="array" ref="M884">_xlfn.TEXTJOIN("-", TRUE, IF(C884:L884&gt;0, $C$2:$L$2, ""))</f>
        <v xml:space="preserve"> Ti-Al-Zr-Mo-Nb</v>
      </c>
      <c r="N884" s="90">
        <f t="shared" si="26"/>
        <v>873</v>
      </c>
      <c r="O884" s="91">
        <f t="shared" si="27"/>
        <v>5</v>
      </c>
      <c r="P884" s="111">
        <v>1</v>
      </c>
      <c r="Q884" s="111">
        <v>2</v>
      </c>
      <c r="R884" s="109">
        <v>940</v>
      </c>
      <c r="S884" s="111">
        <v>80</v>
      </c>
      <c r="T884" s="109">
        <v>900</v>
      </c>
      <c r="U884" s="109">
        <v>1.5</v>
      </c>
      <c r="V884" s="112">
        <v>2</v>
      </c>
      <c r="W884" s="109">
        <v>0</v>
      </c>
      <c r="X884" s="109">
        <v>0</v>
      </c>
      <c r="Y884" s="113">
        <v>0</v>
      </c>
      <c r="Z884" s="18" t="s">
        <v>102</v>
      </c>
      <c r="AA884" s="18" t="s">
        <v>102</v>
      </c>
      <c r="AB884" s="111">
        <v>931.90700000000004</v>
      </c>
      <c r="AC884" s="111">
        <v>782.3</v>
      </c>
      <c r="AD884" s="111">
        <v>14.5983</v>
      </c>
      <c r="AE884" s="18" t="s">
        <v>101</v>
      </c>
      <c r="AF884" s="18" t="s">
        <v>102</v>
      </c>
      <c r="AG884" s="18" t="s">
        <v>102</v>
      </c>
      <c r="AH884" s="18" t="s">
        <v>102</v>
      </c>
      <c r="AI884" s="18" t="s">
        <v>102</v>
      </c>
      <c r="AJ884" s="18" t="s">
        <v>102</v>
      </c>
      <c r="AK884" s="18" t="s">
        <v>102</v>
      </c>
      <c r="AL884" s="18" t="s">
        <v>102</v>
      </c>
      <c r="AM884" s="19"/>
      <c r="AN884" s="20" t="s">
        <v>101</v>
      </c>
      <c r="AO884" s="20" t="s">
        <v>103</v>
      </c>
      <c r="AP884" s="109">
        <v>110</v>
      </c>
      <c r="AQ884" s="110" t="s">
        <v>100</v>
      </c>
      <c r="AR884" s="105">
        <v>110</v>
      </c>
    </row>
    <row r="885" spans="1:45" ht="16.5">
      <c r="A885" s="105">
        <v>111</v>
      </c>
      <c r="B885" s="111" t="s">
        <v>101</v>
      </c>
      <c r="C885" s="111">
        <v>87.93</v>
      </c>
      <c r="D885" s="111">
        <v>6.13</v>
      </c>
      <c r="E885" s="111">
        <v>1.95</v>
      </c>
      <c r="F885" s="111">
        <v>0.97</v>
      </c>
      <c r="G885" s="111">
        <v>0</v>
      </c>
      <c r="H885" s="111">
        <v>0</v>
      </c>
      <c r="I885" s="111">
        <v>3.02</v>
      </c>
      <c r="J885" s="111">
        <v>0</v>
      </c>
      <c r="K885" s="111">
        <v>0</v>
      </c>
      <c r="L885" s="111">
        <v>0</v>
      </c>
      <c r="M885" s="74" t="str">
        <f t="array" ref="M885">_xlfn.TEXTJOIN("-", TRUE, IF(C885:L885&gt;0, $C$2:$L$2, ""))</f>
        <v xml:space="preserve"> Ti-Al-Zr-Mo-Nb</v>
      </c>
      <c r="N885" s="90">
        <f t="shared" si="26"/>
        <v>873</v>
      </c>
      <c r="O885" s="91">
        <f t="shared" si="27"/>
        <v>5</v>
      </c>
      <c r="P885" s="111">
        <v>1</v>
      </c>
      <c r="Q885" s="111">
        <v>2</v>
      </c>
      <c r="R885" s="109">
        <v>940</v>
      </c>
      <c r="S885" s="20">
        <v>70</v>
      </c>
      <c r="T885" s="109">
        <v>900</v>
      </c>
      <c r="U885" s="109">
        <v>1.5</v>
      </c>
      <c r="V885" s="112">
        <v>2</v>
      </c>
      <c r="W885" s="109">
        <v>0</v>
      </c>
      <c r="X885" s="109">
        <v>0</v>
      </c>
      <c r="Y885" s="113">
        <v>0</v>
      </c>
      <c r="Z885" s="18" t="s">
        <v>102</v>
      </c>
      <c r="AA885" s="18" t="s">
        <v>102</v>
      </c>
      <c r="AB885" s="111">
        <v>901.572</v>
      </c>
      <c r="AC885" s="111">
        <v>783.63800000000003</v>
      </c>
      <c r="AD885" s="111">
        <v>18.001799999999999</v>
      </c>
      <c r="AE885" s="18" t="s">
        <v>101</v>
      </c>
      <c r="AF885" s="18" t="s">
        <v>102</v>
      </c>
      <c r="AG885" s="18" t="s">
        <v>102</v>
      </c>
      <c r="AH885" s="18" t="s">
        <v>102</v>
      </c>
      <c r="AI885" s="18" t="s">
        <v>102</v>
      </c>
      <c r="AJ885" s="18" t="s">
        <v>102</v>
      </c>
      <c r="AK885" s="18" t="s">
        <v>102</v>
      </c>
      <c r="AL885" s="18" t="s">
        <v>102</v>
      </c>
      <c r="AM885" s="19"/>
      <c r="AN885" s="20" t="s">
        <v>101</v>
      </c>
      <c r="AO885" s="20" t="s">
        <v>103</v>
      </c>
      <c r="AP885" s="109">
        <v>111</v>
      </c>
      <c r="AQ885" s="110" t="s">
        <v>100</v>
      </c>
      <c r="AR885" s="105">
        <v>111</v>
      </c>
      <c r="AS885" s="12"/>
    </row>
    <row r="886" spans="1:45" ht="16.5">
      <c r="A886" s="105">
        <v>112</v>
      </c>
      <c r="B886" s="111" t="s">
        <v>101</v>
      </c>
      <c r="C886" s="111">
        <v>87.93</v>
      </c>
      <c r="D886" s="111">
        <v>6.13</v>
      </c>
      <c r="E886" s="111">
        <v>1.95</v>
      </c>
      <c r="F886" s="111">
        <v>0.97</v>
      </c>
      <c r="G886" s="111">
        <v>0</v>
      </c>
      <c r="H886" s="111">
        <v>0</v>
      </c>
      <c r="I886" s="111">
        <v>3.02</v>
      </c>
      <c r="J886" s="111">
        <v>0</v>
      </c>
      <c r="K886" s="111">
        <v>0</v>
      </c>
      <c r="L886" s="111">
        <v>0</v>
      </c>
      <c r="M886" s="74" t="str">
        <f t="array" ref="M886">_xlfn.TEXTJOIN("-", TRUE, IF(C886:L886&gt;0, $C$2:$L$2, ""))</f>
        <v xml:space="preserve"> Ti-Al-Zr-Mo-Nb</v>
      </c>
      <c r="N886" s="90">
        <f t="shared" si="26"/>
        <v>873</v>
      </c>
      <c r="O886" s="91">
        <f t="shared" si="27"/>
        <v>5</v>
      </c>
      <c r="P886" s="111">
        <v>1</v>
      </c>
      <c r="Q886" s="111">
        <v>2</v>
      </c>
      <c r="R886" s="109">
        <v>940</v>
      </c>
      <c r="S886" s="20">
        <v>70</v>
      </c>
      <c r="T886" s="109">
        <v>800</v>
      </c>
      <c r="U886" s="109">
        <v>1.5</v>
      </c>
      <c r="V886" s="112">
        <v>2</v>
      </c>
      <c r="W886" s="109">
        <v>0</v>
      </c>
      <c r="X886" s="109">
        <v>0</v>
      </c>
      <c r="Y886" s="113">
        <v>0</v>
      </c>
      <c r="Z886" s="18" t="s">
        <v>102</v>
      </c>
      <c r="AA886" s="18" t="s">
        <v>102</v>
      </c>
      <c r="AB886" s="111">
        <v>919.58799999999997</v>
      </c>
      <c r="AC886" s="111">
        <v>795.87599999999998</v>
      </c>
      <c r="AD886" s="111">
        <v>15.9739</v>
      </c>
      <c r="AE886" s="18" t="s">
        <v>101</v>
      </c>
      <c r="AF886" s="18" t="s">
        <v>102</v>
      </c>
      <c r="AG886" s="18" t="s">
        <v>102</v>
      </c>
      <c r="AH886" s="18" t="s">
        <v>102</v>
      </c>
      <c r="AI886" s="18" t="s">
        <v>102</v>
      </c>
      <c r="AJ886" s="18" t="s">
        <v>102</v>
      </c>
      <c r="AK886" s="18" t="s">
        <v>102</v>
      </c>
      <c r="AL886" s="18" t="s">
        <v>102</v>
      </c>
      <c r="AM886" s="19"/>
      <c r="AN886" s="20" t="s">
        <v>101</v>
      </c>
      <c r="AO886" s="20" t="s">
        <v>103</v>
      </c>
      <c r="AP886" s="109">
        <v>112</v>
      </c>
      <c r="AQ886" s="110" t="s">
        <v>100</v>
      </c>
      <c r="AR886" s="105">
        <v>112</v>
      </c>
      <c r="AS886" s="12"/>
    </row>
    <row r="887" spans="1:45" ht="16.5">
      <c r="A887" s="105">
        <v>113</v>
      </c>
      <c r="B887" s="111" t="s">
        <v>101</v>
      </c>
      <c r="C887" s="111">
        <v>87.93</v>
      </c>
      <c r="D887" s="111">
        <v>6.13</v>
      </c>
      <c r="E887" s="111">
        <v>1.95</v>
      </c>
      <c r="F887" s="111">
        <v>0.97</v>
      </c>
      <c r="G887" s="111">
        <v>0</v>
      </c>
      <c r="H887" s="111">
        <v>0</v>
      </c>
      <c r="I887" s="111">
        <v>3.02</v>
      </c>
      <c r="J887" s="111">
        <v>0</v>
      </c>
      <c r="K887" s="111">
        <v>0</v>
      </c>
      <c r="L887" s="111">
        <v>0</v>
      </c>
      <c r="M887" s="74" t="str">
        <f t="array" ref="M887">_xlfn.TEXTJOIN("-", TRUE, IF(C887:L887&gt;0, $C$2:$L$2, ""))</f>
        <v xml:space="preserve"> Ti-Al-Zr-Mo-Nb</v>
      </c>
      <c r="N887" s="90">
        <f t="shared" si="26"/>
        <v>873</v>
      </c>
      <c r="O887" s="91">
        <f t="shared" si="27"/>
        <v>5</v>
      </c>
      <c r="P887" s="111">
        <v>1</v>
      </c>
      <c r="Q887" s="111">
        <v>2</v>
      </c>
      <c r="R887" s="109">
        <v>940</v>
      </c>
      <c r="S887" s="20">
        <v>70</v>
      </c>
      <c r="T887" s="109">
        <v>960</v>
      </c>
      <c r="U887" s="109">
        <v>1.5</v>
      </c>
      <c r="V887" s="112">
        <v>2</v>
      </c>
      <c r="W887" s="109">
        <v>0</v>
      </c>
      <c r="X887" s="109">
        <v>0</v>
      </c>
      <c r="Y887" s="113">
        <v>0</v>
      </c>
      <c r="Z887" s="18" t="s">
        <v>102</v>
      </c>
      <c r="AA887" s="18" t="s">
        <v>102</v>
      </c>
      <c r="AB887" s="111">
        <v>880.41200000000003</v>
      </c>
      <c r="AC887" s="111">
        <v>744.33</v>
      </c>
      <c r="AD887" s="111">
        <v>17.083200000000001</v>
      </c>
      <c r="AE887" s="18" t="s">
        <v>101</v>
      </c>
      <c r="AF887" s="18" t="s">
        <v>102</v>
      </c>
      <c r="AG887" s="18" t="s">
        <v>102</v>
      </c>
      <c r="AH887" s="18" t="s">
        <v>102</v>
      </c>
      <c r="AI887" s="18" t="s">
        <v>102</v>
      </c>
      <c r="AJ887" s="18" t="s">
        <v>102</v>
      </c>
      <c r="AK887" s="18" t="s">
        <v>102</v>
      </c>
      <c r="AL887" s="18" t="s">
        <v>102</v>
      </c>
      <c r="AM887" s="19"/>
      <c r="AN887" s="20" t="s">
        <v>101</v>
      </c>
      <c r="AO887" s="20" t="s">
        <v>103</v>
      </c>
      <c r="AP887" s="109">
        <v>113</v>
      </c>
      <c r="AQ887" s="110" t="s">
        <v>100</v>
      </c>
      <c r="AR887" s="105">
        <v>113</v>
      </c>
      <c r="AS887" s="12"/>
    </row>
    <row r="888" spans="1:45" ht="16.5">
      <c r="A888" s="105">
        <v>114</v>
      </c>
      <c r="B888" s="111" t="s">
        <v>101</v>
      </c>
      <c r="C888" s="111">
        <v>87.93</v>
      </c>
      <c r="D888" s="111">
        <v>6.13</v>
      </c>
      <c r="E888" s="111">
        <v>1.95</v>
      </c>
      <c r="F888" s="111">
        <v>0.97</v>
      </c>
      <c r="G888" s="111">
        <v>0</v>
      </c>
      <c r="H888" s="111">
        <v>0</v>
      </c>
      <c r="I888" s="111">
        <v>3.02</v>
      </c>
      <c r="J888" s="111">
        <v>0</v>
      </c>
      <c r="K888" s="111">
        <v>0</v>
      </c>
      <c r="L888" s="111">
        <v>0</v>
      </c>
      <c r="M888" s="74" t="str">
        <f t="array" ref="M888">_xlfn.TEXTJOIN("-", TRUE, IF(C888:L888&gt;0, $C$2:$L$2, ""))</f>
        <v xml:space="preserve"> Ti-Al-Zr-Mo-Nb</v>
      </c>
      <c r="N888" s="90">
        <f t="shared" si="26"/>
        <v>873</v>
      </c>
      <c r="O888" s="91">
        <f t="shared" si="27"/>
        <v>5</v>
      </c>
      <c r="P888" s="111">
        <v>1</v>
      </c>
      <c r="Q888" s="111">
        <v>2</v>
      </c>
      <c r="R888" s="109">
        <v>940</v>
      </c>
      <c r="S888" s="20">
        <v>70</v>
      </c>
      <c r="T888" s="109">
        <v>1020</v>
      </c>
      <c r="U888" s="109">
        <v>1.5</v>
      </c>
      <c r="V888" s="112">
        <v>2</v>
      </c>
      <c r="W888" s="109">
        <v>0</v>
      </c>
      <c r="X888" s="109">
        <v>0</v>
      </c>
      <c r="Y888" s="113">
        <v>0</v>
      </c>
      <c r="Z888" s="18" t="s">
        <v>102</v>
      </c>
      <c r="AA888" s="18" t="s">
        <v>102</v>
      </c>
      <c r="AB888" s="111">
        <v>880.41200000000003</v>
      </c>
      <c r="AC888" s="111">
        <v>777.32</v>
      </c>
      <c r="AD888" s="111">
        <v>10.9894</v>
      </c>
      <c r="AE888" s="18" t="s">
        <v>101</v>
      </c>
      <c r="AF888" s="18" t="s">
        <v>102</v>
      </c>
      <c r="AG888" s="18" t="s">
        <v>102</v>
      </c>
      <c r="AH888" s="18" t="s">
        <v>102</v>
      </c>
      <c r="AI888" s="18" t="s">
        <v>102</v>
      </c>
      <c r="AJ888" s="18" t="s">
        <v>102</v>
      </c>
      <c r="AK888" s="18" t="s">
        <v>102</v>
      </c>
      <c r="AL888" s="18" t="s">
        <v>102</v>
      </c>
      <c r="AM888" s="19"/>
      <c r="AN888" s="20" t="s">
        <v>101</v>
      </c>
      <c r="AO888" s="20" t="s">
        <v>103</v>
      </c>
      <c r="AP888" s="109">
        <v>114</v>
      </c>
      <c r="AQ888" s="110" t="s">
        <v>100</v>
      </c>
      <c r="AR888" s="105">
        <v>114</v>
      </c>
      <c r="AS888" s="12"/>
    </row>
    <row r="889" spans="1:45" ht="16.5">
      <c r="A889" s="105">
        <v>116</v>
      </c>
      <c r="B889" s="111" t="s">
        <v>101</v>
      </c>
      <c r="C889" s="111">
        <v>87.93</v>
      </c>
      <c r="D889" s="111">
        <v>6.13</v>
      </c>
      <c r="E889" s="111">
        <v>1.95</v>
      </c>
      <c r="F889" s="111">
        <v>0.97</v>
      </c>
      <c r="G889" s="111">
        <v>0</v>
      </c>
      <c r="H889" s="111">
        <v>0</v>
      </c>
      <c r="I889" s="111">
        <v>3.02</v>
      </c>
      <c r="J889" s="111">
        <v>0</v>
      </c>
      <c r="K889" s="111">
        <v>0</v>
      </c>
      <c r="L889" s="111">
        <v>0</v>
      </c>
      <c r="M889" s="74" t="str">
        <f t="array" ref="M889">_xlfn.TEXTJOIN("-", TRUE, IF(C889:L889&gt;0, $C$2:$L$2, ""))</f>
        <v xml:space="preserve"> Ti-Al-Zr-Mo-Nb</v>
      </c>
      <c r="N889" s="90">
        <f t="shared" si="26"/>
        <v>873</v>
      </c>
      <c r="O889" s="91">
        <f t="shared" si="27"/>
        <v>5</v>
      </c>
      <c r="P889" s="111">
        <v>1</v>
      </c>
      <c r="Q889" s="111">
        <v>2</v>
      </c>
      <c r="R889" s="109">
        <v>940</v>
      </c>
      <c r="S889" s="20">
        <v>70</v>
      </c>
      <c r="T889" s="109">
        <v>970</v>
      </c>
      <c r="U889" s="109">
        <v>1.5</v>
      </c>
      <c r="V889" s="112">
        <v>2</v>
      </c>
      <c r="W889" s="109">
        <v>0</v>
      </c>
      <c r="X889" s="109">
        <v>0</v>
      </c>
      <c r="Y889" s="113">
        <v>0</v>
      </c>
      <c r="Z889" s="18" t="s">
        <v>102</v>
      </c>
      <c r="AA889" s="18" t="s">
        <v>102</v>
      </c>
      <c r="AB889" s="111">
        <v>903.09299999999996</v>
      </c>
      <c r="AC889" s="111">
        <v>793.81399999999996</v>
      </c>
      <c r="AD889" s="111">
        <v>18.148900000000001</v>
      </c>
      <c r="AE889" s="18" t="s">
        <v>101</v>
      </c>
      <c r="AF889" s="18" t="s">
        <v>102</v>
      </c>
      <c r="AG889" s="18" t="s">
        <v>102</v>
      </c>
      <c r="AH889" s="18" t="s">
        <v>102</v>
      </c>
      <c r="AI889" s="18" t="s">
        <v>102</v>
      </c>
      <c r="AJ889" s="18" t="s">
        <v>102</v>
      </c>
      <c r="AK889" s="18" t="s">
        <v>102</v>
      </c>
      <c r="AL889" s="18" t="s">
        <v>102</v>
      </c>
      <c r="AM889" s="19"/>
      <c r="AN889" s="20" t="s">
        <v>101</v>
      </c>
      <c r="AO889" s="20" t="s">
        <v>103</v>
      </c>
      <c r="AP889" s="109">
        <v>116</v>
      </c>
      <c r="AQ889" s="110" t="s">
        <v>100</v>
      </c>
      <c r="AR889" s="105">
        <v>116</v>
      </c>
      <c r="AS889" s="12"/>
    </row>
    <row r="890" spans="1:45" ht="16.5">
      <c r="A890" s="105">
        <v>115</v>
      </c>
      <c r="B890" s="111" t="s">
        <v>101</v>
      </c>
      <c r="C890" s="111">
        <v>87.93</v>
      </c>
      <c r="D890" s="111">
        <v>6.13</v>
      </c>
      <c r="E890" s="111">
        <v>1.95</v>
      </c>
      <c r="F890" s="111">
        <v>0.97</v>
      </c>
      <c r="G890" s="111">
        <v>0</v>
      </c>
      <c r="H890" s="111">
        <v>0</v>
      </c>
      <c r="I890" s="111">
        <v>3.02</v>
      </c>
      <c r="J890" s="111">
        <v>0</v>
      </c>
      <c r="K890" s="111">
        <v>0</v>
      </c>
      <c r="L890" s="111">
        <v>0</v>
      </c>
      <c r="M890" s="74" t="str">
        <f t="array" ref="M890">_xlfn.TEXTJOIN("-", TRUE, IF(C890:L890&gt;0, $C$2:$L$2, ""))</f>
        <v xml:space="preserve"> Ti-Al-Zr-Mo-Nb</v>
      </c>
      <c r="N890" s="90">
        <f t="shared" si="26"/>
        <v>873</v>
      </c>
      <c r="O890" s="91">
        <f t="shared" si="27"/>
        <v>5</v>
      </c>
      <c r="P890" s="111">
        <v>1</v>
      </c>
      <c r="Q890" s="111">
        <v>2</v>
      </c>
      <c r="R890" s="109">
        <v>940</v>
      </c>
      <c r="S890" s="20">
        <v>70</v>
      </c>
      <c r="T890" s="109">
        <v>970</v>
      </c>
      <c r="U890" s="109">
        <v>1.5</v>
      </c>
      <c r="V890" s="112">
        <v>1</v>
      </c>
      <c r="W890" s="109">
        <v>600</v>
      </c>
      <c r="X890" s="109">
        <v>4</v>
      </c>
      <c r="Y890" s="113">
        <v>2</v>
      </c>
      <c r="Z890" s="18" t="s">
        <v>102</v>
      </c>
      <c r="AA890" s="18" t="s">
        <v>102</v>
      </c>
      <c r="AB890" s="111">
        <v>983.505</v>
      </c>
      <c r="AC890" s="111">
        <v>859.79399999999998</v>
      </c>
      <c r="AD890" s="111">
        <v>16.833200000000001</v>
      </c>
      <c r="AE890" s="18" t="s">
        <v>101</v>
      </c>
      <c r="AF890" s="18" t="s">
        <v>102</v>
      </c>
      <c r="AG890" s="18" t="s">
        <v>102</v>
      </c>
      <c r="AH890" s="18" t="s">
        <v>102</v>
      </c>
      <c r="AI890" s="18" t="s">
        <v>102</v>
      </c>
      <c r="AJ890" s="18" t="s">
        <v>102</v>
      </c>
      <c r="AK890" s="18" t="s">
        <v>102</v>
      </c>
      <c r="AL890" s="18" t="s">
        <v>102</v>
      </c>
      <c r="AM890" s="19"/>
      <c r="AN890" s="20" t="s">
        <v>101</v>
      </c>
      <c r="AO890" s="20" t="s">
        <v>103</v>
      </c>
      <c r="AP890" s="109">
        <v>115</v>
      </c>
      <c r="AQ890" s="110" t="s">
        <v>100</v>
      </c>
      <c r="AR890" s="105">
        <v>115</v>
      </c>
      <c r="AS890" s="12"/>
    </row>
    <row r="891" spans="1:45" ht="16.5">
      <c r="A891" s="105">
        <v>117</v>
      </c>
      <c r="B891" s="111" t="s">
        <v>101</v>
      </c>
      <c r="C891" s="111">
        <v>87.93</v>
      </c>
      <c r="D891" s="111">
        <v>6.13</v>
      </c>
      <c r="E891" s="111">
        <v>1.95</v>
      </c>
      <c r="F891" s="111">
        <v>0.97</v>
      </c>
      <c r="G891" s="111">
        <v>0</v>
      </c>
      <c r="H891" s="111">
        <v>0</v>
      </c>
      <c r="I891" s="111">
        <v>3.02</v>
      </c>
      <c r="J891" s="111">
        <v>0</v>
      </c>
      <c r="K891" s="111">
        <v>0</v>
      </c>
      <c r="L891" s="111">
        <v>0</v>
      </c>
      <c r="M891" s="74" t="str">
        <f t="array" ref="M891">_xlfn.TEXTJOIN("-", TRUE, IF(C891:L891&gt;0, $C$2:$L$2, ""))</f>
        <v xml:space="preserve"> Ti-Al-Zr-Mo-Nb</v>
      </c>
      <c r="N891" s="90">
        <f t="shared" si="26"/>
        <v>873</v>
      </c>
      <c r="O891" s="91">
        <f t="shared" si="27"/>
        <v>5</v>
      </c>
      <c r="P891" s="111">
        <v>1</v>
      </c>
      <c r="Q891" s="111">
        <v>2</v>
      </c>
      <c r="R891" s="109">
        <v>940</v>
      </c>
      <c r="S891" s="20">
        <v>60</v>
      </c>
      <c r="T891" s="109">
        <v>900</v>
      </c>
      <c r="U891" s="109">
        <v>1.5</v>
      </c>
      <c r="V891" s="112">
        <v>2</v>
      </c>
      <c r="W891" s="109">
        <v>0</v>
      </c>
      <c r="X891" s="109">
        <v>0</v>
      </c>
      <c r="Y891" s="113">
        <v>0</v>
      </c>
      <c r="Z891" s="18" t="s">
        <v>102</v>
      </c>
      <c r="AA891" s="18" t="s">
        <v>102</v>
      </c>
      <c r="AB891" s="111">
        <v>899.50099999999998</v>
      </c>
      <c r="AC891" s="111">
        <v>777.18299999999999</v>
      </c>
      <c r="AD891" s="111">
        <v>17.545300000000001</v>
      </c>
      <c r="AE891" s="18" t="s">
        <v>101</v>
      </c>
      <c r="AF891" s="18" t="s">
        <v>102</v>
      </c>
      <c r="AG891" s="18" t="s">
        <v>102</v>
      </c>
      <c r="AH891" s="18" t="s">
        <v>102</v>
      </c>
      <c r="AI891" s="18" t="s">
        <v>102</v>
      </c>
      <c r="AJ891" s="18" t="s">
        <v>102</v>
      </c>
      <c r="AK891" s="18" t="s">
        <v>102</v>
      </c>
      <c r="AL891" s="18" t="s">
        <v>102</v>
      </c>
      <c r="AM891" s="19"/>
      <c r="AN891" s="20" t="s">
        <v>101</v>
      </c>
      <c r="AO891" s="20" t="s">
        <v>103</v>
      </c>
      <c r="AP891" s="109">
        <v>117</v>
      </c>
      <c r="AQ891" s="110" t="s">
        <v>100</v>
      </c>
      <c r="AR891" s="105">
        <v>117</v>
      </c>
      <c r="AS891" s="12"/>
    </row>
    <row r="892" spans="1:45" ht="16.5">
      <c r="A892" s="105">
        <v>118</v>
      </c>
      <c r="B892" s="111" t="s">
        <v>101</v>
      </c>
      <c r="C892" s="111">
        <v>87.93</v>
      </c>
      <c r="D892" s="111">
        <v>6.13</v>
      </c>
      <c r="E892" s="111">
        <v>1.95</v>
      </c>
      <c r="F892" s="111">
        <v>0.97</v>
      </c>
      <c r="G892" s="111">
        <v>0</v>
      </c>
      <c r="H892" s="111">
        <v>0</v>
      </c>
      <c r="I892" s="111">
        <v>3.02</v>
      </c>
      <c r="J892" s="111">
        <v>0</v>
      </c>
      <c r="K892" s="111">
        <v>0</v>
      </c>
      <c r="L892" s="111">
        <v>0</v>
      </c>
      <c r="M892" s="74" t="str">
        <f t="array" ref="M892">_xlfn.TEXTJOIN("-", TRUE, IF(C892:L892&gt;0, $C$2:$L$2, ""))</f>
        <v xml:space="preserve"> Ti-Al-Zr-Mo-Nb</v>
      </c>
      <c r="N892" s="90">
        <f t="shared" si="26"/>
        <v>873</v>
      </c>
      <c r="O892" s="91">
        <f t="shared" si="27"/>
        <v>5</v>
      </c>
      <c r="P892" s="111">
        <v>1</v>
      </c>
      <c r="Q892" s="111">
        <v>2</v>
      </c>
      <c r="R892" s="109">
        <v>940</v>
      </c>
      <c r="S892" s="20">
        <v>50</v>
      </c>
      <c r="T892" s="109">
        <v>900</v>
      </c>
      <c r="U892" s="109">
        <v>1.5</v>
      </c>
      <c r="V892" s="112">
        <v>2</v>
      </c>
      <c r="W892" s="109">
        <v>0</v>
      </c>
      <c r="X892" s="109">
        <v>0</v>
      </c>
      <c r="Y892" s="113">
        <v>0</v>
      </c>
      <c r="Z892" s="18" t="s">
        <v>102</v>
      </c>
      <c r="AA892" s="18" t="s">
        <v>102</v>
      </c>
      <c r="AB892" s="111">
        <v>887.19500000000005</v>
      </c>
      <c r="AC892" s="111">
        <v>770.72400000000005</v>
      </c>
      <c r="AD892" s="111">
        <v>16.174199999999999</v>
      </c>
      <c r="AE892" s="18" t="s">
        <v>101</v>
      </c>
      <c r="AF892" s="18" t="s">
        <v>102</v>
      </c>
      <c r="AG892" s="18" t="s">
        <v>102</v>
      </c>
      <c r="AH892" s="18" t="s">
        <v>102</v>
      </c>
      <c r="AI892" s="18" t="s">
        <v>102</v>
      </c>
      <c r="AJ892" s="18" t="s">
        <v>102</v>
      </c>
      <c r="AK892" s="18" t="s">
        <v>102</v>
      </c>
      <c r="AL892" s="18" t="s">
        <v>102</v>
      </c>
      <c r="AM892" s="19"/>
      <c r="AN892" s="20" t="s">
        <v>101</v>
      </c>
      <c r="AO892" s="20" t="s">
        <v>103</v>
      </c>
      <c r="AP892" s="109">
        <v>118</v>
      </c>
      <c r="AQ892" s="110" t="s">
        <v>100</v>
      </c>
      <c r="AR892" s="105">
        <v>118</v>
      </c>
      <c r="AS892" s="12"/>
    </row>
    <row r="893" spans="1:45" ht="16.5">
      <c r="A893" s="105">
        <v>119</v>
      </c>
      <c r="B893" s="111" t="s">
        <v>101</v>
      </c>
      <c r="C893" s="111">
        <v>87.3</v>
      </c>
      <c r="D893" s="111">
        <v>6.25</v>
      </c>
      <c r="E893" s="111">
        <v>2.0499999999999998</v>
      </c>
      <c r="F893" s="111">
        <v>1.0900000000000001</v>
      </c>
      <c r="G893" s="111">
        <v>0</v>
      </c>
      <c r="H893" s="111">
        <v>0</v>
      </c>
      <c r="I893" s="111">
        <v>3.2</v>
      </c>
      <c r="J893" s="111">
        <v>0</v>
      </c>
      <c r="K893" s="111">
        <v>0</v>
      </c>
      <c r="L893" s="111">
        <v>0</v>
      </c>
      <c r="M893" s="74" t="str">
        <f t="array" ref="M893">_xlfn.TEXTJOIN("-", TRUE, IF(C893:L893&gt;0, $C$2:$L$2, ""))</f>
        <v xml:space="preserve"> Ti-Al-Zr-Mo-Nb</v>
      </c>
      <c r="N893" s="90">
        <f t="shared" si="26"/>
        <v>873</v>
      </c>
      <c r="O893" s="91">
        <f t="shared" si="27"/>
        <v>5</v>
      </c>
      <c r="P893" s="111">
        <v>1</v>
      </c>
      <c r="Q893" s="111">
        <v>0</v>
      </c>
      <c r="R893" s="111">
        <v>0</v>
      </c>
      <c r="S893" s="111">
        <v>0</v>
      </c>
      <c r="T893" s="109">
        <v>970</v>
      </c>
      <c r="U893" s="109">
        <v>2</v>
      </c>
      <c r="V893" s="112">
        <v>2</v>
      </c>
      <c r="W893" s="109">
        <v>750</v>
      </c>
      <c r="X893" s="109">
        <v>2</v>
      </c>
      <c r="Y893" s="113">
        <v>2</v>
      </c>
      <c r="Z893" s="18" t="s">
        <v>102</v>
      </c>
      <c r="AA893" s="18" t="s">
        <v>102</v>
      </c>
      <c r="AB893" s="111">
        <v>879.67525000000001</v>
      </c>
      <c r="AC893" s="111">
        <v>787.51649999999995</v>
      </c>
      <c r="AD893" s="111">
        <v>16.701025000000001</v>
      </c>
      <c r="AE893" s="18" t="s">
        <v>101</v>
      </c>
      <c r="AF893" s="18" t="s">
        <v>102</v>
      </c>
      <c r="AG893" s="18" t="s">
        <v>102</v>
      </c>
      <c r="AH893" s="18" t="s">
        <v>102</v>
      </c>
      <c r="AI893" s="18" t="s">
        <v>102</v>
      </c>
      <c r="AJ893" s="18" t="s">
        <v>102</v>
      </c>
      <c r="AK893" s="18" t="s">
        <v>102</v>
      </c>
      <c r="AL893" s="18" t="s">
        <v>102</v>
      </c>
      <c r="AM893" s="19"/>
      <c r="AN893" s="20" t="s">
        <v>101</v>
      </c>
      <c r="AO893" s="20" t="s">
        <v>103</v>
      </c>
      <c r="AP893" s="109">
        <v>119</v>
      </c>
      <c r="AQ893" s="110" t="s">
        <v>100</v>
      </c>
      <c r="AR893" s="105">
        <v>119</v>
      </c>
    </row>
    <row r="894" spans="1:45" ht="16.5">
      <c r="A894" s="105">
        <v>121</v>
      </c>
      <c r="B894" s="111" t="s">
        <v>101</v>
      </c>
      <c r="C894" s="111">
        <v>86.629000000000005</v>
      </c>
      <c r="D894" s="111">
        <v>6.75</v>
      </c>
      <c r="E894" s="111">
        <v>2.11</v>
      </c>
      <c r="F894" s="111">
        <v>1.04</v>
      </c>
      <c r="G894" s="111">
        <v>0</v>
      </c>
      <c r="H894" s="111">
        <v>0</v>
      </c>
      <c r="I894" s="111">
        <v>3.1</v>
      </c>
      <c r="J894" s="111">
        <v>0</v>
      </c>
      <c r="K894" s="111">
        <v>0</v>
      </c>
      <c r="L894" s="111">
        <v>0</v>
      </c>
      <c r="M894" s="74" t="str">
        <f t="array" ref="M894">_xlfn.TEXTJOIN("-", TRUE, IF(C894:L894&gt;0, $C$2:$L$2, ""))</f>
        <v xml:space="preserve"> Ti-Al-Zr-Mo-Nb</v>
      </c>
      <c r="N894" s="90">
        <f t="shared" si="26"/>
        <v>873</v>
      </c>
      <c r="O894" s="91">
        <f t="shared" si="27"/>
        <v>5</v>
      </c>
      <c r="P894" s="111">
        <v>1</v>
      </c>
      <c r="Q894" s="111">
        <v>0</v>
      </c>
      <c r="R894" s="111">
        <v>0</v>
      </c>
      <c r="S894" s="111">
        <v>0</v>
      </c>
      <c r="T894" s="109">
        <v>965</v>
      </c>
      <c r="U894" s="109">
        <v>1</v>
      </c>
      <c r="V894" s="112">
        <v>1</v>
      </c>
      <c r="W894" s="109">
        <v>0</v>
      </c>
      <c r="X894" s="109">
        <v>0</v>
      </c>
      <c r="Y894" s="113">
        <v>0</v>
      </c>
      <c r="Z894" s="18" t="s">
        <v>102</v>
      </c>
      <c r="AA894" s="18" t="s">
        <v>102</v>
      </c>
      <c r="AB894" s="111">
        <v>989</v>
      </c>
      <c r="AC894" s="111">
        <v>840</v>
      </c>
      <c r="AD894" s="111">
        <v>13.4</v>
      </c>
      <c r="AE894" s="18" t="s">
        <v>101</v>
      </c>
      <c r="AF894" s="18" t="s">
        <v>102</v>
      </c>
      <c r="AG894" s="18" t="s">
        <v>102</v>
      </c>
      <c r="AH894" s="18" t="s">
        <v>102</v>
      </c>
      <c r="AI894" s="18" t="s">
        <v>102</v>
      </c>
      <c r="AJ894" s="18" t="s">
        <v>102</v>
      </c>
      <c r="AK894" s="18" t="s">
        <v>102</v>
      </c>
      <c r="AL894" s="18" t="s">
        <v>102</v>
      </c>
      <c r="AM894" s="19"/>
      <c r="AN894" s="20" t="s">
        <v>101</v>
      </c>
      <c r="AO894" s="20" t="s">
        <v>103</v>
      </c>
      <c r="AP894" s="109">
        <v>121</v>
      </c>
      <c r="AQ894" s="110" t="s">
        <v>100</v>
      </c>
      <c r="AR894" s="105">
        <v>121</v>
      </c>
    </row>
    <row r="895" spans="1:45" ht="16.5">
      <c r="A895" s="105">
        <v>130</v>
      </c>
      <c r="B895" s="111" t="s">
        <v>101</v>
      </c>
      <c r="C895" s="111">
        <v>86.629000000000005</v>
      </c>
      <c r="D895" s="111">
        <v>6.75</v>
      </c>
      <c r="E895" s="111">
        <v>2.11</v>
      </c>
      <c r="F895" s="111">
        <v>1.04</v>
      </c>
      <c r="G895" s="111">
        <v>0</v>
      </c>
      <c r="H895" s="111">
        <v>0</v>
      </c>
      <c r="I895" s="111">
        <v>3.1</v>
      </c>
      <c r="J895" s="111">
        <v>0</v>
      </c>
      <c r="K895" s="111">
        <v>0</v>
      </c>
      <c r="L895" s="111">
        <v>0</v>
      </c>
      <c r="M895" s="74" t="str">
        <f t="array" ref="M895">_xlfn.TEXTJOIN("-", TRUE, IF(C895:L895&gt;0, $C$2:$L$2, ""))</f>
        <v xml:space="preserve"> Ti-Al-Zr-Mo-Nb</v>
      </c>
      <c r="N895" s="90">
        <f t="shared" si="26"/>
        <v>873</v>
      </c>
      <c r="O895" s="91">
        <f t="shared" si="27"/>
        <v>5</v>
      </c>
      <c r="P895" s="111">
        <v>1</v>
      </c>
      <c r="Q895" s="111">
        <v>0</v>
      </c>
      <c r="R895" s="111">
        <v>0</v>
      </c>
      <c r="S895" s="111">
        <v>0</v>
      </c>
      <c r="T895" s="109">
        <v>965</v>
      </c>
      <c r="U895" s="109">
        <v>1</v>
      </c>
      <c r="V895" s="112">
        <v>1</v>
      </c>
      <c r="W895" s="109">
        <v>900</v>
      </c>
      <c r="X895" s="109">
        <v>1</v>
      </c>
      <c r="Y895" s="113">
        <v>1</v>
      </c>
      <c r="Z895" s="18" t="s">
        <v>102</v>
      </c>
      <c r="AA895" s="18" t="s">
        <v>102</v>
      </c>
      <c r="AB895" s="111">
        <v>903</v>
      </c>
      <c r="AC895" s="111">
        <v>779</v>
      </c>
      <c r="AD895" s="111">
        <v>17.100000000000001</v>
      </c>
      <c r="AE895" s="18" t="s">
        <v>101</v>
      </c>
      <c r="AF895" s="18" t="s">
        <v>102</v>
      </c>
      <c r="AG895" s="18" t="s">
        <v>102</v>
      </c>
      <c r="AH895" s="18" t="s">
        <v>102</v>
      </c>
      <c r="AI895" s="18" t="s">
        <v>102</v>
      </c>
      <c r="AJ895" s="18" t="s">
        <v>102</v>
      </c>
      <c r="AK895" s="18" t="s">
        <v>102</v>
      </c>
      <c r="AL895" s="18" t="s">
        <v>102</v>
      </c>
      <c r="AM895" s="19"/>
      <c r="AN895" s="20" t="s">
        <v>101</v>
      </c>
      <c r="AO895" s="20" t="s">
        <v>103</v>
      </c>
      <c r="AP895" s="109">
        <v>130</v>
      </c>
      <c r="AQ895" s="110" t="s">
        <v>100</v>
      </c>
      <c r="AR895" s="105">
        <v>130</v>
      </c>
    </row>
    <row r="896" spans="1:45" ht="16.5">
      <c r="A896" s="105">
        <v>122</v>
      </c>
      <c r="B896" s="111" t="s">
        <v>101</v>
      </c>
      <c r="C896" s="111">
        <v>86.629000000000005</v>
      </c>
      <c r="D896" s="111">
        <v>6.75</v>
      </c>
      <c r="E896" s="111">
        <v>2.11</v>
      </c>
      <c r="F896" s="111">
        <v>1.04</v>
      </c>
      <c r="G896" s="111">
        <v>0</v>
      </c>
      <c r="H896" s="111">
        <v>0</v>
      </c>
      <c r="I896" s="111">
        <v>3.1</v>
      </c>
      <c r="J896" s="111">
        <v>0</v>
      </c>
      <c r="K896" s="111">
        <v>0</v>
      </c>
      <c r="L896" s="111">
        <v>0</v>
      </c>
      <c r="M896" s="74" t="str">
        <f t="array" ref="M896">_xlfn.TEXTJOIN("-", TRUE, IF(C896:L896&gt;0, $C$2:$L$2, ""))</f>
        <v xml:space="preserve"> Ti-Al-Zr-Mo-Nb</v>
      </c>
      <c r="N896" s="90">
        <f t="shared" si="26"/>
        <v>873</v>
      </c>
      <c r="O896" s="91">
        <f t="shared" si="27"/>
        <v>5</v>
      </c>
      <c r="P896" s="111">
        <v>1</v>
      </c>
      <c r="Q896" s="111">
        <v>0</v>
      </c>
      <c r="R896" s="111">
        <v>0</v>
      </c>
      <c r="S896" s="111">
        <v>0</v>
      </c>
      <c r="T896" s="109">
        <v>980</v>
      </c>
      <c r="U896" s="109">
        <v>1</v>
      </c>
      <c r="V896" s="112">
        <v>1</v>
      </c>
      <c r="W896" s="109">
        <v>0</v>
      </c>
      <c r="X896" s="109">
        <v>0</v>
      </c>
      <c r="Y896" s="113">
        <v>0</v>
      </c>
      <c r="Z896" s="18" t="s">
        <v>102</v>
      </c>
      <c r="AA896" s="18" t="s">
        <v>102</v>
      </c>
      <c r="AB896" s="111">
        <v>990</v>
      </c>
      <c r="AC896" s="111">
        <v>854</v>
      </c>
      <c r="AD896" s="111">
        <v>12.6</v>
      </c>
      <c r="AE896" s="18" t="s">
        <v>101</v>
      </c>
      <c r="AF896" s="18" t="s">
        <v>102</v>
      </c>
      <c r="AG896" s="18" t="s">
        <v>102</v>
      </c>
      <c r="AH896" s="18" t="s">
        <v>102</v>
      </c>
      <c r="AI896" s="18" t="s">
        <v>102</v>
      </c>
      <c r="AJ896" s="18" t="s">
        <v>102</v>
      </c>
      <c r="AK896" s="18" t="s">
        <v>102</v>
      </c>
      <c r="AL896" s="18" t="s">
        <v>102</v>
      </c>
      <c r="AM896" s="19"/>
      <c r="AN896" s="20" t="s">
        <v>101</v>
      </c>
      <c r="AO896" s="20" t="s">
        <v>103</v>
      </c>
      <c r="AP896" s="109">
        <v>122</v>
      </c>
      <c r="AQ896" s="110" t="s">
        <v>100</v>
      </c>
      <c r="AR896" s="105">
        <v>122</v>
      </c>
    </row>
    <row r="897" spans="1:44" ht="16.5">
      <c r="A897" s="105">
        <v>136</v>
      </c>
      <c r="B897" s="111" t="s">
        <v>101</v>
      </c>
      <c r="C897" s="111">
        <v>86.629000000000005</v>
      </c>
      <c r="D897" s="111">
        <v>6.75</v>
      </c>
      <c r="E897" s="111">
        <v>2.11</v>
      </c>
      <c r="F897" s="111">
        <v>1.04</v>
      </c>
      <c r="G897" s="111">
        <v>0</v>
      </c>
      <c r="H897" s="111">
        <v>0</v>
      </c>
      <c r="I897" s="111">
        <v>3.1</v>
      </c>
      <c r="J897" s="111">
        <v>0</v>
      </c>
      <c r="K897" s="111">
        <v>0</v>
      </c>
      <c r="L897" s="111">
        <v>0</v>
      </c>
      <c r="M897" s="74" t="str">
        <f t="array" ref="M897">_xlfn.TEXTJOIN("-", TRUE, IF(C897:L897&gt;0, $C$2:$L$2, ""))</f>
        <v xml:space="preserve"> Ti-Al-Zr-Mo-Nb</v>
      </c>
      <c r="N897" s="90">
        <f t="shared" si="26"/>
        <v>873</v>
      </c>
      <c r="O897" s="91">
        <f t="shared" si="27"/>
        <v>5</v>
      </c>
      <c r="P897" s="111">
        <v>1</v>
      </c>
      <c r="Q897" s="111">
        <v>0</v>
      </c>
      <c r="R897" s="111">
        <v>0</v>
      </c>
      <c r="S897" s="111">
        <v>0</v>
      </c>
      <c r="T897" s="109">
        <v>980</v>
      </c>
      <c r="U897" s="109">
        <v>1</v>
      </c>
      <c r="V897" s="112">
        <v>1</v>
      </c>
      <c r="W897" s="109">
        <v>900</v>
      </c>
      <c r="X897" s="109">
        <v>1</v>
      </c>
      <c r="Y897" s="113">
        <v>1</v>
      </c>
      <c r="Z897" s="18" t="s">
        <v>102</v>
      </c>
      <c r="AA897" s="18" t="s">
        <v>102</v>
      </c>
      <c r="AB897" s="111">
        <v>915</v>
      </c>
      <c r="AC897" s="111">
        <v>788</v>
      </c>
      <c r="AD897" s="111">
        <v>13.6</v>
      </c>
      <c r="AE897" s="18" t="s">
        <v>101</v>
      </c>
      <c r="AF897" s="18" t="s">
        <v>102</v>
      </c>
      <c r="AG897" s="18" t="s">
        <v>102</v>
      </c>
      <c r="AH897" s="18" t="s">
        <v>102</v>
      </c>
      <c r="AI897" s="18" t="s">
        <v>102</v>
      </c>
      <c r="AJ897" s="18" t="s">
        <v>102</v>
      </c>
      <c r="AK897" s="18" t="s">
        <v>102</v>
      </c>
      <c r="AL897" s="18" t="s">
        <v>102</v>
      </c>
      <c r="AM897" s="19"/>
      <c r="AN897" s="20" t="s">
        <v>101</v>
      </c>
      <c r="AO897" s="20" t="s">
        <v>103</v>
      </c>
      <c r="AP897" s="109">
        <v>136</v>
      </c>
      <c r="AQ897" s="110" t="s">
        <v>100</v>
      </c>
      <c r="AR897" s="105">
        <v>136</v>
      </c>
    </row>
    <row r="898" spans="1:44" ht="16.5">
      <c r="A898" s="105">
        <v>123</v>
      </c>
      <c r="B898" s="111" t="s">
        <v>101</v>
      </c>
      <c r="C898" s="111">
        <v>86.629000000000005</v>
      </c>
      <c r="D898" s="111">
        <v>6.75</v>
      </c>
      <c r="E898" s="111">
        <v>2.11</v>
      </c>
      <c r="F898" s="111">
        <v>1.04</v>
      </c>
      <c r="G898" s="111">
        <v>0</v>
      </c>
      <c r="H898" s="111">
        <v>0</v>
      </c>
      <c r="I898" s="111">
        <v>3.1</v>
      </c>
      <c r="J898" s="111">
        <v>0</v>
      </c>
      <c r="K898" s="111">
        <v>0</v>
      </c>
      <c r="L898" s="111">
        <v>0</v>
      </c>
      <c r="M898" s="74" t="str">
        <f t="array" ref="M898">_xlfn.TEXTJOIN("-", TRUE, IF(C898:L898&gt;0, $C$2:$L$2, ""))</f>
        <v xml:space="preserve"> Ti-Al-Zr-Mo-Nb</v>
      </c>
      <c r="N898" s="90">
        <f t="shared" si="26"/>
        <v>873</v>
      </c>
      <c r="O898" s="91">
        <f t="shared" si="27"/>
        <v>5</v>
      </c>
      <c r="P898" s="111">
        <v>1</v>
      </c>
      <c r="Q898" s="111">
        <v>0</v>
      </c>
      <c r="R898" s="111">
        <v>0</v>
      </c>
      <c r="S898" s="111">
        <v>0</v>
      </c>
      <c r="T898" s="109">
        <v>950</v>
      </c>
      <c r="U898" s="109">
        <v>1</v>
      </c>
      <c r="V898" s="112">
        <v>2</v>
      </c>
      <c r="W898" s="109">
        <v>0</v>
      </c>
      <c r="X898" s="109">
        <v>0</v>
      </c>
      <c r="Y898" s="113">
        <v>0</v>
      </c>
      <c r="Z898" s="18" t="s">
        <v>102</v>
      </c>
      <c r="AA898" s="18" t="s">
        <v>102</v>
      </c>
      <c r="AB898" s="111">
        <v>874</v>
      </c>
      <c r="AC898" s="111">
        <v>771</v>
      </c>
      <c r="AD898" s="111">
        <v>14.9</v>
      </c>
      <c r="AE898" s="18" t="s">
        <v>101</v>
      </c>
      <c r="AF898" s="18" t="s">
        <v>102</v>
      </c>
      <c r="AG898" s="18" t="s">
        <v>102</v>
      </c>
      <c r="AH898" s="18" t="s">
        <v>102</v>
      </c>
      <c r="AI898" s="18" t="s">
        <v>102</v>
      </c>
      <c r="AJ898" s="18" t="s">
        <v>102</v>
      </c>
      <c r="AK898" s="18" t="s">
        <v>102</v>
      </c>
      <c r="AL898" s="18" t="s">
        <v>102</v>
      </c>
      <c r="AM898" s="19"/>
      <c r="AN898" s="20" t="s">
        <v>101</v>
      </c>
      <c r="AO898" s="20" t="s">
        <v>103</v>
      </c>
      <c r="AP898" s="109">
        <v>123</v>
      </c>
      <c r="AQ898" s="110" t="s">
        <v>100</v>
      </c>
      <c r="AR898" s="105">
        <v>123</v>
      </c>
    </row>
    <row r="899" spans="1:44" ht="16.5">
      <c r="A899" s="105">
        <v>124</v>
      </c>
      <c r="B899" s="111" t="s">
        <v>101</v>
      </c>
      <c r="C899" s="111">
        <v>86.629000000000005</v>
      </c>
      <c r="D899" s="111">
        <v>6.75</v>
      </c>
      <c r="E899" s="111">
        <v>2.11</v>
      </c>
      <c r="F899" s="111">
        <v>1.04</v>
      </c>
      <c r="G899" s="111">
        <v>0</v>
      </c>
      <c r="H899" s="111">
        <v>0</v>
      </c>
      <c r="I899" s="111">
        <v>3.1</v>
      </c>
      <c r="J899" s="111">
        <v>0</v>
      </c>
      <c r="K899" s="111">
        <v>0</v>
      </c>
      <c r="L899" s="111">
        <v>0</v>
      </c>
      <c r="M899" s="74" t="str">
        <f t="array" ref="M899">_xlfn.TEXTJOIN("-", TRUE, IF(C899:L899&gt;0, $C$2:$L$2, ""))</f>
        <v xml:space="preserve"> Ti-Al-Zr-Mo-Nb</v>
      </c>
      <c r="N899" s="90">
        <f t="shared" ref="N899:N962" si="28">IF(COUNTIF(M$3:M$1206, M899)&gt;1, MATCH(M899, M:M, 0), "")</f>
        <v>873</v>
      </c>
      <c r="O899" s="91">
        <f t="shared" ref="O899:O962" si="29">COUNTIF(C899:L899, "&lt;&gt;0")</f>
        <v>5</v>
      </c>
      <c r="P899" s="111">
        <v>1</v>
      </c>
      <c r="Q899" s="111">
        <v>0</v>
      </c>
      <c r="R899" s="111">
        <v>0</v>
      </c>
      <c r="S899" s="111">
        <v>0</v>
      </c>
      <c r="T899" s="109">
        <v>965</v>
      </c>
      <c r="U899" s="109">
        <v>1</v>
      </c>
      <c r="V899" s="112">
        <v>2</v>
      </c>
      <c r="W899" s="109">
        <v>0</v>
      </c>
      <c r="X899" s="109">
        <v>0</v>
      </c>
      <c r="Y899" s="113">
        <v>0</v>
      </c>
      <c r="Z899" s="18" t="s">
        <v>102</v>
      </c>
      <c r="AA899" s="18" t="s">
        <v>102</v>
      </c>
      <c r="AB899" s="111">
        <v>881</v>
      </c>
      <c r="AC899" s="111">
        <v>770</v>
      </c>
      <c r="AD899" s="111">
        <v>14.5</v>
      </c>
      <c r="AE899" s="18" t="s">
        <v>101</v>
      </c>
      <c r="AF899" s="18" t="s">
        <v>102</v>
      </c>
      <c r="AG899" s="18" t="s">
        <v>102</v>
      </c>
      <c r="AH899" s="18" t="s">
        <v>102</v>
      </c>
      <c r="AI899" s="18" t="s">
        <v>102</v>
      </c>
      <c r="AJ899" s="18" t="s">
        <v>102</v>
      </c>
      <c r="AK899" s="18" t="s">
        <v>102</v>
      </c>
      <c r="AL899" s="18" t="s">
        <v>102</v>
      </c>
      <c r="AM899" s="19"/>
      <c r="AN899" s="20" t="s">
        <v>101</v>
      </c>
      <c r="AO899" s="20" t="s">
        <v>103</v>
      </c>
      <c r="AP899" s="109">
        <v>124</v>
      </c>
      <c r="AQ899" s="110" t="s">
        <v>100</v>
      </c>
      <c r="AR899" s="105">
        <v>124</v>
      </c>
    </row>
    <row r="900" spans="1:44" ht="16.5">
      <c r="A900" s="105">
        <v>125</v>
      </c>
      <c r="B900" s="111" t="s">
        <v>101</v>
      </c>
      <c r="C900" s="111">
        <v>86.629000000000005</v>
      </c>
      <c r="D900" s="111">
        <v>6.75</v>
      </c>
      <c r="E900" s="111">
        <v>2.11</v>
      </c>
      <c r="F900" s="111">
        <v>1.04</v>
      </c>
      <c r="G900" s="111">
        <v>0</v>
      </c>
      <c r="H900" s="111">
        <v>0</v>
      </c>
      <c r="I900" s="111">
        <v>3.1</v>
      </c>
      <c r="J900" s="111">
        <v>0</v>
      </c>
      <c r="K900" s="111">
        <v>0</v>
      </c>
      <c r="L900" s="111">
        <v>0</v>
      </c>
      <c r="M900" s="74" t="str">
        <f t="array" ref="M900">_xlfn.TEXTJOIN("-", TRUE, IF(C900:L900&gt;0, $C$2:$L$2, ""))</f>
        <v xml:space="preserve"> Ti-Al-Zr-Mo-Nb</v>
      </c>
      <c r="N900" s="90">
        <f t="shared" si="28"/>
        <v>873</v>
      </c>
      <c r="O900" s="91">
        <f t="shared" si="29"/>
        <v>5</v>
      </c>
      <c r="P900" s="111">
        <v>1</v>
      </c>
      <c r="Q900" s="111">
        <v>0</v>
      </c>
      <c r="R900" s="111">
        <v>0</v>
      </c>
      <c r="S900" s="111">
        <v>0</v>
      </c>
      <c r="T900" s="109">
        <v>980</v>
      </c>
      <c r="U900" s="109">
        <v>1</v>
      </c>
      <c r="V900" s="112">
        <v>2</v>
      </c>
      <c r="W900" s="109">
        <v>0</v>
      </c>
      <c r="X900" s="109">
        <v>0</v>
      </c>
      <c r="Y900" s="113">
        <v>0</v>
      </c>
      <c r="Z900" s="18" t="s">
        <v>102</v>
      </c>
      <c r="AA900" s="18" t="s">
        <v>102</v>
      </c>
      <c r="AB900" s="111">
        <v>891</v>
      </c>
      <c r="AC900" s="111">
        <v>782</v>
      </c>
      <c r="AD900" s="111">
        <v>13.4</v>
      </c>
      <c r="AE900" s="18" t="s">
        <v>101</v>
      </c>
      <c r="AF900" s="18" t="s">
        <v>102</v>
      </c>
      <c r="AG900" s="18" t="s">
        <v>102</v>
      </c>
      <c r="AH900" s="18" t="s">
        <v>102</v>
      </c>
      <c r="AI900" s="18" t="s">
        <v>102</v>
      </c>
      <c r="AJ900" s="18" t="s">
        <v>102</v>
      </c>
      <c r="AK900" s="18" t="s">
        <v>102</v>
      </c>
      <c r="AL900" s="18" t="s">
        <v>102</v>
      </c>
      <c r="AM900" s="19"/>
      <c r="AN900" s="20" t="s">
        <v>101</v>
      </c>
      <c r="AO900" s="20" t="s">
        <v>103</v>
      </c>
      <c r="AP900" s="109">
        <v>125</v>
      </c>
      <c r="AQ900" s="110" t="s">
        <v>100</v>
      </c>
      <c r="AR900" s="105">
        <v>125</v>
      </c>
    </row>
    <row r="901" spans="1:44" ht="16.5">
      <c r="A901" s="105">
        <v>120</v>
      </c>
      <c r="B901" s="111" t="s">
        <v>101</v>
      </c>
      <c r="C901" s="111">
        <v>86.629000000000005</v>
      </c>
      <c r="D901" s="111">
        <v>6.75</v>
      </c>
      <c r="E901" s="111">
        <v>2.11</v>
      </c>
      <c r="F901" s="111">
        <v>1.04</v>
      </c>
      <c r="G901" s="111">
        <v>0</v>
      </c>
      <c r="H901" s="111">
        <v>0</v>
      </c>
      <c r="I901" s="111">
        <v>3.1</v>
      </c>
      <c r="J901" s="111">
        <v>0</v>
      </c>
      <c r="K901" s="111">
        <v>0</v>
      </c>
      <c r="L901" s="111">
        <v>0</v>
      </c>
      <c r="M901" s="74" t="str">
        <f t="array" ref="M901">_xlfn.TEXTJOIN("-", TRUE, IF(C901:L901&gt;0, $C$2:$L$2, ""))</f>
        <v xml:space="preserve"> Ti-Al-Zr-Mo-Nb</v>
      </c>
      <c r="N901" s="90">
        <f t="shared" si="28"/>
        <v>873</v>
      </c>
      <c r="O901" s="91">
        <f t="shared" si="29"/>
        <v>5</v>
      </c>
      <c r="P901" s="111">
        <v>1</v>
      </c>
      <c r="Q901" s="111">
        <v>0</v>
      </c>
      <c r="R901" s="111">
        <v>0</v>
      </c>
      <c r="S901" s="111">
        <v>0</v>
      </c>
      <c r="T901" s="109">
        <v>950</v>
      </c>
      <c r="U901" s="109">
        <v>1</v>
      </c>
      <c r="V901" s="112">
        <v>1</v>
      </c>
      <c r="W901" s="109">
        <v>0</v>
      </c>
      <c r="X901" s="109">
        <v>0</v>
      </c>
      <c r="Y901" s="113">
        <v>0</v>
      </c>
      <c r="Z901" s="18" t="s">
        <v>102</v>
      </c>
      <c r="AA901" s="18" t="s">
        <v>102</v>
      </c>
      <c r="AB901" s="111">
        <v>950</v>
      </c>
      <c r="AC901" s="111">
        <v>830</v>
      </c>
      <c r="AD901" s="111">
        <v>15.3</v>
      </c>
      <c r="AE901" s="18" t="s">
        <v>101</v>
      </c>
      <c r="AF901" s="18" t="s">
        <v>102</v>
      </c>
      <c r="AG901" s="18" t="s">
        <v>102</v>
      </c>
      <c r="AH901" s="18" t="s">
        <v>102</v>
      </c>
      <c r="AI901" s="18" t="s">
        <v>102</v>
      </c>
      <c r="AJ901" s="18" t="s">
        <v>102</v>
      </c>
      <c r="AK901" s="18" t="s">
        <v>102</v>
      </c>
      <c r="AL901" s="18" t="s">
        <v>102</v>
      </c>
      <c r="AM901" s="19"/>
      <c r="AN901" s="20" t="s">
        <v>101</v>
      </c>
      <c r="AO901" s="20" t="s">
        <v>103</v>
      </c>
      <c r="AP901" s="109">
        <v>120</v>
      </c>
      <c r="AQ901" s="110" t="s">
        <v>100</v>
      </c>
      <c r="AR901" s="105">
        <v>120</v>
      </c>
    </row>
    <row r="902" spans="1:44" ht="16.5">
      <c r="A902" s="105">
        <v>126</v>
      </c>
      <c r="B902" s="111" t="s">
        <v>101</v>
      </c>
      <c r="C902" s="111">
        <v>86.629000000000005</v>
      </c>
      <c r="D902" s="111">
        <v>6.75</v>
      </c>
      <c r="E902" s="111">
        <v>2.11</v>
      </c>
      <c r="F902" s="111">
        <v>1.04</v>
      </c>
      <c r="G902" s="111">
        <v>0</v>
      </c>
      <c r="H902" s="111">
        <v>0</v>
      </c>
      <c r="I902" s="111">
        <v>3.1</v>
      </c>
      <c r="J902" s="111">
        <v>0</v>
      </c>
      <c r="K902" s="111">
        <v>0</v>
      </c>
      <c r="L902" s="111">
        <v>0</v>
      </c>
      <c r="M902" s="74" t="str">
        <f t="array" ref="M902">_xlfn.TEXTJOIN("-", TRUE, IF(C902:L902&gt;0, $C$2:$L$2, ""))</f>
        <v xml:space="preserve"> Ti-Al-Zr-Mo-Nb</v>
      </c>
      <c r="N902" s="90">
        <f t="shared" si="28"/>
        <v>873</v>
      </c>
      <c r="O902" s="91">
        <f t="shared" si="29"/>
        <v>5</v>
      </c>
      <c r="P902" s="111">
        <v>1</v>
      </c>
      <c r="Q902" s="111">
        <v>0</v>
      </c>
      <c r="R902" s="111">
        <v>0</v>
      </c>
      <c r="S902" s="111">
        <v>0</v>
      </c>
      <c r="T902" s="109">
        <v>950</v>
      </c>
      <c r="U902" s="109">
        <v>1</v>
      </c>
      <c r="V902" s="112">
        <v>1</v>
      </c>
      <c r="W902" s="109">
        <v>900</v>
      </c>
      <c r="X902" s="109">
        <v>1</v>
      </c>
      <c r="Y902" s="113">
        <v>1</v>
      </c>
      <c r="Z902" s="18" t="s">
        <v>102</v>
      </c>
      <c r="AA902" s="18" t="s">
        <v>102</v>
      </c>
      <c r="AB902" s="111">
        <v>872</v>
      </c>
      <c r="AC902" s="111">
        <v>776</v>
      </c>
      <c r="AD902" s="111">
        <v>15.5</v>
      </c>
      <c r="AE902" s="18" t="s">
        <v>101</v>
      </c>
      <c r="AF902" s="18" t="s">
        <v>102</v>
      </c>
      <c r="AG902" s="18" t="s">
        <v>102</v>
      </c>
      <c r="AH902" s="18" t="s">
        <v>102</v>
      </c>
      <c r="AI902" s="18" t="s">
        <v>102</v>
      </c>
      <c r="AJ902" s="18" t="s">
        <v>102</v>
      </c>
      <c r="AK902" s="18" t="s">
        <v>102</v>
      </c>
      <c r="AL902" s="18" t="s">
        <v>102</v>
      </c>
      <c r="AM902" s="19"/>
      <c r="AN902" s="20" t="s">
        <v>101</v>
      </c>
      <c r="AO902" s="20" t="s">
        <v>103</v>
      </c>
      <c r="AP902" s="109">
        <v>126</v>
      </c>
      <c r="AQ902" s="110" t="s">
        <v>100</v>
      </c>
      <c r="AR902" s="105">
        <v>126</v>
      </c>
    </row>
    <row r="903" spans="1:44" ht="16.5">
      <c r="A903" s="105">
        <v>127</v>
      </c>
      <c r="B903" s="111" t="s">
        <v>101</v>
      </c>
      <c r="C903" s="111">
        <v>86.629000000000005</v>
      </c>
      <c r="D903" s="111">
        <v>6.75</v>
      </c>
      <c r="E903" s="111">
        <v>2.11</v>
      </c>
      <c r="F903" s="111">
        <v>1.04</v>
      </c>
      <c r="G903" s="111">
        <v>0</v>
      </c>
      <c r="H903" s="111">
        <v>0</v>
      </c>
      <c r="I903" s="111">
        <v>3.1</v>
      </c>
      <c r="J903" s="111">
        <v>0</v>
      </c>
      <c r="K903" s="111">
        <v>0</v>
      </c>
      <c r="L903" s="111">
        <v>0</v>
      </c>
      <c r="M903" s="74" t="str">
        <f t="array" ref="M903">_xlfn.TEXTJOIN("-", TRUE, IF(C903:L903&gt;0, $C$2:$L$2, ""))</f>
        <v xml:space="preserve"> Ti-Al-Zr-Mo-Nb</v>
      </c>
      <c r="N903" s="90">
        <f t="shared" si="28"/>
        <v>873</v>
      </c>
      <c r="O903" s="91">
        <f t="shared" si="29"/>
        <v>5</v>
      </c>
      <c r="P903" s="111">
        <v>1</v>
      </c>
      <c r="Q903" s="111">
        <v>0</v>
      </c>
      <c r="R903" s="111">
        <v>0</v>
      </c>
      <c r="S903" s="111">
        <v>0</v>
      </c>
      <c r="T903" s="109">
        <v>0</v>
      </c>
      <c r="U903" s="109">
        <v>0</v>
      </c>
      <c r="V903" s="112">
        <v>0</v>
      </c>
      <c r="W903" s="109">
        <v>930</v>
      </c>
      <c r="X903" s="109">
        <v>1</v>
      </c>
      <c r="Y903" s="113">
        <v>1</v>
      </c>
      <c r="Z903" s="18" t="s">
        <v>102</v>
      </c>
      <c r="AA903" s="18" t="s">
        <v>102</v>
      </c>
      <c r="AB903" s="111">
        <v>884</v>
      </c>
      <c r="AC903" s="111">
        <v>784</v>
      </c>
      <c r="AD903" s="111">
        <v>14.4</v>
      </c>
      <c r="AE903" s="18" t="s">
        <v>101</v>
      </c>
      <c r="AF903" s="18" t="s">
        <v>102</v>
      </c>
      <c r="AG903" s="18" t="s">
        <v>102</v>
      </c>
      <c r="AH903" s="18" t="s">
        <v>102</v>
      </c>
      <c r="AI903" s="18" t="s">
        <v>102</v>
      </c>
      <c r="AJ903" s="18" t="s">
        <v>102</v>
      </c>
      <c r="AK903" s="18" t="s">
        <v>102</v>
      </c>
      <c r="AL903" s="18" t="s">
        <v>102</v>
      </c>
      <c r="AM903" s="19"/>
      <c r="AN903" s="20" t="s">
        <v>101</v>
      </c>
      <c r="AO903" s="20" t="s">
        <v>103</v>
      </c>
      <c r="AP903" s="109">
        <v>127</v>
      </c>
      <c r="AQ903" s="110" t="s">
        <v>100</v>
      </c>
      <c r="AR903" s="105">
        <v>127</v>
      </c>
    </row>
    <row r="904" spans="1:44" ht="16.5">
      <c r="A904" s="105">
        <v>128</v>
      </c>
      <c r="B904" s="111" t="s">
        <v>101</v>
      </c>
      <c r="C904" s="111">
        <v>86.629000000000005</v>
      </c>
      <c r="D904" s="111">
        <v>6.75</v>
      </c>
      <c r="E904" s="111">
        <v>2.11</v>
      </c>
      <c r="F904" s="111">
        <v>1.04</v>
      </c>
      <c r="G904" s="111">
        <v>0</v>
      </c>
      <c r="H904" s="111">
        <v>0</v>
      </c>
      <c r="I904" s="111">
        <v>3.1</v>
      </c>
      <c r="J904" s="111">
        <v>0</v>
      </c>
      <c r="K904" s="111">
        <v>0</v>
      </c>
      <c r="L904" s="111">
        <v>0</v>
      </c>
      <c r="M904" s="74" t="str">
        <f t="array" ref="M904">_xlfn.TEXTJOIN("-", TRUE, IF(C904:L904&gt;0, $C$2:$L$2, ""))</f>
        <v xml:space="preserve"> Ti-Al-Zr-Mo-Nb</v>
      </c>
      <c r="N904" s="90">
        <f t="shared" si="28"/>
        <v>873</v>
      </c>
      <c r="O904" s="91">
        <f t="shared" si="29"/>
        <v>5</v>
      </c>
      <c r="P904" s="111">
        <v>1</v>
      </c>
      <c r="Q904" s="111">
        <v>0</v>
      </c>
      <c r="R904" s="111">
        <v>0</v>
      </c>
      <c r="S904" s="111">
        <v>0</v>
      </c>
      <c r="T904" s="109">
        <v>0</v>
      </c>
      <c r="U904" s="109">
        <v>0</v>
      </c>
      <c r="V904" s="112">
        <v>0</v>
      </c>
      <c r="W904" s="109">
        <v>900</v>
      </c>
      <c r="X904" s="109">
        <v>1</v>
      </c>
      <c r="Y904" s="113">
        <v>2</v>
      </c>
      <c r="Z904" s="18" t="s">
        <v>102</v>
      </c>
      <c r="AA904" s="18" t="s">
        <v>102</v>
      </c>
      <c r="AB904" s="111">
        <v>869</v>
      </c>
      <c r="AC904" s="111">
        <v>766</v>
      </c>
      <c r="AD904" s="111">
        <v>16.5</v>
      </c>
      <c r="AE904" s="18" t="s">
        <v>101</v>
      </c>
      <c r="AF904" s="18" t="s">
        <v>102</v>
      </c>
      <c r="AG904" s="18" t="s">
        <v>102</v>
      </c>
      <c r="AH904" s="18" t="s">
        <v>102</v>
      </c>
      <c r="AI904" s="18" t="s">
        <v>102</v>
      </c>
      <c r="AJ904" s="18" t="s">
        <v>102</v>
      </c>
      <c r="AK904" s="18" t="s">
        <v>102</v>
      </c>
      <c r="AL904" s="18" t="s">
        <v>102</v>
      </c>
      <c r="AM904" s="19"/>
      <c r="AN904" s="20" t="s">
        <v>101</v>
      </c>
      <c r="AO904" s="20" t="s">
        <v>103</v>
      </c>
      <c r="AP904" s="109">
        <v>128</v>
      </c>
      <c r="AQ904" s="110" t="s">
        <v>100</v>
      </c>
      <c r="AR904" s="105">
        <v>128</v>
      </c>
    </row>
    <row r="905" spans="1:44" ht="16.5">
      <c r="A905" s="105">
        <v>129</v>
      </c>
      <c r="B905" s="111" t="s">
        <v>101</v>
      </c>
      <c r="C905" s="111">
        <v>86.629000000000005</v>
      </c>
      <c r="D905" s="111">
        <v>6.75</v>
      </c>
      <c r="E905" s="111">
        <v>2.11</v>
      </c>
      <c r="F905" s="111">
        <v>1.04</v>
      </c>
      <c r="G905" s="111">
        <v>0</v>
      </c>
      <c r="H905" s="111">
        <v>0</v>
      </c>
      <c r="I905" s="111">
        <v>3.1</v>
      </c>
      <c r="J905" s="111">
        <v>0</v>
      </c>
      <c r="K905" s="111">
        <v>0</v>
      </c>
      <c r="L905" s="111">
        <v>0</v>
      </c>
      <c r="M905" s="74" t="str">
        <f t="array" ref="M905">_xlfn.TEXTJOIN("-", TRUE, IF(C905:L905&gt;0, $C$2:$L$2, ""))</f>
        <v xml:space="preserve"> Ti-Al-Zr-Mo-Nb</v>
      </c>
      <c r="N905" s="90">
        <f t="shared" si="28"/>
        <v>873</v>
      </c>
      <c r="O905" s="91">
        <f t="shared" si="29"/>
        <v>5</v>
      </c>
      <c r="P905" s="111">
        <v>1</v>
      </c>
      <c r="Q905" s="111">
        <v>0</v>
      </c>
      <c r="R905" s="111">
        <v>0</v>
      </c>
      <c r="S905" s="111">
        <v>0</v>
      </c>
      <c r="T905" s="109">
        <v>0</v>
      </c>
      <c r="U905" s="109">
        <v>0</v>
      </c>
      <c r="V905" s="112">
        <v>0</v>
      </c>
      <c r="W905" s="109">
        <v>930</v>
      </c>
      <c r="X905" s="109">
        <v>1</v>
      </c>
      <c r="Y905" s="113">
        <v>2</v>
      </c>
      <c r="Z905" s="18" t="s">
        <v>102</v>
      </c>
      <c r="AA905" s="18" t="s">
        <v>102</v>
      </c>
      <c r="AB905" s="111">
        <v>876</v>
      </c>
      <c r="AC905" s="111">
        <v>776</v>
      </c>
      <c r="AD905" s="111">
        <v>16.399999999999999</v>
      </c>
      <c r="AE905" s="18" t="s">
        <v>101</v>
      </c>
      <c r="AF905" s="18" t="s">
        <v>102</v>
      </c>
      <c r="AG905" s="18" t="s">
        <v>102</v>
      </c>
      <c r="AH905" s="18" t="s">
        <v>102</v>
      </c>
      <c r="AI905" s="18" t="s">
        <v>102</v>
      </c>
      <c r="AJ905" s="18" t="s">
        <v>102</v>
      </c>
      <c r="AK905" s="18" t="s">
        <v>102</v>
      </c>
      <c r="AL905" s="18" t="s">
        <v>102</v>
      </c>
      <c r="AM905" s="19"/>
      <c r="AN905" s="20" t="s">
        <v>101</v>
      </c>
      <c r="AO905" s="20" t="s">
        <v>103</v>
      </c>
      <c r="AP905" s="109">
        <v>129</v>
      </c>
      <c r="AQ905" s="110" t="s">
        <v>100</v>
      </c>
      <c r="AR905" s="105">
        <v>129</v>
      </c>
    </row>
    <row r="906" spans="1:44" ht="16.5">
      <c r="A906" s="105">
        <v>131</v>
      </c>
      <c r="B906" s="111" t="s">
        <v>101</v>
      </c>
      <c r="C906" s="111">
        <v>86.629000000000005</v>
      </c>
      <c r="D906" s="111">
        <v>6.75</v>
      </c>
      <c r="E906" s="111">
        <v>2.11</v>
      </c>
      <c r="F906" s="111">
        <v>1.04</v>
      </c>
      <c r="G906" s="111">
        <v>0</v>
      </c>
      <c r="H906" s="111">
        <v>0</v>
      </c>
      <c r="I906" s="111">
        <v>3.1</v>
      </c>
      <c r="J906" s="111">
        <v>0</v>
      </c>
      <c r="K906" s="111">
        <v>0</v>
      </c>
      <c r="L906" s="111">
        <v>0</v>
      </c>
      <c r="M906" s="74" t="str">
        <f t="array" ref="M906">_xlfn.TEXTJOIN("-", TRUE, IF(C906:L906&gt;0, $C$2:$L$2, ""))</f>
        <v xml:space="preserve"> Ti-Al-Zr-Mo-Nb</v>
      </c>
      <c r="N906" s="90">
        <f t="shared" si="28"/>
        <v>873</v>
      </c>
      <c r="O906" s="91">
        <f t="shared" si="29"/>
        <v>5</v>
      </c>
      <c r="P906" s="111">
        <v>1</v>
      </c>
      <c r="Q906" s="111">
        <v>0</v>
      </c>
      <c r="R906" s="111">
        <v>0</v>
      </c>
      <c r="S906" s="111">
        <v>0</v>
      </c>
      <c r="T906" s="109">
        <v>0</v>
      </c>
      <c r="U906" s="109">
        <v>0</v>
      </c>
      <c r="V906" s="112">
        <v>0</v>
      </c>
      <c r="W906" s="109">
        <v>930</v>
      </c>
      <c r="X906" s="109">
        <v>1</v>
      </c>
      <c r="Y906" s="113">
        <v>1</v>
      </c>
      <c r="Z906" s="18" t="s">
        <v>102</v>
      </c>
      <c r="AA906" s="18" t="s">
        <v>102</v>
      </c>
      <c r="AB906" s="111">
        <v>919</v>
      </c>
      <c r="AC906" s="111">
        <v>785</v>
      </c>
      <c r="AD906" s="111">
        <v>16.899999999999999</v>
      </c>
      <c r="AE906" s="18" t="s">
        <v>101</v>
      </c>
      <c r="AF906" s="18" t="s">
        <v>102</v>
      </c>
      <c r="AG906" s="18" t="s">
        <v>102</v>
      </c>
      <c r="AH906" s="18" t="s">
        <v>102</v>
      </c>
      <c r="AI906" s="18" t="s">
        <v>102</v>
      </c>
      <c r="AJ906" s="18" t="s">
        <v>102</v>
      </c>
      <c r="AK906" s="18" t="s">
        <v>102</v>
      </c>
      <c r="AL906" s="18" t="s">
        <v>102</v>
      </c>
      <c r="AM906" s="19"/>
      <c r="AN906" s="20" t="s">
        <v>101</v>
      </c>
      <c r="AO906" s="20" t="s">
        <v>103</v>
      </c>
      <c r="AP906" s="109">
        <v>131</v>
      </c>
      <c r="AQ906" s="110" t="s">
        <v>100</v>
      </c>
      <c r="AR906" s="105">
        <v>131</v>
      </c>
    </row>
    <row r="907" spans="1:44" ht="16.5">
      <c r="A907" s="105">
        <v>132</v>
      </c>
      <c r="B907" s="111" t="s">
        <v>101</v>
      </c>
      <c r="C907" s="111">
        <v>86.629000000000005</v>
      </c>
      <c r="D907" s="111">
        <v>6.75</v>
      </c>
      <c r="E907" s="111">
        <v>2.11</v>
      </c>
      <c r="F907" s="111">
        <v>1.04</v>
      </c>
      <c r="G907" s="111">
        <v>0</v>
      </c>
      <c r="H907" s="111">
        <v>0</v>
      </c>
      <c r="I907" s="111">
        <v>3.1</v>
      </c>
      <c r="J907" s="111">
        <v>0</v>
      </c>
      <c r="K907" s="111">
        <v>0</v>
      </c>
      <c r="L907" s="111">
        <v>0</v>
      </c>
      <c r="M907" s="74" t="str">
        <f t="array" ref="M907">_xlfn.TEXTJOIN("-", TRUE, IF(C907:L907&gt;0, $C$2:$L$2, ""))</f>
        <v xml:space="preserve"> Ti-Al-Zr-Mo-Nb</v>
      </c>
      <c r="N907" s="90">
        <f t="shared" si="28"/>
        <v>873</v>
      </c>
      <c r="O907" s="91">
        <f t="shared" si="29"/>
        <v>5</v>
      </c>
      <c r="P907" s="111">
        <v>1</v>
      </c>
      <c r="Q907" s="111">
        <v>0</v>
      </c>
      <c r="R907" s="111">
        <v>0</v>
      </c>
      <c r="S907" s="111">
        <v>0</v>
      </c>
      <c r="T907" s="109">
        <v>0</v>
      </c>
      <c r="U907" s="109">
        <v>0</v>
      </c>
      <c r="V907" s="112">
        <v>0</v>
      </c>
      <c r="W907" s="109">
        <v>950</v>
      </c>
      <c r="X907" s="109">
        <v>1</v>
      </c>
      <c r="Y907" s="113">
        <v>1</v>
      </c>
      <c r="Z907" s="18" t="s">
        <v>102</v>
      </c>
      <c r="AA907" s="18" t="s">
        <v>102</v>
      </c>
      <c r="AB907" s="111">
        <v>1017</v>
      </c>
      <c r="AC907" s="111">
        <v>878</v>
      </c>
      <c r="AD907" s="111">
        <v>16.2</v>
      </c>
      <c r="AE907" s="18" t="s">
        <v>101</v>
      </c>
      <c r="AF907" s="18" t="s">
        <v>102</v>
      </c>
      <c r="AG907" s="18" t="s">
        <v>102</v>
      </c>
      <c r="AH907" s="18" t="s">
        <v>102</v>
      </c>
      <c r="AI907" s="18" t="s">
        <v>102</v>
      </c>
      <c r="AJ907" s="18" t="s">
        <v>102</v>
      </c>
      <c r="AK907" s="18" t="s">
        <v>102</v>
      </c>
      <c r="AL907" s="18" t="s">
        <v>102</v>
      </c>
      <c r="AM907" s="19"/>
      <c r="AN907" s="20" t="s">
        <v>101</v>
      </c>
      <c r="AO907" s="20" t="s">
        <v>103</v>
      </c>
      <c r="AP907" s="109">
        <v>132</v>
      </c>
      <c r="AQ907" s="110" t="s">
        <v>100</v>
      </c>
      <c r="AR907" s="105">
        <v>132</v>
      </c>
    </row>
    <row r="908" spans="1:44" ht="16.5">
      <c r="A908" s="105">
        <v>133</v>
      </c>
      <c r="B908" s="111" t="s">
        <v>101</v>
      </c>
      <c r="C908" s="111">
        <v>86.629000000000005</v>
      </c>
      <c r="D908" s="111">
        <v>6.75</v>
      </c>
      <c r="E908" s="111">
        <v>2.11</v>
      </c>
      <c r="F908" s="111">
        <v>1.04</v>
      </c>
      <c r="G908" s="111">
        <v>0</v>
      </c>
      <c r="H908" s="111">
        <v>0</v>
      </c>
      <c r="I908" s="111">
        <v>3.1</v>
      </c>
      <c r="J908" s="111">
        <v>0</v>
      </c>
      <c r="K908" s="111">
        <v>0</v>
      </c>
      <c r="L908" s="111">
        <v>0</v>
      </c>
      <c r="M908" s="74" t="str">
        <f t="array" ref="M908">_xlfn.TEXTJOIN("-", TRUE, IF(C908:L908&gt;0, $C$2:$L$2, ""))</f>
        <v xml:space="preserve"> Ti-Al-Zr-Mo-Nb</v>
      </c>
      <c r="N908" s="90">
        <f t="shared" si="28"/>
        <v>873</v>
      </c>
      <c r="O908" s="91">
        <f t="shared" si="29"/>
        <v>5</v>
      </c>
      <c r="P908" s="111">
        <v>1</v>
      </c>
      <c r="Q908" s="111">
        <v>0</v>
      </c>
      <c r="R908" s="111">
        <v>0</v>
      </c>
      <c r="S908" s="111">
        <v>0</v>
      </c>
      <c r="T908" s="109">
        <v>0</v>
      </c>
      <c r="U908" s="109">
        <v>0</v>
      </c>
      <c r="V908" s="112">
        <v>0</v>
      </c>
      <c r="W908" s="109">
        <v>900</v>
      </c>
      <c r="X908" s="109">
        <v>1</v>
      </c>
      <c r="Y908" s="113">
        <v>2</v>
      </c>
      <c r="Z908" s="18" t="s">
        <v>102</v>
      </c>
      <c r="AA908" s="18" t="s">
        <v>102</v>
      </c>
      <c r="AB908" s="111">
        <v>873</v>
      </c>
      <c r="AC908" s="111">
        <v>765</v>
      </c>
      <c r="AD908" s="111">
        <v>17.100000000000001</v>
      </c>
      <c r="AE908" s="18" t="s">
        <v>101</v>
      </c>
      <c r="AF908" s="18" t="s">
        <v>102</v>
      </c>
      <c r="AG908" s="18" t="s">
        <v>102</v>
      </c>
      <c r="AH908" s="18" t="s">
        <v>102</v>
      </c>
      <c r="AI908" s="18" t="s">
        <v>102</v>
      </c>
      <c r="AJ908" s="18" t="s">
        <v>102</v>
      </c>
      <c r="AK908" s="18" t="s">
        <v>102</v>
      </c>
      <c r="AL908" s="18" t="s">
        <v>102</v>
      </c>
      <c r="AM908" s="19"/>
      <c r="AN908" s="20" t="s">
        <v>101</v>
      </c>
      <c r="AO908" s="20" t="s">
        <v>103</v>
      </c>
      <c r="AP908" s="109">
        <v>133</v>
      </c>
      <c r="AQ908" s="110" t="s">
        <v>100</v>
      </c>
      <c r="AR908" s="105">
        <v>133</v>
      </c>
    </row>
    <row r="909" spans="1:44" ht="16.5">
      <c r="A909" s="105">
        <v>134</v>
      </c>
      <c r="B909" s="111" t="s">
        <v>101</v>
      </c>
      <c r="C909" s="111">
        <v>86.629000000000005</v>
      </c>
      <c r="D909" s="111">
        <v>6.75</v>
      </c>
      <c r="E909" s="111">
        <v>2.11</v>
      </c>
      <c r="F909" s="111">
        <v>1.04</v>
      </c>
      <c r="G909" s="111">
        <v>0</v>
      </c>
      <c r="H909" s="111">
        <v>0</v>
      </c>
      <c r="I909" s="111">
        <v>3.1</v>
      </c>
      <c r="J909" s="111">
        <v>0</v>
      </c>
      <c r="K909" s="111">
        <v>0</v>
      </c>
      <c r="L909" s="111">
        <v>0</v>
      </c>
      <c r="M909" s="74" t="str">
        <f t="array" ref="M909">_xlfn.TEXTJOIN("-", TRUE, IF(C909:L909&gt;0, $C$2:$L$2, ""))</f>
        <v xml:space="preserve"> Ti-Al-Zr-Mo-Nb</v>
      </c>
      <c r="N909" s="90">
        <f t="shared" si="28"/>
        <v>873</v>
      </c>
      <c r="O909" s="91">
        <f t="shared" si="29"/>
        <v>5</v>
      </c>
      <c r="P909" s="111">
        <v>1</v>
      </c>
      <c r="Q909" s="111">
        <v>0</v>
      </c>
      <c r="R909" s="111">
        <v>0</v>
      </c>
      <c r="S909" s="111">
        <v>0</v>
      </c>
      <c r="T909" s="109">
        <v>0</v>
      </c>
      <c r="U909" s="109">
        <v>0</v>
      </c>
      <c r="V909" s="112">
        <v>0</v>
      </c>
      <c r="W909" s="109">
        <v>930</v>
      </c>
      <c r="X909" s="109">
        <v>1</v>
      </c>
      <c r="Y909" s="113">
        <v>2</v>
      </c>
      <c r="Z909" s="18" t="s">
        <v>102</v>
      </c>
      <c r="AA909" s="18" t="s">
        <v>102</v>
      </c>
      <c r="AB909" s="111">
        <v>875</v>
      </c>
      <c r="AC909" s="111">
        <v>770</v>
      </c>
      <c r="AD909" s="111">
        <v>14.5</v>
      </c>
      <c r="AE909" s="18" t="s">
        <v>101</v>
      </c>
      <c r="AF909" s="18" t="s">
        <v>102</v>
      </c>
      <c r="AG909" s="18" t="s">
        <v>102</v>
      </c>
      <c r="AH909" s="18" t="s">
        <v>102</v>
      </c>
      <c r="AI909" s="18" t="s">
        <v>102</v>
      </c>
      <c r="AJ909" s="18" t="s">
        <v>102</v>
      </c>
      <c r="AK909" s="18" t="s">
        <v>102</v>
      </c>
      <c r="AL909" s="18" t="s">
        <v>102</v>
      </c>
      <c r="AM909" s="19"/>
      <c r="AN909" s="20" t="s">
        <v>101</v>
      </c>
      <c r="AO909" s="20" t="s">
        <v>103</v>
      </c>
      <c r="AP909" s="109">
        <v>134</v>
      </c>
      <c r="AQ909" s="110" t="s">
        <v>100</v>
      </c>
      <c r="AR909" s="105">
        <v>134</v>
      </c>
    </row>
    <row r="910" spans="1:44" ht="16.5">
      <c r="A910" s="105">
        <v>135</v>
      </c>
      <c r="B910" s="111" t="s">
        <v>101</v>
      </c>
      <c r="C910" s="111">
        <v>86.629000000000005</v>
      </c>
      <c r="D910" s="111">
        <v>6.75</v>
      </c>
      <c r="E910" s="111">
        <v>2.11</v>
      </c>
      <c r="F910" s="111">
        <v>1.04</v>
      </c>
      <c r="G910" s="111">
        <v>0</v>
      </c>
      <c r="H910" s="111">
        <v>0</v>
      </c>
      <c r="I910" s="111">
        <v>3.1</v>
      </c>
      <c r="J910" s="111">
        <v>0</v>
      </c>
      <c r="K910" s="111">
        <v>0</v>
      </c>
      <c r="L910" s="111">
        <v>0</v>
      </c>
      <c r="M910" s="74" t="str">
        <f t="array" ref="M910">_xlfn.TEXTJOIN("-", TRUE, IF(C910:L910&gt;0, $C$2:$L$2, ""))</f>
        <v xml:space="preserve"> Ti-Al-Zr-Mo-Nb</v>
      </c>
      <c r="N910" s="90">
        <f t="shared" si="28"/>
        <v>873</v>
      </c>
      <c r="O910" s="91">
        <f t="shared" si="29"/>
        <v>5</v>
      </c>
      <c r="P910" s="111">
        <v>1</v>
      </c>
      <c r="Q910" s="111">
        <v>0</v>
      </c>
      <c r="R910" s="111">
        <v>0</v>
      </c>
      <c r="S910" s="111">
        <v>0</v>
      </c>
      <c r="T910" s="109">
        <v>0</v>
      </c>
      <c r="U910" s="109">
        <v>0</v>
      </c>
      <c r="V910" s="112">
        <v>0</v>
      </c>
      <c r="W910" s="109">
        <v>950</v>
      </c>
      <c r="X910" s="109">
        <v>1</v>
      </c>
      <c r="Y910" s="113">
        <v>2</v>
      </c>
      <c r="Z910" s="18" t="s">
        <v>102</v>
      </c>
      <c r="AA910" s="18" t="s">
        <v>102</v>
      </c>
      <c r="AB910" s="111">
        <v>874</v>
      </c>
      <c r="AC910" s="111">
        <v>774</v>
      </c>
      <c r="AD910" s="111">
        <v>15.8</v>
      </c>
      <c r="AE910" s="18" t="s">
        <v>101</v>
      </c>
      <c r="AF910" s="18" t="s">
        <v>102</v>
      </c>
      <c r="AG910" s="18" t="s">
        <v>102</v>
      </c>
      <c r="AH910" s="18" t="s">
        <v>102</v>
      </c>
      <c r="AI910" s="18" t="s">
        <v>102</v>
      </c>
      <c r="AJ910" s="18" t="s">
        <v>102</v>
      </c>
      <c r="AK910" s="18" t="s">
        <v>102</v>
      </c>
      <c r="AL910" s="18" t="s">
        <v>102</v>
      </c>
      <c r="AM910" s="19"/>
      <c r="AN910" s="20" t="s">
        <v>101</v>
      </c>
      <c r="AO910" s="20" t="s">
        <v>103</v>
      </c>
      <c r="AP910" s="109">
        <v>135</v>
      </c>
      <c r="AQ910" s="110" t="s">
        <v>100</v>
      </c>
      <c r="AR910" s="105">
        <v>135</v>
      </c>
    </row>
    <row r="911" spans="1:44" ht="16.5">
      <c r="A911" s="105">
        <v>137</v>
      </c>
      <c r="B911" s="111" t="s">
        <v>101</v>
      </c>
      <c r="C911" s="111">
        <v>86.629000000000005</v>
      </c>
      <c r="D911" s="111">
        <v>6.75</v>
      </c>
      <c r="E911" s="111">
        <v>2.11</v>
      </c>
      <c r="F911" s="111">
        <v>1.04</v>
      </c>
      <c r="G911" s="111">
        <v>0</v>
      </c>
      <c r="H911" s="111">
        <v>0</v>
      </c>
      <c r="I911" s="111">
        <v>3.1</v>
      </c>
      <c r="J911" s="111">
        <v>0</v>
      </c>
      <c r="K911" s="111">
        <v>0</v>
      </c>
      <c r="L911" s="111">
        <v>0</v>
      </c>
      <c r="M911" s="74" t="str">
        <f t="array" ref="M911">_xlfn.TEXTJOIN("-", TRUE, IF(C911:L911&gt;0, $C$2:$L$2, ""))</f>
        <v xml:space="preserve"> Ti-Al-Zr-Mo-Nb</v>
      </c>
      <c r="N911" s="90">
        <f t="shared" si="28"/>
        <v>873</v>
      </c>
      <c r="O911" s="91">
        <f t="shared" si="29"/>
        <v>5</v>
      </c>
      <c r="P911" s="111">
        <v>1</v>
      </c>
      <c r="Q911" s="111">
        <v>0</v>
      </c>
      <c r="R911" s="111">
        <v>0</v>
      </c>
      <c r="S911" s="111">
        <v>0</v>
      </c>
      <c r="T911" s="109">
        <v>0</v>
      </c>
      <c r="U911" s="109">
        <v>0</v>
      </c>
      <c r="V911" s="112">
        <v>0</v>
      </c>
      <c r="W911" s="109">
        <v>930</v>
      </c>
      <c r="X911" s="109">
        <v>1</v>
      </c>
      <c r="Y911" s="113">
        <v>1</v>
      </c>
      <c r="Z911" s="18" t="s">
        <v>102</v>
      </c>
      <c r="AA911" s="18" t="s">
        <v>102</v>
      </c>
      <c r="AB911" s="111">
        <v>990</v>
      </c>
      <c r="AC911" s="111">
        <v>850</v>
      </c>
      <c r="AD911" s="111">
        <v>13.4</v>
      </c>
      <c r="AE911" s="18" t="s">
        <v>101</v>
      </c>
      <c r="AF911" s="18" t="s">
        <v>102</v>
      </c>
      <c r="AG911" s="18" t="s">
        <v>102</v>
      </c>
      <c r="AH911" s="18" t="s">
        <v>102</v>
      </c>
      <c r="AI911" s="18" t="s">
        <v>102</v>
      </c>
      <c r="AJ911" s="18" t="s">
        <v>102</v>
      </c>
      <c r="AK911" s="18" t="s">
        <v>102</v>
      </c>
      <c r="AL911" s="18" t="s">
        <v>102</v>
      </c>
      <c r="AM911" s="19"/>
      <c r="AN911" s="20" t="s">
        <v>101</v>
      </c>
      <c r="AO911" s="20" t="s">
        <v>103</v>
      </c>
      <c r="AP911" s="109">
        <v>137</v>
      </c>
      <c r="AQ911" s="110" t="s">
        <v>100</v>
      </c>
      <c r="AR911" s="105">
        <v>137</v>
      </c>
    </row>
    <row r="912" spans="1:44" ht="16.5">
      <c r="A912" s="105">
        <v>138</v>
      </c>
      <c r="B912" s="111" t="s">
        <v>101</v>
      </c>
      <c r="C912" s="111">
        <v>86.629000000000005</v>
      </c>
      <c r="D912" s="111">
        <v>6.75</v>
      </c>
      <c r="E912" s="111">
        <v>2.11</v>
      </c>
      <c r="F912" s="111">
        <v>1.04</v>
      </c>
      <c r="G912" s="111">
        <v>0</v>
      </c>
      <c r="H912" s="111">
        <v>0</v>
      </c>
      <c r="I912" s="111">
        <v>3.1</v>
      </c>
      <c r="J912" s="111">
        <v>0</v>
      </c>
      <c r="K912" s="111">
        <v>0</v>
      </c>
      <c r="L912" s="111">
        <v>0</v>
      </c>
      <c r="M912" s="74" t="str">
        <f t="array" ref="M912">_xlfn.TEXTJOIN("-", TRUE, IF(C912:L912&gt;0, $C$2:$L$2, ""))</f>
        <v xml:space="preserve"> Ti-Al-Zr-Mo-Nb</v>
      </c>
      <c r="N912" s="90">
        <f t="shared" si="28"/>
        <v>873</v>
      </c>
      <c r="O912" s="91">
        <f t="shared" si="29"/>
        <v>5</v>
      </c>
      <c r="P912" s="111">
        <v>1</v>
      </c>
      <c r="Q912" s="111">
        <v>0</v>
      </c>
      <c r="R912" s="111">
        <v>0</v>
      </c>
      <c r="S912" s="111">
        <v>0</v>
      </c>
      <c r="T912" s="109">
        <v>0</v>
      </c>
      <c r="U912" s="109">
        <v>0</v>
      </c>
      <c r="V912" s="112">
        <v>0</v>
      </c>
      <c r="W912" s="109">
        <v>950</v>
      </c>
      <c r="X912" s="109">
        <v>1</v>
      </c>
      <c r="Y912" s="113">
        <v>1</v>
      </c>
      <c r="Z912" s="18" t="s">
        <v>102</v>
      </c>
      <c r="AA912" s="18" t="s">
        <v>102</v>
      </c>
      <c r="AB912" s="111">
        <v>1031</v>
      </c>
      <c r="AC912" s="111">
        <v>883</v>
      </c>
      <c r="AD912" s="111">
        <v>12.6</v>
      </c>
      <c r="AE912" s="18" t="s">
        <v>101</v>
      </c>
      <c r="AF912" s="18" t="s">
        <v>102</v>
      </c>
      <c r="AG912" s="18" t="s">
        <v>102</v>
      </c>
      <c r="AH912" s="18" t="s">
        <v>102</v>
      </c>
      <c r="AI912" s="18" t="s">
        <v>102</v>
      </c>
      <c r="AJ912" s="18" t="s">
        <v>102</v>
      </c>
      <c r="AK912" s="18" t="s">
        <v>102</v>
      </c>
      <c r="AL912" s="18" t="s">
        <v>102</v>
      </c>
      <c r="AM912" s="19"/>
      <c r="AN912" s="20" t="s">
        <v>101</v>
      </c>
      <c r="AO912" s="20" t="s">
        <v>103</v>
      </c>
      <c r="AP912" s="109">
        <v>138</v>
      </c>
      <c r="AQ912" s="110" t="s">
        <v>100</v>
      </c>
      <c r="AR912" s="105">
        <v>138</v>
      </c>
    </row>
    <row r="913" spans="1:46" ht="16.5">
      <c r="A913" s="105">
        <v>139</v>
      </c>
      <c r="B913" s="111" t="s">
        <v>101</v>
      </c>
      <c r="C913" s="111">
        <v>86.629000000000005</v>
      </c>
      <c r="D913" s="111">
        <v>6.75</v>
      </c>
      <c r="E913" s="111">
        <v>2.11</v>
      </c>
      <c r="F913" s="111">
        <v>1.04</v>
      </c>
      <c r="G913" s="111">
        <v>0</v>
      </c>
      <c r="H913" s="111">
        <v>0</v>
      </c>
      <c r="I913" s="111">
        <v>3.1</v>
      </c>
      <c r="J913" s="111">
        <v>0</v>
      </c>
      <c r="K913" s="111">
        <v>0</v>
      </c>
      <c r="L913" s="111">
        <v>0</v>
      </c>
      <c r="M913" s="74" t="str">
        <f t="array" ref="M913">_xlfn.TEXTJOIN("-", TRUE, IF(C913:L913&gt;0, $C$2:$L$2, ""))</f>
        <v xml:space="preserve"> Ti-Al-Zr-Mo-Nb</v>
      </c>
      <c r="N913" s="90">
        <f t="shared" si="28"/>
        <v>873</v>
      </c>
      <c r="O913" s="91">
        <f t="shared" si="29"/>
        <v>5</v>
      </c>
      <c r="P913" s="111">
        <v>1</v>
      </c>
      <c r="Q913" s="111">
        <v>0</v>
      </c>
      <c r="R913" s="111">
        <v>0</v>
      </c>
      <c r="S913" s="111">
        <v>0</v>
      </c>
      <c r="T913" s="109">
        <v>0</v>
      </c>
      <c r="U913" s="109">
        <v>0</v>
      </c>
      <c r="V913" s="112">
        <v>0</v>
      </c>
      <c r="W913" s="109">
        <v>965</v>
      </c>
      <c r="X913" s="109">
        <v>1</v>
      </c>
      <c r="Y913" s="113">
        <v>1</v>
      </c>
      <c r="Z913" s="18" t="s">
        <v>102</v>
      </c>
      <c r="AA913" s="18" t="s">
        <v>102</v>
      </c>
      <c r="AB913" s="111">
        <v>1037</v>
      </c>
      <c r="AC913" s="111">
        <v>891</v>
      </c>
      <c r="AD913" s="111">
        <v>12.7</v>
      </c>
      <c r="AE913" s="18" t="s">
        <v>101</v>
      </c>
      <c r="AF913" s="18" t="s">
        <v>102</v>
      </c>
      <c r="AG913" s="18" t="s">
        <v>102</v>
      </c>
      <c r="AH913" s="18" t="s">
        <v>102</v>
      </c>
      <c r="AI913" s="18" t="s">
        <v>102</v>
      </c>
      <c r="AJ913" s="18" t="s">
        <v>102</v>
      </c>
      <c r="AK913" s="18" t="s">
        <v>102</v>
      </c>
      <c r="AL913" s="18" t="s">
        <v>102</v>
      </c>
      <c r="AM913" s="19"/>
      <c r="AN913" s="20" t="s">
        <v>101</v>
      </c>
      <c r="AO913" s="20" t="s">
        <v>103</v>
      </c>
      <c r="AP913" s="109">
        <v>139</v>
      </c>
      <c r="AQ913" s="110" t="s">
        <v>100</v>
      </c>
      <c r="AR913" s="105">
        <v>139</v>
      </c>
    </row>
    <row r="914" spans="1:46" ht="16.5">
      <c r="A914" s="105">
        <v>140</v>
      </c>
      <c r="B914" s="111" t="s">
        <v>101</v>
      </c>
      <c r="C914" s="111">
        <v>86.629000000000005</v>
      </c>
      <c r="D914" s="111">
        <v>6.75</v>
      </c>
      <c r="E914" s="111">
        <v>2.11</v>
      </c>
      <c r="F914" s="111">
        <v>1.04</v>
      </c>
      <c r="G914" s="111">
        <v>0</v>
      </c>
      <c r="H914" s="111">
        <v>0</v>
      </c>
      <c r="I914" s="111">
        <v>3.1</v>
      </c>
      <c r="J914" s="111">
        <v>0</v>
      </c>
      <c r="K914" s="111">
        <v>0</v>
      </c>
      <c r="L914" s="111">
        <v>0</v>
      </c>
      <c r="M914" s="74" t="str">
        <f t="array" ref="M914">_xlfn.TEXTJOIN("-", TRUE, IF(C914:L914&gt;0, $C$2:$L$2, ""))</f>
        <v xml:space="preserve"> Ti-Al-Zr-Mo-Nb</v>
      </c>
      <c r="N914" s="90">
        <f t="shared" si="28"/>
        <v>873</v>
      </c>
      <c r="O914" s="91">
        <f t="shared" si="29"/>
        <v>5</v>
      </c>
      <c r="P914" s="111">
        <v>1</v>
      </c>
      <c r="Q914" s="111">
        <v>0</v>
      </c>
      <c r="R914" s="111">
        <v>0</v>
      </c>
      <c r="S914" s="111">
        <v>0</v>
      </c>
      <c r="T914" s="109">
        <v>0</v>
      </c>
      <c r="U914" s="109">
        <v>0</v>
      </c>
      <c r="V914" s="112">
        <v>0</v>
      </c>
      <c r="W914" s="109">
        <v>900</v>
      </c>
      <c r="X914" s="109">
        <v>1</v>
      </c>
      <c r="Y914" s="113">
        <v>2</v>
      </c>
      <c r="Z914" s="18" t="s">
        <v>102</v>
      </c>
      <c r="AA914" s="18" t="s">
        <v>102</v>
      </c>
      <c r="AB914" s="111">
        <v>894</v>
      </c>
      <c r="AC914" s="111">
        <v>783</v>
      </c>
      <c r="AD914" s="111">
        <v>17.5</v>
      </c>
      <c r="AE914" s="18" t="s">
        <v>101</v>
      </c>
      <c r="AF914" s="18" t="s">
        <v>102</v>
      </c>
      <c r="AG914" s="18" t="s">
        <v>102</v>
      </c>
      <c r="AH914" s="18" t="s">
        <v>102</v>
      </c>
      <c r="AI914" s="18" t="s">
        <v>102</v>
      </c>
      <c r="AJ914" s="18" t="s">
        <v>102</v>
      </c>
      <c r="AK914" s="18" t="s">
        <v>102</v>
      </c>
      <c r="AL914" s="18" t="s">
        <v>102</v>
      </c>
      <c r="AM914" s="19"/>
      <c r="AN914" s="20" t="s">
        <v>101</v>
      </c>
      <c r="AO914" s="20" t="s">
        <v>103</v>
      </c>
      <c r="AP914" s="109">
        <v>140</v>
      </c>
      <c r="AQ914" s="110" t="s">
        <v>100</v>
      </c>
      <c r="AR914" s="105">
        <v>140</v>
      </c>
    </row>
    <row r="915" spans="1:46" ht="16.5">
      <c r="A915" s="105">
        <v>141</v>
      </c>
      <c r="B915" s="111" t="s">
        <v>101</v>
      </c>
      <c r="C915" s="111">
        <v>86.629000000000005</v>
      </c>
      <c r="D915" s="111">
        <v>6.75</v>
      </c>
      <c r="E915" s="111">
        <v>2.11</v>
      </c>
      <c r="F915" s="111">
        <v>1.04</v>
      </c>
      <c r="G915" s="111">
        <v>0</v>
      </c>
      <c r="H915" s="111">
        <v>0</v>
      </c>
      <c r="I915" s="111">
        <v>3.1</v>
      </c>
      <c r="J915" s="111">
        <v>0</v>
      </c>
      <c r="K915" s="111">
        <v>0</v>
      </c>
      <c r="L915" s="111">
        <v>0</v>
      </c>
      <c r="M915" s="74" t="str">
        <f t="array" ref="M915">_xlfn.TEXTJOIN("-", TRUE, IF(C915:L915&gt;0, $C$2:$L$2, ""))</f>
        <v xml:space="preserve"> Ti-Al-Zr-Mo-Nb</v>
      </c>
      <c r="N915" s="90">
        <f t="shared" si="28"/>
        <v>873</v>
      </c>
      <c r="O915" s="91">
        <f t="shared" si="29"/>
        <v>5</v>
      </c>
      <c r="P915" s="111">
        <v>1</v>
      </c>
      <c r="Q915" s="111">
        <v>0</v>
      </c>
      <c r="R915" s="111">
        <v>0</v>
      </c>
      <c r="S915" s="111">
        <v>0</v>
      </c>
      <c r="T915" s="109">
        <v>0</v>
      </c>
      <c r="U915" s="109">
        <v>0</v>
      </c>
      <c r="V915" s="112">
        <v>0</v>
      </c>
      <c r="W915" s="109">
        <v>930</v>
      </c>
      <c r="X915" s="109">
        <v>1</v>
      </c>
      <c r="Y915" s="113">
        <v>2</v>
      </c>
      <c r="Z915" s="18" t="s">
        <v>102</v>
      </c>
      <c r="AA915" s="18" t="s">
        <v>102</v>
      </c>
      <c r="AB915" s="111">
        <v>864</v>
      </c>
      <c r="AC915" s="111">
        <v>743</v>
      </c>
      <c r="AD915" s="111">
        <v>14.8</v>
      </c>
      <c r="AE915" s="18" t="s">
        <v>101</v>
      </c>
      <c r="AF915" s="18" t="s">
        <v>102</v>
      </c>
      <c r="AG915" s="18" t="s">
        <v>102</v>
      </c>
      <c r="AH915" s="18" t="s">
        <v>102</v>
      </c>
      <c r="AI915" s="18" t="s">
        <v>102</v>
      </c>
      <c r="AJ915" s="18" t="s">
        <v>102</v>
      </c>
      <c r="AK915" s="18" t="s">
        <v>102</v>
      </c>
      <c r="AL915" s="18" t="s">
        <v>102</v>
      </c>
      <c r="AM915" s="19"/>
      <c r="AN915" s="20" t="s">
        <v>101</v>
      </c>
      <c r="AO915" s="20" t="s">
        <v>103</v>
      </c>
      <c r="AP915" s="109">
        <v>141</v>
      </c>
      <c r="AQ915" s="110" t="s">
        <v>100</v>
      </c>
      <c r="AR915" s="105">
        <v>141</v>
      </c>
    </row>
    <row r="916" spans="1:46" ht="16.5">
      <c r="A916" s="117">
        <v>142</v>
      </c>
      <c r="B916" s="111" t="s">
        <v>101</v>
      </c>
      <c r="C916" s="152">
        <v>86.629000000000005</v>
      </c>
      <c r="D916" s="152">
        <v>6.75</v>
      </c>
      <c r="E916" s="152">
        <v>2.11</v>
      </c>
      <c r="F916" s="152">
        <v>1.04</v>
      </c>
      <c r="G916" s="152">
        <v>0</v>
      </c>
      <c r="H916" s="152">
        <v>0</v>
      </c>
      <c r="I916" s="152">
        <v>3.1</v>
      </c>
      <c r="J916" s="152">
        <v>0</v>
      </c>
      <c r="K916" s="152">
        <v>0</v>
      </c>
      <c r="L916" s="152">
        <v>0</v>
      </c>
      <c r="M916" s="74" t="str">
        <f t="array" ref="M916">_xlfn.TEXTJOIN("-", TRUE, IF(C916:L916&gt;0, $C$2:$L$2, ""))</f>
        <v xml:space="preserve"> Ti-Al-Zr-Mo-Nb</v>
      </c>
      <c r="N916" s="90">
        <f t="shared" si="28"/>
        <v>873</v>
      </c>
      <c r="O916" s="91">
        <f t="shared" si="29"/>
        <v>5</v>
      </c>
      <c r="P916" s="152">
        <v>1</v>
      </c>
      <c r="Q916" s="152">
        <v>0</v>
      </c>
      <c r="R916" s="152">
        <v>0</v>
      </c>
      <c r="S916" s="152">
        <v>0</v>
      </c>
      <c r="T916" s="118">
        <v>0</v>
      </c>
      <c r="U916" s="118">
        <v>0</v>
      </c>
      <c r="V916" s="153">
        <v>0</v>
      </c>
      <c r="W916" s="118">
        <v>950</v>
      </c>
      <c r="X916" s="118">
        <v>1</v>
      </c>
      <c r="Y916" s="154">
        <v>2</v>
      </c>
      <c r="Z916" s="18" t="s">
        <v>102</v>
      </c>
      <c r="AA916" s="18" t="s">
        <v>102</v>
      </c>
      <c r="AB916" s="111">
        <v>857</v>
      </c>
      <c r="AC916" s="152">
        <v>755</v>
      </c>
      <c r="AD916" s="111">
        <v>15.6</v>
      </c>
      <c r="AE916" s="18" t="s">
        <v>101</v>
      </c>
      <c r="AF916" s="155" t="s">
        <v>102</v>
      </c>
      <c r="AG916" s="155" t="s">
        <v>102</v>
      </c>
      <c r="AH916" s="155" t="s">
        <v>102</v>
      </c>
      <c r="AI916" s="155" t="s">
        <v>102</v>
      </c>
      <c r="AJ916" s="155" t="s">
        <v>102</v>
      </c>
      <c r="AK916" s="155" t="s">
        <v>102</v>
      </c>
      <c r="AL916" s="155" t="s">
        <v>102</v>
      </c>
      <c r="AM916" s="77"/>
      <c r="AN916" s="136" t="s">
        <v>101</v>
      </c>
      <c r="AO916" s="20" t="s">
        <v>103</v>
      </c>
      <c r="AP916" s="118">
        <v>142</v>
      </c>
      <c r="AQ916" s="119" t="s">
        <v>100</v>
      </c>
      <c r="AR916" s="117">
        <v>142</v>
      </c>
    </row>
    <row r="917" spans="1:46" ht="16.5">
      <c r="A917" s="105">
        <v>143</v>
      </c>
      <c r="B917" s="21" t="s">
        <v>101</v>
      </c>
      <c r="C917" s="21">
        <v>86.629000000000005</v>
      </c>
      <c r="D917" s="21">
        <v>6.75</v>
      </c>
      <c r="E917" s="21">
        <v>2.11</v>
      </c>
      <c r="F917" s="21">
        <v>1.04</v>
      </c>
      <c r="G917" s="21">
        <v>0</v>
      </c>
      <c r="H917" s="21">
        <v>0</v>
      </c>
      <c r="I917" s="21">
        <v>3.1</v>
      </c>
      <c r="J917" s="21">
        <v>0</v>
      </c>
      <c r="K917" s="21">
        <v>0</v>
      </c>
      <c r="L917" s="21">
        <v>0</v>
      </c>
      <c r="M917" s="74" t="str">
        <f t="array" ref="M917">_xlfn.TEXTJOIN("-", TRUE, IF(C917:L917&gt;0, $C$2:$L$2, ""))</f>
        <v xml:space="preserve"> Ti-Al-Zr-Mo-Nb</v>
      </c>
      <c r="N917" s="90">
        <f t="shared" si="28"/>
        <v>873</v>
      </c>
      <c r="O917" s="91">
        <f t="shared" si="29"/>
        <v>5</v>
      </c>
      <c r="P917" s="21">
        <v>1</v>
      </c>
      <c r="Q917" s="21">
        <v>0</v>
      </c>
      <c r="R917" s="21">
        <v>0</v>
      </c>
      <c r="S917" s="21">
        <v>0</v>
      </c>
      <c r="T917" s="22">
        <v>0</v>
      </c>
      <c r="U917" s="22">
        <v>0</v>
      </c>
      <c r="V917" s="106">
        <v>0</v>
      </c>
      <c r="W917" s="22">
        <v>965</v>
      </c>
      <c r="X917" s="22">
        <v>1</v>
      </c>
      <c r="Y917" s="107">
        <v>2</v>
      </c>
      <c r="Z917" s="23" t="s">
        <v>102</v>
      </c>
      <c r="AA917" s="23" t="s">
        <v>102</v>
      </c>
      <c r="AB917" s="21">
        <v>896</v>
      </c>
      <c r="AC917" s="21">
        <v>796</v>
      </c>
      <c r="AD917" s="21">
        <v>15</v>
      </c>
      <c r="AE917" s="23" t="s">
        <v>101</v>
      </c>
      <c r="AF917" s="23" t="s">
        <v>102</v>
      </c>
      <c r="AG917" s="23" t="s">
        <v>102</v>
      </c>
      <c r="AH917" s="23" t="s">
        <v>102</v>
      </c>
      <c r="AI917" s="23" t="s">
        <v>102</v>
      </c>
      <c r="AJ917" s="23" t="s">
        <v>102</v>
      </c>
      <c r="AK917" s="23" t="s">
        <v>102</v>
      </c>
      <c r="AL917" s="23" t="s">
        <v>102</v>
      </c>
      <c r="AM917" s="24"/>
      <c r="AN917" s="108" t="s">
        <v>101</v>
      </c>
      <c r="AO917" s="108" t="s">
        <v>103</v>
      </c>
      <c r="AP917" s="109">
        <v>143</v>
      </c>
      <c r="AQ917" s="110" t="s">
        <v>100</v>
      </c>
      <c r="AR917" s="105">
        <v>143</v>
      </c>
    </row>
    <row r="918" spans="1:46" ht="16.5">
      <c r="A918" s="37">
        <v>129</v>
      </c>
      <c r="B918" s="24" t="s">
        <v>597</v>
      </c>
      <c r="C918" s="39">
        <v>86.2</v>
      </c>
      <c r="D918" s="39">
        <v>6</v>
      </c>
      <c r="E918" s="39">
        <v>0</v>
      </c>
      <c r="F918" s="39">
        <v>5</v>
      </c>
      <c r="G918" s="39">
        <v>0.5</v>
      </c>
      <c r="H918" s="39">
        <v>0</v>
      </c>
      <c r="I918" s="39">
        <v>0</v>
      </c>
      <c r="J918" s="39">
        <v>0</v>
      </c>
      <c r="K918" s="39">
        <v>0</v>
      </c>
      <c r="L918" s="39">
        <v>2</v>
      </c>
      <c r="M918" s="74" t="str">
        <f t="array" ref="M918">_xlfn.TEXTJOIN("-", TRUE, IF(C918:L918&gt;0, $C$2:$L$2, ""))</f>
        <v xml:space="preserve"> Ti-Al-Mo-V-Sn</v>
      </c>
      <c r="N918" s="90">
        <f t="shared" si="28"/>
        <v>918</v>
      </c>
      <c r="O918" s="91">
        <f t="shared" si="29"/>
        <v>5</v>
      </c>
      <c r="P918" s="39">
        <v>2</v>
      </c>
      <c r="Q918" s="39">
        <v>2</v>
      </c>
      <c r="R918" s="39" t="s">
        <v>81</v>
      </c>
      <c r="S918" s="39" t="s">
        <v>81</v>
      </c>
      <c r="T918" s="39">
        <v>990</v>
      </c>
      <c r="U918" s="39">
        <v>1</v>
      </c>
      <c r="V918" s="39">
        <v>3</v>
      </c>
      <c r="W918" s="39">
        <v>700</v>
      </c>
      <c r="X918" s="39">
        <v>2</v>
      </c>
      <c r="Y918" s="39">
        <v>2</v>
      </c>
      <c r="Z918" s="39"/>
      <c r="AA918" s="39"/>
      <c r="AB918" s="39">
        <v>1125</v>
      </c>
      <c r="AC918" s="39">
        <v>927</v>
      </c>
      <c r="AD918" s="39">
        <v>12.5</v>
      </c>
      <c r="AE918" s="39"/>
      <c r="AF918" s="39"/>
      <c r="AG918" s="39"/>
      <c r="AH918" s="39"/>
      <c r="AI918" s="39"/>
      <c r="AJ918" s="39">
        <v>39.83</v>
      </c>
      <c r="AK918" s="39"/>
      <c r="AL918" s="39"/>
      <c r="AM918" s="39"/>
      <c r="AN918" s="40"/>
      <c r="AO918" s="40" t="s">
        <v>262</v>
      </c>
      <c r="AP918" s="44">
        <v>33</v>
      </c>
      <c r="AQ918" s="41" t="s">
        <v>83</v>
      </c>
      <c r="AR918" s="128" t="s">
        <v>598</v>
      </c>
      <c r="AS918" s="10" t="s">
        <v>151</v>
      </c>
      <c r="AT918" s="11" t="s">
        <v>599</v>
      </c>
    </row>
    <row r="919" spans="1:46" ht="16.5">
      <c r="A919" s="37">
        <v>130</v>
      </c>
      <c r="B919" s="24" t="s">
        <v>597</v>
      </c>
      <c r="C919" s="39">
        <v>86.2</v>
      </c>
      <c r="D919" s="39">
        <v>6</v>
      </c>
      <c r="E919" s="39">
        <v>0</v>
      </c>
      <c r="F919" s="39">
        <v>5</v>
      </c>
      <c r="G919" s="39">
        <v>0.5</v>
      </c>
      <c r="H919" s="39">
        <v>0</v>
      </c>
      <c r="I919" s="39">
        <v>0</v>
      </c>
      <c r="J919" s="39">
        <v>0</v>
      </c>
      <c r="K919" s="39">
        <v>0</v>
      </c>
      <c r="L919" s="39">
        <v>2</v>
      </c>
      <c r="M919" s="74" t="str">
        <f t="array" ref="M919">_xlfn.TEXTJOIN("-", TRUE, IF(C919:L919&gt;0, $C$2:$L$2, ""))</f>
        <v xml:space="preserve"> Ti-Al-Mo-V-Sn</v>
      </c>
      <c r="N919" s="90">
        <f t="shared" si="28"/>
        <v>918</v>
      </c>
      <c r="O919" s="91">
        <f t="shared" si="29"/>
        <v>5</v>
      </c>
      <c r="P919" s="39">
        <v>2</v>
      </c>
      <c r="Q919" s="39">
        <v>2</v>
      </c>
      <c r="R919" s="39" t="s">
        <v>81</v>
      </c>
      <c r="S919" s="39" t="s">
        <v>81</v>
      </c>
      <c r="T919" s="39">
        <v>600</v>
      </c>
      <c r="U919" s="39">
        <v>2</v>
      </c>
      <c r="V919" s="39">
        <v>2</v>
      </c>
      <c r="W919" s="39">
        <v>0</v>
      </c>
      <c r="X919" s="39">
        <v>0</v>
      </c>
      <c r="Y919" s="39">
        <v>0</v>
      </c>
      <c r="Z919" s="39"/>
      <c r="AA919" s="39"/>
      <c r="AB919" s="39">
        <v>1231</v>
      </c>
      <c r="AC919" s="39">
        <v>1060</v>
      </c>
      <c r="AD919" s="39">
        <v>19.3</v>
      </c>
      <c r="AE919" s="39"/>
      <c r="AF919" s="39"/>
      <c r="AG919" s="39"/>
      <c r="AH919" s="39"/>
      <c r="AI919" s="39"/>
      <c r="AJ919" s="39">
        <v>56.03</v>
      </c>
      <c r="AK919" s="39"/>
      <c r="AL919" s="39"/>
      <c r="AM919" s="39"/>
      <c r="AN919" s="40"/>
      <c r="AO919" s="40" t="s">
        <v>262</v>
      </c>
      <c r="AP919" s="44">
        <v>33</v>
      </c>
      <c r="AQ919" s="41" t="s">
        <v>83</v>
      </c>
      <c r="AR919" s="128" t="s">
        <v>262</v>
      </c>
      <c r="AS919" s="10" t="s">
        <v>151</v>
      </c>
      <c r="AT919" s="11" t="s">
        <v>599</v>
      </c>
    </row>
    <row r="920" spans="1:46" ht="16.5">
      <c r="A920" s="42">
        <v>131</v>
      </c>
      <c r="B920" s="24" t="s">
        <v>597</v>
      </c>
      <c r="C920" s="39">
        <v>86.2</v>
      </c>
      <c r="D920" s="39">
        <v>6</v>
      </c>
      <c r="E920" s="39">
        <v>0</v>
      </c>
      <c r="F920" s="39">
        <v>5</v>
      </c>
      <c r="G920" s="39">
        <v>0.5</v>
      </c>
      <c r="H920" s="39">
        <v>0</v>
      </c>
      <c r="I920" s="39">
        <v>0</v>
      </c>
      <c r="J920" s="39">
        <v>0</v>
      </c>
      <c r="K920" s="39">
        <v>0</v>
      </c>
      <c r="L920" s="39">
        <v>2</v>
      </c>
      <c r="M920" s="74" t="str">
        <f t="array" ref="M920">_xlfn.TEXTJOIN("-", TRUE, IF(C920:L920&gt;0, $C$2:$L$2, ""))</f>
        <v xml:space="preserve"> Ti-Al-Mo-V-Sn</v>
      </c>
      <c r="N920" s="90">
        <f t="shared" si="28"/>
        <v>918</v>
      </c>
      <c r="O920" s="91">
        <f t="shared" si="29"/>
        <v>5</v>
      </c>
      <c r="P920" s="39">
        <v>2</v>
      </c>
      <c r="Q920" s="39">
        <v>2</v>
      </c>
      <c r="R920" s="39" t="s">
        <v>81</v>
      </c>
      <c r="S920" s="39" t="s">
        <v>81</v>
      </c>
      <c r="T920" s="39">
        <v>955</v>
      </c>
      <c r="U920" s="39">
        <v>1</v>
      </c>
      <c r="V920" s="39">
        <v>1</v>
      </c>
      <c r="W920" s="39">
        <v>910</v>
      </c>
      <c r="X920" s="39">
        <v>1</v>
      </c>
      <c r="Y920" s="39">
        <v>2</v>
      </c>
      <c r="Z920" s="39"/>
      <c r="AA920" s="39"/>
      <c r="AB920" s="39">
        <v>1197</v>
      </c>
      <c r="AC920" s="39">
        <v>1055</v>
      </c>
      <c r="AD920" s="39">
        <v>14.9</v>
      </c>
      <c r="AE920" s="39"/>
      <c r="AF920" s="39"/>
      <c r="AG920" s="39"/>
      <c r="AH920" s="39"/>
      <c r="AI920" s="39"/>
      <c r="AJ920" s="39">
        <v>62.26</v>
      </c>
      <c r="AK920" s="39"/>
      <c r="AL920" s="39"/>
      <c r="AM920" s="39"/>
      <c r="AN920" s="40"/>
      <c r="AO920" s="40" t="s">
        <v>262</v>
      </c>
      <c r="AP920" s="76">
        <v>33</v>
      </c>
      <c r="AQ920" s="41" t="s">
        <v>83</v>
      </c>
      <c r="AR920" s="127" t="s">
        <v>262</v>
      </c>
      <c r="AS920" s="10" t="s">
        <v>151</v>
      </c>
      <c r="AT920" s="11" t="s">
        <v>599</v>
      </c>
    </row>
    <row r="921" spans="1:46" ht="16.5">
      <c r="A921" s="37">
        <v>163</v>
      </c>
      <c r="B921" s="39"/>
      <c r="C921" s="39">
        <v>86.7</v>
      </c>
      <c r="D921" s="39">
        <v>4.8</v>
      </c>
      <c r="E921" s="39">
        <v>4.2</v>
      </c>
      <c r="F921" s="39">
        <v>2</v>
      </c>
      <c r="G921" s="39">
        <v>0</v>
      </c>
      <c r="H921" s="39">
        <v>0</v>
      </c>
      <c r="I921" s="39">
        <v>0</v>
      </c>
      <c r="J921" s="39">
        <v>0</v>
      </c>
      <c r="K921" s="39">
        <v>0</v>
      </c>
      <c r="L921" s="39">
        <v>2.2999999999999998</v>
      </c>
      <c r="M921" s="74" t="str">
        <f t="array" ref="M921">_xlfn.TEXTJOIN("-", TRUE, IF(C921:L921&gt;0, $C$2:$L$2, ""))</f>
        <v xml:space="preserve"> Ti-Al-Zr-Mo-Sn</v>
      </c>
      <c r="N921" s="90">
        <f t="shared" si="28"/>
        <v>921</v>
      </c>
      <c r="O921" s="91">
        <f t="shared" si="29"/>
        <v>5</v>
      </c>
      <c r="P921" s="39" t="s">
        <v>81</v>
      </c>
      <c r="Q921" s="39">
        <v>2</v>
      </c>
      <c r="R921" s="39" t="s">
        <v>81</v>
      </c>
      <c r="S921" s="39">
        <v>50</v>
      </c>
      <c r="T921" s="39">
        <v>950</v>
      </c>
      <c r="U921" s="39">
        <v>1</v>
      </c>
      <c r="V921" s="39">
        <v>2</v>
      </c>
      <c r="W921" s="39">
        <v>590</v>
      </c>
      <c r="X921" s="39">
        <v>8</v>
      </c>
      <c r="Y921" s="39">
        <v>2</v>
      </c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>
        <v>33.200000000000003</v>
      </c>
      <c r="AM921" s="39"/>
      <c r="AN921" s="40"/>
      <c r="AO921" s="40" t="s">
        <v>268</v>
      </c>
      <c r="AP921" s="44">
        <v>41</v>
      </c>
      <c r="AQ921" s="41" t="s">
        <v>83</v>
      </c>
      <c r="AR921" s="37">
        <v>163</v>
      </c>
    </row>
    <row r="922" spans="1:46" ht="16.5">
      <c r="A922" s="37">
        <v>164</v>
      </c>
      <c r="B922" s="39"/>
      <c r="C922" s="39">
        <v>85.8</v>
      </c>
      <c r="D922" s="39">
        <v>4.8</v>
      </c>
      <c r="E922" s="39">
        <v>4.0999999999999996</v>
      </c>
      <c r="F922" s="39">
        <v>2</v>
      </c>
      <c r="G922" s="39">
        <v>0</v>
      </c>
      <c r="H922" s="39">
        <v>0</v>
      </c>
      <c r="I922" s="39">
        <v>0</v>
      </c>
      <c r="J922" s="39">
        <v>0</v>
      </c>
      <c r="K922" s="39">
        <v>0</v>
      </c>
      <c r="L922" s="39">
        <v>2.2000000000000002</v>
      </c>
      <c r="M922" s="74" t="str">
        <f t="array" ref="M922">_xlfn.TEXTJOIN("-", TRUE, IF(C922:L922&gt;0, $C$2:$L$2, ""))</f>
        <v xml:space="preserve"> Ti-Al-Zr-Mo-Sn</v>
      </c>
      <c r="N922" s="90">
        <f t="shared" si="28"/>
        <v>921</v>
      </c>
      <c r="O922" s="91">
        <f t="shared" si="29"/>
        <v>5</v>
      </c>
      <c r="P922" s="39" t="s">
        <v>81</v>
      </c>
      <c r="Q922" s="39">
        <v>2</v>
      </c>
      <c r="R922" s="39" t="s">
        <v>81</v>
      </c>
      <c r="S922" s="39">
        <v>50</v>
      </c>
      <c r="T922" s="39">
        <v>950</v>
      </c>
      <c r="U922" s="39">
        <v>1</v>
      </c>
      <c r="V922" s="39">
        <v>2</v>
      </c>
      <c r="W922" s="39">
        <v>590</v>
      </c>
      <c r="X922" s="39">
        <v>8</v>
      </c>
      <c r="Y922" s="39">
        <v>2</v>
      </c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>
        <v>16.600000000000001</v>
      </c>
      <c r="AM922" s="39"/>
      <c r="AN922" s="40"/>
      <c r="AO922" s="40" t="s">
        <v>268</v>
      </c>
      <c r="AP922" s="44">
        <v>41</v>
      </c>
      <c r="AQ922" s="41" t="s">
        <v>83</v>
      </c>
      <c r="AR922" s="37">
        <v>164</v>
      </c>
    </row>
    <row r="923" spans="1:46" ht="16.5">
      <c r="A923" s="37">
        <v>165</v>
      </c>
      <c r="B923" s="39"/>
      <c r="C923" s="39">
        <v>82.4</v>
      </c>
      <c r="D923" s="39">
        <v>5</v>
      </c>
      <c r="E923" s="39">
        <v>4</v>
      </c>
      <c r="F923" s="39">
        <v>2.1</v>
      </c>
      <c r="G923" s="39">
        <v>0</v>
      </c>
      <c r="H923" s="39">
        <v>0</v>
      </c>
      <c r="I923" s="39">
        <v>0</v>
      </c>
      <c r="J923" s="39">
        <v>0</v>
      </c>
      <c r="K923" s="39">
        <v>0</v>
      </c>
      <c r="L923" s="39">
        <v>2.4</v>
      </c>
      <c r="M923" s="74" t="str">
        <f t="array" ref="M923">_xlfn.TEXTJOIN("-", TRUE, IF(C923:L923&gt;0, $C$2:$L$2, ""))</f>
        <v xml:space="preserve"> Ti-Al-Zr-Mo-Sn</v>
      </c>
      <c r="N923" s="90">
        <f t="shared" si="28"/>
        <v>921</v>
      </c>
      <c r="O923" s="91">
        <f t="shared" si="29"/>
        <v>5</v>
      </c>
      <c r="P923" s="39" t="s">
        <v>81</v>
      </c>
      <c r="Q923" s="39">
        <v>2</v>
      </c>
      <c r="R923" s="39" t="s">
        <v>81</v>
      </c>
      <c r="S923" s="39">
        <v>50</v>
      </c>
      <c r="T923" s="39">
        <v>950</v>
      </c>
      <c r="U923" s="39">
        <v>1</v>
      </c>
      <c r="V923" s="39">
        <v>2</v>
      </c>
      <c r="W923" s="39">
        <v>590</v>
      </c>
      <c r="X923" s="39">
        <v>8</v>
      </c>
      <c r="Y923" s="39">
        <v>2</v>
      </c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>
        <v>6.3</v>
      </c>
      <c r="AM923" s="39"/>
      <c r="AN923" s="40"/>
      <c r="AO923" s="40" t="s">
        <v>268</v>
      </c>
      <c r="AP923" s="44">
        <v>41</v>
      </c>
      <c r="AQ923" s="38" t="s">
        <v>83</v>
      </c>
      <c r="AR923" s="37">
        <v>165</v>
      </c>
    </row>
    <row r="924" spans="1:46" ht="16.5">
      <c r="A924" s="37">
        <v>175</v>
      </c>
      <c r="B924" s="39"/>
      <c r="C924" s="39">
        <v>88</v>
      </c>
      <c r="D924" s="39">
        <v>5.7</v>
      </c>
      <c r="E924" s="39">
        <v>1.2</v>
      </c>
      <c r="F924" s="39">
        <v>3.8</v>
      </c>
      <c r="G924" s="39">
        <v>0</v>
      </c>
      <c r="H924" s="39">
        <v>0</v>
      </c>
      <c r="I924" s="39">
        <v>0</v>
      </c>
      <c r="J924" s="39">
        <v>0</v>
      </c>
      <c r="K924" s="39">
        <v>0</v>
      </c>
      <c r="L924" s="39">
        <v>1.3</v>
      </c>
      <c r="M924" s="74" t="str">
        <f t="array" ref="M924">_xlfn.TEXTJOIN("-", TRUE, IF(C924:L924&gt;0, $C$2:$L$2, ""))</f>
        <v xml:space="preserve"> Ti-Al-Zr-Mo-Sn</v>
      </c>
      <c r="N924" s="90">
        <f t="shared" si="28"/>
        <v>921</v>
      </c>
      <c r="O924" s="91">
        <f t="shared" si="29"/>
        <v>5</v>
      </c>
      <c r="P924" s="39">
        <v>2</v>
      </c>
      <c r="Q924" s="39">
        <v>1</v>
      </c>
      <c r="R924" s="39" t="s">
        <v>81</v>
      </c>
      <c r="S924" s="39" t="s">
        <v>81</v>
      </c>
      <c r="T924" s="39">
        <v>940</v>
      </c>
      <c r="U924" s="156">
        <v>1</v>
      </c>
      <c r="V924" s="39">
        <v>1</v>
      </c>
      <c r="W924" s="39">
        <v>700</v>
      </c>
      <c r="X924" s="39">
        <v>1</v>
      </c>
      <c r="Y924" s="39">
        <v>2</v>
      </c>
      <c r="Z924" s="39"/>
      <c r="AA924" s="39"/>
      <c r="AB924" s="39">
        <v>1040</v>
      </c>
      <c r="AC924" s="39">
        <v>970</v>
      </c>
      <c r="AD924" s="39">
        <v>15</v>
      </c>
      <c r="AE924" s="39">
        <v>5</v>
      </c>
      <c r="AF924" s="39"/>
      <c r="AG924" s="39"/>
      <c r="AH924" s="39"/>
      <c r="AI924" s="39"/>
      <c r="AJ924" s="39"/>
      <c r="AK924" s="39"/>
      <c r="AL924" s="39">
        <v>510</v>
      </c>
      <c r="AM924" s="39"/>
      <c r="AN924" s="40"/>
      <c r="AO924" s="40" t="s">
        <v>269</v>
      </c>
      <c r="AP924" s="44">
        <v>44</v>
      </c>
      <c r="AQ924" s="41" t="s">
        <v>83</v>
      </c>
      <c r="AR924" s="128" t="s">
        <v>600</v>
      </c>
      <c r="AS924" s="10" t="s">
        <v>151</v>
      </c>
      <c r="AT924" s="11" t="s">
        <v>601</v>
      </c>
    </row>
    <row r="925" spans="1:46" ht="16.5">
      <c r="A925" s="37">
        <v>176</v>
      </c>
      <c r="B925" s="39"/>
      <c r="C925" s="39">
        <v>88</v>
      </c>
      <c r="D925" s="39">
        <v>5.7</v>
      </c>
      <c r="E925" s="39">
        <v>1.2</v>
      </c>
      <c r="F925" s="39">
        <v>3.8</v>
      </c>
      <c r="G925" s="39">
        <v>0</v>
      </c>
      <c r="H925" s="39">
        <v>0</v>
      </c>
      <c r="I925" s="39">
        <v>0</v>
      </c>
      <c r="J925" s="39">
        <v>0</v>
      </c>
      <c r="K925" s="39">
        <v>0</v>
      </c>
      <c r="L925" s="39">
        <v>1.3</v>
      </c>
      <c r="M925" s="74" t="str">
        <f t="array" ref="M925">_xlfn.TEXTJOIN("-", TRUE, IF(C925:L925&gt;0, $C$2:$L$2, ""))</f>
        <v xml:space="preserve"> Ti-Al-Zr-Mo-Sn</v>
      </c>
      <c r="N925" s="90">
        <f t="shared" si="28"/>
        <v>921</v>
      </c>
      <c r="O925" s="91">
        <f t="shared" si="29"/>
        <v>5</v>
      </c>
      <c r="P925" s="39" t="s">
        <v>81</v>
      </c>
      <c r="Q925" s="39" t="s">
        <v>81</v>
      </c>
      <c r="R925" s="39" t="s">
        <v>81</v>
      </c>
      <c r="S925" s="39" t="s">
        <v>81</v>
      </c>
      <c r="T925" s="39">
        <v>940</v>
      </c>
      <c r="U925" s="39" t="s">
        <v>81</v>
      </c>
      <c r="V925" s="39">
        <v>1</v>
      </c>
      <c r="W925" s="39">
        <v>0</v>
      </c>
      <c r="X925" s="39">
        <v>0</v>
      </c>
      <c r="Y925" s="39">
        <v>0</v>
      </c>
      <c r="Z925" s="39"/>
      <c r="AA925" s="39"/>
      <c r="AB925" s="39">
        <v>1150</v>
      </c>
      <c r="AC925" s="39">
        <v>1080</v>
      </c>
      <c r="AD925" s="39">
        <v>10</v>
      </c>
      <c r="AE925" s="39">
        <v>1.3</v>
      </c>
      <c r="AF925" s="39"/>
      <c r="AG925" s="39"/>
      <c r="AH925" s="39"/>
      <c r="AI925" s="39"/>
      <c r="AJ925" s="39"/>
      <c r="AK925" s="39"/>
      <c r="AL925" s="39">
        <v>254</v>
      </c>
      <c r="AM925" s="39"/>
      <c r="AN925" s="40"/>
      <c r="AO925" s="40" t="s">
        <v>269</v>
      </c>
      <c r="AP925" s="44">
        <v>44</v>
      </c>
      <c r="AQ925" s="41" t="s">
        <v>83</v>
      </c>
      <c r="AR925" s="37">
        <v>176</v>
      </c>
    </row>
    <row r="926" spans="1:46" ht="16.5">
      <c r="A926" s="37">
        <v>177</v>
      </c>
      <c r="B926" s="39"/>
      <c r="C926" s="39">
        <v>88</v>
      </c>
      <c r="D926" s="39">
        <v>5.7</v>
      </c>
      <c r="E926" s="39">
        <v>1.2</v>
      </c>
      <c r="F926" s="39">
        <v>3.8</v>
      </c>
      <c r="G926" s="39">
        <v>0</v>
      </c>
      <c r="H926" s="39">
        <v>0</v>
      </c>
      <c r="I926" s="39">
        <v>0</v>
      </c>
      <c r="J926" s="39">
        <v>0</v>
      </c>
      <c r="K926" s="39">
        <v>0</v>
      </c>
      <c r="L926" s="39">
        <v>1.3</v>
      </c>
      <c r="M926" s="74" t="str">
        <f t="array" ref="M926">_xlfn.TEXTJOIN("-", TRUE, IF(C926:L926&gt;0, $C$2:$L$2, ""))</f>
        <v xml:space="preserve"> Ti-Al-Zr-Mo-Sn</v>
      </c>
      <c r="N926" s="90">
        <f t="shared" si="28"/>
        <v>921</v>
      </c>
      <c r="O926" s="91">
        <f t="shared" si="29"/>
        <v>5</v>
      </c>
      <c r="P926" s="39" t="s">
        <v>81</v>
      </c>
      <c r="Q926" s="39" t="s">
        <v>81</v>
      </c>
      <c r="R926" s="39" t="s">
        <v>81</v>
      </c>
      <c r="S926" s="39" t="s">
        <v>81</v>
      </c>
      <c r="T926" s="39">
        <v>940</v>
      </c>
      <c r="U926" s="39" t="s">
        <v>81</v>
      </c>
      <c r="V926" s="39">
        <v>1</v>
      </c>
      <c r="W926" s="39">
        <v>0</v>
      </c>
      <c r="X926" s="39">
        <v>0</v>
      </c>
      <c r="Y926" s="39">
        <v>0</v>
      </c>
      <c r="Z926" s="39"/>
      <c r="AA926" s="39"/>
      <c r="AB926" s="39">
        <v>1230</v>
      </c>
      <c r="AC926" s="39">
        <v>1150</v>
      </c>
      <c r="AD926" s="39">
        <v>11</v>
      </c>
      <c r="AE926" s="39">
        <v>3.8</v>
      </c>
      <c r="AF926" s="39"/>
      <c r="AG926" s="39"/>
      <c r="AH926" s="39"/>
      <c r="AI926" s="39"/>
      <c r="AJ926" s="39"/>
      <c r="AK926" s="39"/>
      <c r="AL926" s="39">
        <v>246</v>
      </c>
      <c r="AM926" s="39"/>
      <c r="AN926" s="40"/>
      <c r="AO926" s="40" t="s">
        <v>269</v>
      </c>
      <c r="AP926" s="44">
        <v>44</v>
      </c>
      <c r="AQ926" s="38" t="s">
        <v>83</v>
      </c>
      <c r="AR926" s="37">
        <v>177</v>
      </c>
    </row>
    <row r="927" spans="1:46" ht="16.5">
      <c r="A927" s="105">
        <v>43</v>
      </c>
      <c r="B927" s="21" t="s">
        <v>101</v>
      </c>
      <c r="C927" s="21">
        <v>81.3</v>
      </c>
      <c r="D927" s="21">
        <v>6.5</v>
      </c>
      <c r="E927" s="21">
        <v>4</v>
      </c>
      <c r="F927" s="21">
        <v>5</v>
      </c>
      <c r="G927" s="21">
        <v>0</v>
      </c>
      <c r="H927" s="21">
        <v>0</v>
      </c>
      <c r="I927" s="21">
        <v>0</v>
      </c>
      <c r="J927" s="21">
        <v>0</v>
      </c>
      <c r="K927" s="21">
        <v>0</v>
      </c>
      <c r="L927" s="21">
        <v>2</v>
      </c>
      <c r="M927" s="74" t="str">
        <f t="array" ref="M927">_xlfn.TEXTJOIN("-", TRUE, IF(C927:L927&gt;0, $C$2:$L$2, ""))</f>
        <v xml:space="preserve"> Ti-Al-Zr-Mo-Sn</v>
      </c>
      <c r="N927" s="90">
        <f t="shared" si="28"/>
        <v>921</v>
      </c>
      <c r="O927" s="91">
        <f t="shared" si="29"/>
        <v>5</v>
      </c>
      <c r="P927" s="21">
        <v>1</v>
      </c>
      <c r="Q927" s="21">
        <v>0</v>
      </c>
      <c r="R927" s="21">
        <v>0</v>
      </c>
      <c r="S927" s="21">
        <v>0</v>
      </c>
      <c r="T927" s="22">
        <v>958</v>
      </c>
      <c r="U927" s="22">
        <v>2</v>
      </c>
      <c r="V927" s="106">
        <v>2</v>
      </c>
      <c r="W927" s="22">
        <v>550</v>
      </c>
      <c r="X927" s="22">
        <v>6</v>
      </c>
      <c r="Y927" s="107">
        <v>2</v>
      </c>
      <c r="Z927" s="23" t="s">
        <v>102</v>
      </c>
      <c r="AA927" s="23" t="s">
        <v>102</v>
      </c>
      <c r="AB927" s="21">
        <v>1292</v>
      </c>
      <c r="AC927" s="21">
        <v>1135.5</v>
      </c>
      <c r="AD927" s="21">
        <v>11</v>
      </c>
      <c r="AE927" s="23" t="s">
        <v>101</v>
      </c>
      <c r="AF927" s="23" t="s">
        <v>102</v>
      </c>
      <c r="AG927" s="23" t="s">
        <v>102</v>
      </c>
      <c r="AH927" s="23" t="s">
        <v>102</v>
      </c>
      <c r="AI927" s="23" t="s">
        <v>102</v>
      </c>
      <c r="AJ927" s="23" t="s">
        <v>102</v>
      </c>
      <c r="AK927" s="23" t="s">
        <v>102</v>
      </c>
      <c r="AL927" s="23" t="s">
        <v>102</v>
      </c>
      <c r="AM927" s="24"/>
      <c r="AN927" s="108" t="s">
        <v>101</v>
      </c>
      <c r="AO927" s="108" t="s">
        <v>103</v>
      </c>
      <c r="AP927" s="109">
        <v>43</v>
      </c>
      <c r="AQ927" s="110" t="s">
        <v>100</v>
      </c>
      <c r="AR927" s="105">
        <v>43</v>
      </c>
    </row>
    <row r="928" spans="1:46" ht="16.5">
      <c r="A928" s="105">
        <v>44</v>
      </c>
      <c r="B928" s="21" t="s">
        <v>101</v>
      </c>
      <c r="C928" s="21">
        <v>81.3</v>
      </c>
      <c r="D928" s="21">
        <v>6.5</v>
      </c>
      <c r="E928" s="21">
        <v>4</v>
      </c>
      <c r="F928" s="21">
        <v>5</v>
      </c>
      <c r="G928" s="21">
        <v>0</v>
      </c>
      <c r="H928" s="21">
        <v>0</v>
      </c>
      <c r="I928" s="21">
        <v>0</v>
      </c>
      <c r="J928" s="21">
        <v>0</v>
      </c>
      <c r="K928" s="21">
        <v>0</v>
      </c>
      <c r="L928" s="21">
        <v>2</v>
      </c>
      <c r="M928" s="74" t="str">
        <f t="array" ref="M928">_xlfn.TEXTJOIN("-", TRUE, IF(C928:L928&gt;0, $C$2:$L$2, ""))</f>
        <v xml:space="preserve"> Ti-Al-Zr-Mo-Sn</v>
      </c>
      <c r="N928" s="90">
        <f t="shared" si="28"/>
        <v>921</v>
      </c>
      <c r="O928" s="91">
        <f t="shared" si="29"/>
        <v>5</v>
      </c>
      <c r="P928" s="21">
        <v>1</v>
      </c>
      <c r="Q928" s="21">
        <v>0</v>
      </c>
      <c r="R928" s="21">
        <v>0</v>
      </c>
      <c r="S928" s="21">
        <v>0</v>
      </c>
      <c r="T928" s="22">
        <v>958</v>
      </c>
      <c r="U928" s="22">
        <v>2</v>
      </c>
      <c r="V928" s="106">
        <v>2</v>
      </c>
      <c r="W928" s="22">
        <v>520</v>
      </c>
      <c r="X928" s="22">
        <v>6</v>
      </c>
      <c r="Y928" s="107">
        <v>2</v>
      </c>
      <c r="Z928" s="23" t="s">
        <v>102</v>
      </c>
      <c r="AA928" s="23" t="s">
        <v>102</v>
      </c>
      <c r="AB928" s="21">
        <v>1261.5</v>
      </c>
      <c r="AC928" s="21">
        <v>1099</v>
      </c>
      <c r="AD928" s="21">
        <v>14</v>
      </c>
      <c r="AE928" s="23" t="s">
        <v>101</v>
      </c>
      <c r="AF928" s="23" t="s">
        <v>102</v>
      </c>
      <c r="AG928" s="23" t="s">
        <v>102</v>
      </c>
      <c r="AH928" s="23" t="s">
        <v>102</v>
      </c>
      <c r="AI928" s="23" t="s">
        <v>102</v>
      </c>
      <c r="AJ928" s="23" t="s">
        <v>102</v>
      </c>
      <c r="AK928" s="23" t="s">
        <v>102</v>
      </c>
      <c r="AL928" s="23" t="s">
        <v>102</v>
      </c>
      <c r="AM928" s="24"/>
      <c r="AN928" s="108" t="s">
        <v>101</v>
      </c>
      <c r="AO928" s="108" t="s">
        <v>103</v>
      </c>
      <c r="AP928" s="109">
        <v>44</v>
      </c>
      <c r="AQ928" s="110" t="s">
        <v>100</v>
      </c>
      <c r="AR928" s="105">
        <v>44</v>
      </c>
    </row>
    <row r="929" spans="1:44" ht="16.5">
      <c r="A929" s="117">
        <v>45</v>
      </c>
      <c r="B929" s="21" t="s">
        <v>101</v>
      </c>
      <c r="C929" s="21">
        <v>81.3</v>
      </c>
      <c r="D929" s="21">
        <v>6.5</v>
      </c>
      <c r="E929" s="21">
        <v>4</v>
      </c>
      <c r="F929" s="21">
        <v>5</v>
      </c>
      <c r="G929" s="21">
        <v>0</v>
      </c>
      <c r="H929" s="21">
        <v>0</v>
      </c>
      <c r="I929" s="21">
        <v>0</v>
      </c>
      <c r="J929" s="21">
        <v>0</v>
      </c>
      <c r="K929" s="21">
        <v>0</v>
      </c>
      <c r="L929" s="21">
        <v>2</v>
      </c>
      <c r="M929" s="74" t="str">
        <f t="array" ref="M929">_xlfn.TEXTJOIN("-", TRUE, IF(C929:L929&gt;0, $C$2:$L$2, ""))</f>
        <v xml:space="preserve"> Ti-Al-Zr-Mo-Sn</v>
      </c>
      <c r="N929" s="90">
        <f t="shared" si="28"/>
        <v>921</v>
      </c>
      <c r="O929" s="91">
        <f t="shared" si="29"/>
        <v>5</v>
      </c>
      <c r="P929" s="21">
        <v>1</v>
      </c>
      <c r="Q929" s="21">
        <v>0</v>
      </c>
      <c r="R929" s="21">
        <v>0</v>
      </c>
      <c r="S929" s="21">
        <v>0</v>
      </c>
      <c r="T929" s="22">
        <v>958</v>
      </c>
      <c r="U929" s="22">
        <v>2</v>
      </c>
      <c r="V929" s="106">
        <v>2</v>
      </c>
      <c r="W929" s="22">
        <v>540</v>
      </c>
      <c r="X929" s="22">
        <v>6</v>
      </c>
      <c r="Y929" s="107">
        <v>2</v>
      </c>
      <c r="Z929" s="23" t="s">
        <v>102</v>
      </c>
      <c r="AA929" s="23" t="s">
        <v>102</v>
      </c>
      <c r="AB929" s="21">
        <v>1279</v>
      </c>
      <c r="AC929" s="21">
        <v>1171.5</v>
      </c>
      <c r="AD929" s="21">
        <v>13</v>
      </c>
      <c r="AE929" s="23" t="s">
        <v>101</v>
      </c>
      <c r="AF929" s="23" t="s">
        <v>102</v>
      </c>
      <c r="AG929" s="23" t="s">
        <v>102</v>
      </c>
      <c r="AH929" s="23" t="s">
        <v>102</v>
      </c>
      <c r="AI929" s="23" t="s">
        <v>102</v>
      </c>
      <c r="AJ929" s="23" t="s">
        <v>102</v>
      </c>
      <c r="AK929" s="23" t="s">
        <v>102</v>
      </c>
      <c r="AL929" s="23" t="s">
        <v>102</v>
      </c>
      <c r="AM929" s="24"/>
      <c r="AN929" s="108" t="s">
        <v>101</v>
      </c>
      <c r="AO929" s="108" t="s">
        <v>103</v>
      </c>
      <c r="AP929" s="118">
        <v>45</v>
      </c>
      <c r="AQ929" s="110" t="s">
        <v>100</v>
      </c>
      <c r="AR929" s="117">
        <v>45</v>
      </c>
    </row>
    <row r="930" spans="1:44" ht="16.5">
      <c r="A930" s="105">
        <v>46</v>
      </c>
      <c r="B930" s="21" t="s">
        <v>101</v>
      </c>
      <c r="C930" s="21">
        <v>81.3</v>
      </c>
      <c r="D930" s="21">
        <v>6.5</v>
      </c>
      <c r="E930" s="21">
        <v>4</v>
      </c>
      <c r="F930" s="21">
        <v>5</v>
      </c>
      <c r="G930" s="21">
        <v>0</v>
      </c>
      <c r="H930" s="21">
        <v>0</v>
      </c>
      <c r="I930" s="21">
        <v>0</v>
      </c>
      <c r="J930" s="21">
        <v>0</v>
      </c>
      <c r="K930" s="21">
        <v>0</v>
      </c>
      <c r="L930" s="21">
        <v>2</v>
      </c>
      <c r="M930" s="74" t="str">
        <f t="array" ref="M930">_xlfn.TEXTJOIN("-", TRUE, IF(C930:L930&gt;0, $C$2:$L$2, ""))</f>
        <v xml:space="preserve"> Ti-Al-Zr-Mo-Sn</v>
      </c>
      <c r="N930" s="90">
        <f t="shared" si="28"/>
        <v>921</v>
      </c>
      <c r="O930" s="91">
        <f t="shared" si="29"/>
        <v>5</v>
      </c>
      <c r="P930" s="21">
        <v>1</v>
      </c>
      <c r="Q930" s="21">
        <v>0</v>
      </c>
      <c r="R930" s="21">
        <v>0</v>
      </c>
      <c r="S930" s="21">
        <v>0</v>
      </c>
      <c r="T930" s="22">
        <v>958</v>
      </c>
      <c r="U930" s="22">
        <v>2</v>
      </c>
      <c r="V930" s="106">
        <v>2</v>
      </c>
      <c r="W930" s="22">
        <v>560</v>
      </c>
      <c r="X930" s="22">
        <v>6</v>
      </c>
      <c r="Y930" s="107">
        <v>2</v>
      </c>
      <c r="Z930" s="23" t="s">
        <v>102</v>
      </c>
      <c r="AA930" s="23" t="s">
        <v>102</v>
      </c>
      <c r="AB930" s="21">
        <v>1276.5</v>
      </c>
      <c r="AC930" s="21">
        <v>1130</v>
      </c>
      <c r="AD930" s="21">
        <v>15.3</v>
      </c>
      <c r="AE930" s="23" t="s">
        <v>101</v>
      </c>
      <c r="AF930" s="23" t="s">
        <v>102</v>
      </c>
      <c r="AG930" s="23" t="s">
        <v>102</v>
      </c>
      <c r="AH930" s="23" t="s">
        <v>102</v>
      </c>
      <c r="AI930" s="23" t="s">
        <v>102</v>
      </c>
      <c r="AJ930" s="23" t="s">
        <v>102</v>
      </c>
      <c r="AK930" s="23" t="s">
        <v>102</v>
      </c>
      <c r="AL930" s="23" t="s">
        <v>102</v>
      </c>
      <c r="AM930" s="24"/>
      <c r="AN930" s="108" t="s">
        <v>101</v>
      </c>
      <c r="AO930" s="108" t="s">
        <v>103</v>
      </c>
      <c r="AP930" s="109">
        <v>46</v>
      </c>
      <c r="AQ930" s="110" t="s">
        <v>100</v>
      </c>
      <c r="AR930" s="105">
        <v>46</v>
      </c>
    </row>
    <row r="931" spans="1:44" ht="16.5">
      <c r="A931" s="105">
        <v>47</v>
      </c>
      <c r="B931" s="21" t="s">
        <v>101</v>
      </c>
      <c r="C931" s="21">
        <v>81.3</v>
      </c>
      <c r="D931" s="21">
        <v>6.5</v>
      </c>
      <c r="E931" s="21">
        <v>4</v>
      </c>
      <c r="F931" s="21">
        <v>5</v>
      </c>
      <c r="G931" s="21">
        <v>0</v>
      </c>
      <c r="H931" s="21">
        <v>0</v>
      </c>
      <c r="I931" s="21">
        <v>0</v>
      </c>
      <c r="J931" s="21">
        <v>0</v>
      </c>
      <c r="K931" s="21">
        <v>0</v>
      </c>
      <c r="L931" s="21">
        <v>2</v>
      </c>
      <c r="M931" s="74" t="str">
        <f t="array" ref="M931">_xlfn.TEXTJOIN("-", TRUE, IF(C931:L931&gt;0, $C$2:$L$2, ""))</f>
        <v xml:space="preserve"> Ti-Al-Zr-Mo-Sn</v>
      </c>
      <c r="N931" s="90">
        <f t="shared" si="28"/>
        <v>921</v>
      </c>
      <c r="O931" s="91">
        <f t="shared" si="29"/>
        <v>5</v>
      </c>
      <c r="P931" s="21">
        <v>1</v>
      </c>
      <c r="Q931" s="21">
        <v>0</v>
      </c>
      <c r="R931" s="21">
        <v>0</v>
      </c>
      <c r="S931" s="21">
        <v>0</v>
      </c>
      <c r="T931" s="22">
        <v>958</v>
      </c>
      <c r="U931" s="22">
        <v>2</v>
      </c>
      <c r="V931" s="106">
        <v>2</v>
      </c>
      <c r="W931" s="22">
        <v>580</v>
      </c>
      <c r="X931" s="22">
        <v>6</v>
      </c>
      <c r="Y931" s="107">
        <v>2</v>
      </c>
      <c r="Z931" s="23" t="s">
        <v>102</v>
      </c>
      <c r="AA931" s="23" t="s">
        <v>102</v>
      </c>
      <c r="AB931" s="21">
        <v>1268</v>
      </c>
      <c r="AC931" s="21">
        <v>1124</v>
      </c>
      <c r="AD931" s="21">
        <v>14</v>
      </c>
      <c r="AE931" s="23" t="s">
        <v>101</v>
      </c>
      <c r="AF931" s="23" t="s">
        <v>102</v>
      </c>
      <c r="AG931" s="23" t="s">
        <v>102</v>
      </c>
      <c r="AH931" s="23" t="s">
        <v>102</v>
      </c>
      <c r="AI931" s="23" t="s">
        <v>102</v>
      </c>
      <c r="AJ931" s="23" t="s">
        <v>102</v>
      </c>
      <c r="AK931" s="23" t="s">
        <v>102</v>
      </c>
      <c r="AL931" s="23" t="s">
        <v>102</v>
      </c>
      <c r="AM931" s="24"/>
      <c r="AN931" s="108" t="s">
        <v>101</v>
      </c>
      <c r="AO931" s="108" t="s">
        <v>103</v>
      </c>
      <c r="AP931" s="109">
        <v>47</v>
      </c>
      <c r="AQ931" s="110" t="s">
        <v>100</v>
      </c>
      <c r="AR931" s="105">
        <v>47</v>
      </c>
    </row>
    <row r="932" spans="1:44" ht="16.5">
      <c r="A932" s="105">
        <v>48</v>
      </c>
      <c r="B932" s="21" t="s">
        <v>101</v>
      </c>
      <c r="C932" s="21">
        <v>81.3</v>
      </c>
      <c r="D932" s="21">
        <v>6.5</v>
      </c>
      <c r="E932" s="21">
        <v>4</v>
      </c>
      <c r="F932" s="21">
        <v>5</v>
      </c>
      <c r="G932" s="21">
        <v>0</v>
      </c>
      <c r="H932" s="21">
        <v>0</v>
      </c>
      <c r="I932" s="21">
        <v>0</v>
      </c>
      <c r="J932" s="21">
        <v>0</v>
      </c>
      <c r="K932" s="21">
        <v>0</v>
      </c>
      <c r="L932" s="21">
        <v>2</v>
      </c>
      <c r="M932" s="74" t="str">
        <f t="array" ref="M932">_xlfn.TEXTJOIN("-", TRUE, IF(C932:L932&gt;0, $C$2:$L$2, ""))</f>
        <v xml:space="preserve"> Ti-Al-Zr-Mo-Sn</v>
      </c>
      <c r="N932" s="90">
        <f t="shared" si="28"/>
        <v>921</v>
      </c>
      <c r="O932" s="91">
        <f t="shared" si="29"/>
        <v>5</v>
      </c>
      <c r="P932" s="21">
        <v>1</v>
      </c>
      <c r="Q932" s="21">
        <v>0</v>
      </c>
      <c r="R932" s="21">
        <v>0</v>
      </c>
      <c r="S932" s="21">
        <v>0</v>
      </c>
      <c r="T932" s="22">
        <v>958</v>
      </c>
      <c r="U932" s="22">
        <v>2</v>
      </c>
      <c r="V932" s="106">
        <v>2</v>
      </c>
      <c r="W932" s="22">
        <v>600</v>
      </c>
      <c r="X932" s="22">
        <v>6</v>
      </c>
      <c r="Y932" s="107">
        <v>2</v>
      </c>
      <c r="Z932" s="23" t="s">
        <v>102</v>
      </c>
      <c r="AA932" s="23" t="s">
        <v>102</v>
      </c>
      <c r="AB932" s="21">
        <v>1293</v>
      </c>
      <c r="AC932" s="21">
        <v>1129.5</v>
      </c>
      <c r="AD932" s="21">
        <v>13.5</v>
      </c>
      <c r="AE932" s="23" t="s">
        <v>101</v>
      </c>
      <c r="AF932" s="23" t="s">
        <v>102</v>
      </c>
      <c r="AG932" s="23" t="s">
        <v>102</v>
      </c>
      <c r="AH932" s="23" t="s">
        <v>102</v>
      </c>
      <c r="AI932" s="23" t="s">
        <v>102</v>
      </c>
      <c r="AJ932" s="23" t="s">
        <v>102</v>
      </c>
      <c r="AK932" s="23" t="s">
        <v>102</v>
      </c>
      <c r="AL932" s="23" t="s">
        <v>102</v>
      </c>
      <c r="AM932" s="24"/>
      <c r="AN932" s="108" t="s">
        <v>101</v>
      </c>
      <c r="AO932" s="108" t="s">
        <v>103</v>
      </c>
      <c r="AP932" s="109">
        <v>48</v>
      </c>
      <c r="AQ932" s="110" t="s">
        <v>100</v>
      </c>
      <c r="AR932" s="105">
        <v>48</v>
      </c>
    </row>
    <row r="933" spans="1:44" ht="16.5">
      <c r="A933" s="117">
        <v>49</v>
      </c>
      <c r="B933" s="21" t="s">
        <v>101</v>
      </c>
      <c r="C933" s="21">
        <v>83.52</v>
      </c>
      <c r="D933" s="21">
        <v>6.44</v>
      </c>
      <c r="E933" s="21">
        <v>3.62</v>
      </c>
      <c r="F933" s="21">
        <v>3.94</v>
      </c>
      <c r="G933" s="21">
        <v>0</v>
      </c>
      <c r="H933" s="21">
        <v>0</v>
      </c>
      <c r="I933" s="21">
        <v>0</v>
      </c>
      <c r="J933" s="21">
        <v>0</v>
      </c>
      <c r="K933" s="21">
        <v>0</v>
      </c>
      <c r="L933" s="21">
        <v>1.68</v>
      </c>
      <c r="M933" s="74" t="str">
        <f t="array" ref="M933">_xlfn.TEXTJOIN("-", TRUE, IF(C933:L933&gt;0, $C$2:$L$2, ""))</f>
        <v xml:space="preserve"> Ti-Al-Zr-Mo-Sn</v>
      </c>
      <c r="N933" s="90">
        <f t="shared" si="28"/>
        <v>921</v>
      </c>
      <c r="O933" s="91">
        <f t="shared" si="29"/>
        <v>5</v>
      </c>
      <c r="P933" s="21">
        <v>1</v>
      </c>
      <c r="Q933" s="21">
        <v>1</v>
      </c>
      <c r="R933" s="21">
        <v>880</v>
      </c>
      <c r="S933" s="21">
        <v>60</v>
      </c>
      <c r="T933" s="22">
        <v>0</v>
      </c>
      <c r="U933" s="22">
        <v>0</v>
      </c>
      <c r="V933" s="106">
        <v>0</v>
      </c>
      <c r="W933" s="22">
        <v>0</v>
      </c>
      <c r="X933" s="22">
        <v>0</v>
      </c>
      <c r="Y933" s="107">
        <v>0</v>
      </c>
      <c r="Z933" s="23" t="s">
        <v>102</v>
      </c>
      <c r="AA933" s="23" t="s">
        <v>102</v>
      </c>
      <c r="AB933" s="21">
        <v>1217.71</v>
      </c>
      <c r="AC933" s="21">
        <v>1131.8599999999999</v>
      </c>
      <c r="AD933" s="21">
        <v>10.6775</v>
      </c>
      <c r="AE933" s="23" t="s">
        <v>101</v>
      </c>
      <c r="AF933" s="23" t="s">
        <v>102</v>
      </c>
      <c r="AG933" s="23" t="s">
        <v>102</v>
      </c>
      <c r="AH933" s="23" t="s">
        <v>102</v>
      </c>
      <c r="AI933" s="23" t="s">
        <v>102</v>
      </c>
      <c r="AJ933" s="23" t="s">
        <v>102</v>
      </c>
      <c r="AK933" s="23" t="s">
        <v>102</v>
      </c>
      <c r="AL933" s="23" t="s">
        <v>102</v>
      </c>
      <c r="AM933" s="24"/>
      <c r="AN933" s="108" t="s">
        <v>101</v>
      </c>
      <c r="AO933" s="108" t="s">
        <v>103</v>
      </c>
      <c r="AP933" s="118">
        <v>49</v>
      </c>
      <c r="AQ933" s="119" t="s">
        <v>100</v>
      </c>
      <c r="AR933" s="117">
        <v>49</v>
      </c>
    </row>
    <row r="934" spans="1:44" ht="16.5">
      <c r="A934" s="105">
        <v>50</v>
      </c>
      <c r="B934" s="21" t="s">
        <v>101</v>
      </c>
      <c r="C934" s="21">
        <v>83.52</v>
      </c>
      <c r="D934" s="21">
        <v>6.44</v>
      </c>
      <c r="E934" s="21">
        <v>3.62</v>
      </c>
      <c r="F934" s="21">
        <v>3.94</v>
      </c>
      <c r="G934" s="21">
        <v>0</v>
      </c>
      <c r="H934" s="21">
        <v>0</v>
      </c>
      <c r="I934" s="21">
        <v>0</v>
      </c>
      <c r="J934" s="21">
        <v>0</v>
      </c>
      <c r="K934" s="21">
        <v>0</v>
      </c>
      <c r="L934" s="21">
        <v>1.68</v>
      </c>
      <c r="M934" s="74" t="str">
        <f t="array" ref="M934">_xlfn.TEXTJOIN("-", TRUE, IF(C934:L934&gt;0, $C$2:$L$2, ""))</f>
        <v xml:space="preserve"> Ti-Al-Zr-Mo-Sn</v>
      </c>
      <c r="N934" s="90">
        <f t="shared" si="28"/>
        <v>921</v>
      </c>
      <c r="O934" s="91">
        <f t="shared" si="29"/>
        <v>5</v>
      </c>
      <c r="P934" s="21">
        <v>1</v>
      </c>
      <c r="Q934" s="21">
        <v>1</v>
      </c>
      <c r="R934" s="21">
        <v>910</v>
      </c>
      <c r="S934" s="21">
        <v>60</v>
      </c>
      <c r="T934" s="22">
        <v>0</v>
      </c>
      <c r="U934" s="22">
        <v>0</v>
      </c>
      <c r="V934" s="106">
        <v>0</v>
      </c>
      <c r="W934" s="22">
        <v>0</v>
      </c>
      <c r="X934" s="22">
        <v>0</v>
      </c>
      <c r="Y934" s="107">
        <v>0</v>
      </c>
      <c r="Z934" s="23" t="s">
        <v>102</v>
      </c>
      <c r="AA934" s="23" t="s">
        <v>102</v>
      </c>
      <c r="AB934" s="21">
        <v>1086.32</v>
      </c>
      <c r="AC934" s="21">
        <v>1030.3599999999999</v>
      </c>
      <c r="AD934" s="21">
        <v>14.1265</v>
      </c>
      <c r="AE934" s="23" t="s">
        <v>101</v>
      </c>
      <c r="AF934" s="23" t="s">
        <v>102</v>
      </c>
      <c r="AG934" s="23" t="s">
        <v>102</v>
      </c>
      <c r="AH934" s="23" t="s">
        <v>102</v>
      </c>
      <c r="AI934" s="23" t="s">
        <v>102</v>
      </c>
      <c r="AJ934" s="23" t="s">
        <v>102</v>
      </c>
      <c r="AK934" s="23" t="s">
        <v>102</v>
      </c>
      <c r="AL934" s="23" t="s">
        <v>102</v>
      </c>
      <c r="AM934" s="24"/>
      <c r="AN934" s="108" t="s">
        <v>101</v>
      </c>
      <c r="AO934" s="108" t="s">
        <v>103</v>
      </c>
      <c r="AP934" s="109">
        <v>50</v>
      </c>
      <c r="AQ934" s="110" t="s">
        <v>100</v>
      </c>
      <c r="AR934" s="105">
        <v>50</v>
      </c>
    </row>
    <row r="935" spans="1:44" ht="16.5">
      <c r="A935" s="117">
        <v>51</v>
      </c>
      <c r="B935" s="21" t="s">
        <v>101</v>
      </c>
      <c r="C935" s="21">
        <v>83.52</v>
      </c>
      <c r="D935" s="21">
        <v>6.44</v>
      </c>
      <c r="E935" s="21">
        <v>3.62</v>
      </c>
      <c r="F935" s="21">
        <v>3.94</v>
      </c>
      <c r="G935" s="21">
        <v>0</v>
      </c>
      <c r="H935" s="21">
        <v>0</v>
      </c>
      <c r="I935" s="21">
        <v>0</v>
      </c>
      <c r="J935" s="21">
        <v>0</v>
      </c>
      <c r="K935" s="21">
        <v>0</v>
      </c>
      <c r="L935" s="21">
        <v>1.68</v>
      </c>
      <c r="M935" s="74" t="str">
        <f t="array" ref="M935">_xlfn.TEXTJOIN("-", TRUE, IF(C935:L935&gt;0, $C$2:$L$2, ""))</f>
        <v xml:space="preserve"> Ti-Al-Zr-Mo-Sn</v>
      </c>
      <c r="N935" s="90">
        <f t="shared" si="28"/>
        <v>921</v>
      </c>
      <c r="O935" s="91">
        <f t="shared" si="29"/>
        <v>5</v>
      </c>
      <c r="P935" s="21">
        <v>1</v>
      </c>
      <c r="Q935" s="21">
        <v>1</v>
      </c>
      <c r="R935" s="21">
        <v>940</v>
      </c>
      <c r="S935" s="21">
        <v>60</v>
      </c>
      <c r="T935" s="22">
        <v>900</v>
      </c>
      <c r="U935" s="22">
        <v>1</v>
      </c>
      <c r="V935" s="106">
        <v>2</v>
      </c>
      <c r="W935" s="22">
        <v>0</v>
      </c>
      <c r="X935" s="22">
        <v>0</v>
      </c>
      <c r="Y935" s="107">
        <v>0</v>
      </c>
      <c r="Z935" s="23" t="s">
        <v>102</v>
      </c>
      <c r="AA935" s="23" t="s">
        <v>102</v>
      </c>
      <c r="AB935" s="21">
        <v>1192</v>
      </c>
      <c r="AC935" s="21">
        <v>1123.5</v>
      </c>
      <c r="AD935" s="21">
        <v>12</v>
      </c>
      <c r="AE935" s="23" t="s">
        <v>101</v>
      </c>
      <c r="AF935" s="23" t="s">
        <v>102</v>
      </c>
      <c r="AG935" s="23" t="s">
        <v>102</v>
      </c>
      <c r="AH935" s="23" t="s">
        <v>102</v>
      </c>
      <c r="AI935" s="23" t="s">
        <v>102</v>
      </c>
      <c r="AJ935" s="23" t="s">
        <v>102</v>
      </c>
      <c r="AK935" s="23" t="s">
        <v>102</v>
      </c>
      <c r="AL935" s="23" t="s">
        <v>102</v>
      </c>
      <c r="AM935" s="24"/>
      <c r="AN935" s="108" t="s">
        <v>101</v>
      </c>
      <c r="AO935" s="108" t="s">
        <v>103</v>
      </c>
      <c r="AP935" s="118">
        <v>51</v>
      </c>
      <c r="AQ935" s="119" t="s">
        <v>100</v>
      </c>
      <c r="AR935" s="117">
        <v>51</v>
      </c>
    </row>
    <row r="936" spans="1:44" ht="16.5">
      <c r="A936" s="105">
        <v>53</v>
      </c>
      <c r="B936" s="21" t="s">
        <v>101</v>
      </c>
      <c r="C936" s="21">
        <v>83.52</v>
      </c>
      <c r="D936" s="21">
        <v>6.44</v>
      </c>
      <c r="E936" s="21">
        <v>3.62</v>
      </c>
      <c r="F936" s="21">
        <v>3.94</v>
      </c>
      <c r="G936" s="21">
        <v>0</v>
      </c>
      <c r="H936" s="21">
        <v>0</v>
      </c>
      <c r="I936" s="21">
        <v>0</v>
      </c>
      <c r="J936" s="21">
        <v>0</v>
      </c>
      <c r="K936" s="21">
        <v>0</v>
      </c>
      <c r="L936" s="21">
        <v>1.68</v>
      </c>
      <c r="M936" s="74" t="str">
        <f t="array" ref="M936">_xlfn.TEXTJOIN("-", TRUE, IF(C936:L936&gt;0, $C$2:$L$2, ""))</f>
        <v xml:space="preserve"> Ti-Al-Zr-Mo-Sn</v>
      </c>
      <c r="N936" s="90">
        <f t="shared" si="28"/>
        <v>921</v>
      </c>
      <c r="O936" s="91">
        <f t="shared" si="29"/>
        <v>5</v>
      </c>
      <c r="P936" s="21">
        <v>1</v>
      </c>
      <c r="Q936" s="21">
        <v>1</v>
      </c>
      <c r="R936" s="21">
        <v>940</v>
      </c>
      <c r="S936" s="21">
        <v>60</v>
      </c>
      <c r="T936" s="22">
        <v>930</v>
      </c>
      <c r="U936" s="22">
        <v>1</v>
      </c>
      <c r="V936" s="106">
        <v>1</v>
      </c>
      <c r="W936" s="22">
        <v>0</v>
      </c>
      <c r="X936" s="22">
        <v>0</v>
      </c>
      <c r="Y936" s="107">
        <v>0</v>
      </c>
      <c r="Z936" s="23" t="s">
        <v>102</v>
      </c>
      <c r="AA936" s="23" t="s">
        <v>102</v>
      </c>
      <c r="AB936" s="21">
        <v>1580.5</v>
      </c>
      <c r="AC936" s="21">
        <v>1472.5</v>
      </c>
      <c r="AD936" s="21">
        <v>4.75</v>
      </c>
      <c r="AE936" s="23" t="s">
        <v>101</v>
      </c>
      <c r="AF936" s="23" t="s">
        <v>102</v>
      </c>
      <c r="AG936" s="23" t="s">
        <v>102</v>
      </c>
      <c r="AH936" s="23" t="s">
        <v>102</v>
      </c>
      <c r="AI936" s="23" t="s">
        <v>102</v>
      </c>
      <c r="AJ936" s="23" t="s">
        <v>102</v>
      </c>
      <c r="AK936" s="23" t="s">
        <v>102</v>
      </c>
      <c r="AL936" s="23" t="s">
        <v>102</v>
      </c>
      <c r="AM936" s="24"/>
      <c r="AN936" s="108" t="s">
        <v>101</v>
      </c>
      <c r="AO936" s="108" t="s">
        <v>103</v>
      </c>
      <c r="AP936" s="109">
        <v>53</v>
      </c>
      <c r="AQ936" s="110" t="s">
        <v>100</v>
      </c>
      <c r="AR936" s="105">
        <v>53</v>
      </c>
    </row>
    <row r="937" spans="1:44" ht="16.5">
      <c r="A937" s="105">
        <v>56</v>
      </c>
      <c r="B937" s="21" t="s">
        <v>101</v>
      </c>
      <c r="C937" s="21">
        <v>83.52</v>
      </c>
      <c r="D937" s="21">
        <v>6.44</v>
      </c>
      <c r="E937" s="21">
        <v>3.62</v>
      </c>
      <c r="F937" s="21">
        <v>3.94</v>
      </c>
      <c r="G937" s="21">
        <v>0</v>
      </c>
      <c r="H937" s="21">
        <v>0</v>
      </c>
      <c r="I937" s="21">
        <v>0</v>
      </c>
      <c r="J937" s="21">
        <v>0</v>
      </c>
      <c r="K937" s="21">
        <v>0</v>
      </c>
      <c r="L937" s="21">
        <v>1.68</v>
      </c>
      <c r="M937" s="74" t="str">
        <f t="array" ref="M937">_xlfn.TEXTJOIN("-", TRUE, IF(C937:L937&gt;0, $C$2:$L$2, ""))</f>
        <v xml:space="preserve"> Ti-Al-Zr-Mo-Sn</v>
      </c>
      <c r="N937" s="90">
        <f t="shared" si="28"/>
        <v>921</v>
      </c>
      <c r="O937" s="91">
        <f t="shared" si="29"/>
        <v>5</v>
      </c>
      <c r="P937" s="21">
        <v>1</v>
      </c>
      <c r="Q937" s="21">
        <v>1</v>
      </c>
      <c r="R937" s="21">
        <v>940</v>
      </c>
      <c r="S937" s="21">
        <v>60</v>
      </c>
      <c r="T937" s="22">
        <v>950</v>
      </c>
      <c r="U937" s="22">
        <v>1</v>
      </c>
      <c r="V937" s="106">
        <v>2</v>
      </c>
      <c r="W937" s="22">
        <v>0</v>
      </c>
      <c r="X937" s="22">
        <v>0</v>
      </c>
      <c r="Y937" s="107">
        <v>0</v>
      </c>
      <c r="Z937" s="23" t="s">
        <v>102</v>
      </c>
      <c r="AA937" s="23" t="s">
        <v>102</v>
      </c>
      <c r="AB937" s="21">
        <v>1193.5</v>
      </c>
      <c r="AC937" s="21">
        <v>1029</v>
      </c>
      <c r="AD937" s="21">
        <v>7</v>
      </c>
      <c r="AE937" s="23" t="s">
        <v>101</v>
      </c>
      <c r="AF937" s="23" t="s">
        <v>102</v>
      </c>
      <c r="AG937" s="23" t="s">
        <v>102</v>
      </c>
      <c r="AH937" s="23" t="s">
        <v>102</v>
      </c>
      <c r="AI937" s="23" t="s">
        <v>102</v>
      </c>
      <c r="AJ937" s="23" t="s">
        <v>102</v>
      </c>
      <c r="AK937" s="23" t="s">
        <v>102</v>
      </c>
      <c r="AL937" s="23" t="s">
        <v>102</v>
      </c>
      <c r="AM937" s="24"/>
      <c r="AN937" s="108" t="s">
        <v>101</v>
      </c>
      <c r="AO937" s="108" t="s">
        <v>103</v>
      </c>
      <c r="AP937" s="109">
        <v>56</v>
      </c>
      <c r="AQ937" s="110" t="s">
        <v>100</v>
      </c>
      <c r="AR937" s="105">
        <v>56</v>
      </c>
    </row>
    <row r="938" spans="1:44" ht="16.5">
      <c r="A938" s="117">
        <v>57</v>
      </c>
      <c r="B938" s="21" t="s">
        <v>101</v>
      </c>
      <c r="C938" s="21">
        <v>83.52</v>
      </c>
      <c r="D938" s="21">
        <v>6.44</v>
      </c>
      <c r="E938" s="21">
        <v>3.62</v>
      </c>
      <c r="F938" s="21">
        <v>3.94</v>
      </c>
      <c r="G938" s="21">
        <v>0</v>
      </c>
      <c r="H938" s="21">
        <v>0</v>
      </c>
      <c r="I938" s="21">
        <v>0</v>
      </c>
      <c r="J938" s="21">
        <v>0</v>
      </c>
      <c r="K938" s="21">
        <v>0</v>
      </c>
      <c r="L938" s="21">
        <v>1.68</v>
      </c>
      <c r="M938" s="74" t="str">
        <f t="array" ref="M938">_xlfn.TEXTJOIN("-", TRUE, IF(C938:L938&gt;0, $C$2:$L$2, ""))</f>
        <v xml:space="preserve"> Ti-Al-Zr-Mo-Sn</v>
      </c>
      <c r="N938" s="90">
        <f t="shared" si="28"/>
        <v>921</v>
      </c>
      <c r="O938" s="91">
        <f t="shared" si="29"/>
        <v>5</v>
      </c>
      <c r="P938" s="21">
        <v>1</v>
      </c>
      <c r="Q938" s="21">
        <v>1</v>
      </c>
      <c r="R938" s="21">
        <v>960</v>
      </c>
      <c r="S938" s="21">
        <v>60</v>
      </c>
      <c r="T938" s="22">
        <v>900</v>
      </c>
      <c r="U938" s="22">
        <v>1</v>
      </c>
      <c r="V938" s="106">
        <v>2</v>
      </c>
      <c r="W938" s="22">
        <v>600</v>
      </c>
      <c r="X938" s="22">
        <v>6</v>
      </c>
      <c r="Y938" s="107">
        <v>2</v>
      </c>
      <c r="Z938" s="23" t="s">
        <v>102</v>
      </c>
      <c r="AA938" s="23" t="s">
        <v>102</v>
      </c>
      <c r="AB938" s="21">
        <v>1163.1600000000001</v>
      </c>
      <c r="AC938" s="21">
        <v>1069.25</v>
      </c>
      <c r="AD938" s="21">
        <v>14.0883</v>
      </c>
      <c r="AE938" s="23" t="s">
        <v>101</v>
      </c>
      <c r="AF938" s="23" t="s">
        <v>102</v>
      </c>
      <c r="AG938" s="23" t="s">
        <v>102</v>
      </c>
      <c r="AH938" s="23" t="s">
        <v>102</v>
      </c>
      <c r="AI938" s="23" t="s">
        <v>102</v>
      </c>
      <c r="AJ938" s="23" t="s">
        <v>102</v>
      </c>
      <c r="AK938" s="23" t="s">
        <v>102</v>
      </c>
      <c r="AL938" s="23" t="s">
        <v>102</v>
      </c>
      <c r="AM938" s="24"/>
      <c r="AN938" s="108" t="s">
        <v>101</v>
      </c>
      <c r="AO938" s="108" t="s">
        <v>103</v>
      </c>
      <c r="AP938" s="118">
        <v>57</v>
      </c>
      <c r="AQ938" s="110" t="s">
        <v>100</v>
      </c>
      <c r="AR938" s="117">
        <v>57</v>
      </c>
    </row>
    <row r="939" spans="1:44" ht="16.5">
      <c r="A939" s="105">
        <v>58</v>
      </c>
      <c r="B939" s="21" t="s">
        <v>101</v>
      </c>
      <c r="C939" s="21">
        <v>83.52</v>
      </c>
      <c r="D939" s="21">
        <v>6.44</v>
      </c>
      <c r="E939" s="21">
        <v>3.62</v>
      </c>
      <c r="F939" s="21">
        <v>3.94</v>
      </c>
      <c r="G939" s="21">
        <v>0</v>
      </c>
      <c r="H939" s="21">
        <v>0</v>
      </c>
      <c r="I939" s="21">
        <v>0</v>
      </c>
      <c r="J939" s="21">
        <v>0</v>
      </c>
      <c r="K939" s="21">
        <v>0</v>
      </c>
      <c r="L939" s="21">
        <v>1.68</v>
      </c>
      <c r="M939" s="74" t="str">
        <f t="array" ref="M939">_xlfn.TEXTJOIN("-", TRUE, IF(C939:L939&gt;0, $C$2:$L$2, ""))</f>
        <v xml:space="preserve"> Ti-Al-Zr-Mo-Sn</v>
      </c>
      <c r="N939" s="90">
        <f t="shared" si="28"/>
        <v>921</v>
      </c>
      <c r="O939" s="91">
        <f t="shared" si="29"/>
        <v>5</v>
      </c>
      <c r="P939" s="21">
        <v>1</v>
      </c>
      <c r="Q939" s="21">
        <v>1</v>
      </c>
      <c r="R939" s="21">
        <v>990</v>
      </c>
      <c r="S939" s="21">
        <v>60</v>
      </c>
      <c r="T939" s="22">
        <v>900</v>
      </c>
      <c r="U939" s="22">
        <v>1</v>
      </c>
      <c r="V939" s="106">
        <v>2</v>
      </c>
      <c r="W939" s="22">
        <v>600</v>
      </c>
      <c r="X939" s="22">
        <v>6</v>
      </c>
      <c r="Y939" s="107">
        <v>2</v>
      </c>
      <c r="Z939" s="23" t="s">
        <v>102</v>
      </c>
      <c r="AA939" s="23" t="s">
        <v>102</v>
      </c>
      <c r="AB939" s="21">
        <v>1180.24</v>
      </c>
      <c r="AC939" s="21">
        <v>1076.3599999999999</v>
      </c>
      <c r="AD939" s="21">
        <v>9.9297699999999995</v>
      </c>
      <c r="AE939" s="23" t="s">
        <v>101</v>
      </c>
      <c r="AF939" s="23" t="s">
        <v>102</v>
      </c>
      <c r="AG939" s="23" t="s">
        <v>102</v>
      </c>
      <c r="AH939" s="23" t="s">
        <v>102</v>
      </c>
      <c r="AI939" s="23" t="s">
        <v>102</v>
      </c>
      <c r="AJ939" s="23" t="s">
        <v>102</v>
      </c>
      <c r="AK939" s="23" t="s">
        <v>102</v>
      </c>
      <c r="AL939" s="23" t="s">
        <v>102</v>
      </c>
      <c r="AM939" s="24"/>
      <c r="AN939" s="108" t="s">
        <v>101</v>
      </c>
      <c r="AO939" s="108" t="s">
        <v>103</v>
      </c>
      <c r="AP939" s="109">
        <v>58</v>
      </c>
      <c r="AQ939" s="110" t="s">
        <v>100</v>
      </c>
      <c r="AR939" s="105">
        <v>58</v>
      </c>
    </row>
    <row r="940" spans="1:44" ht="16.5">
      <c r="A940" s="105">
        <v>59</v>
      </c>
      <c r="B940" s="21" t="s">
        <v>101</v>
      </c>
      <c r="C940" s="21">
        <v>83.52</v>
      </c>
      <c r="D940" s="21">
        <v>6.44</v>
      </c>
      <c r="E940" s="21">
        <v>3.62</v>
      </c>
      <c r="F940" s="21">
        <v>3.94</v>
      </c>
      <c r="G940" s="21">
        <v>0</v>
      </c>
      <c r="H940" s="21">
        <v>0</v>
      </c>
      <c r="I940" s="21">
        <v>0</v>
      </c>
      <c r="J940" s="21">
        <v>0</v>
      </c>
      <c r="K940" s="21">
        <v>0</v>
      </c>
      <c r="L940" s="21">
        <v>1.68</v>
      </c>
      <c r="M940" s="74" t="str">
        <f t="array" ref="M940">_xlfn.TEXTJOIN("-", TRUE, IF(C940:L940&gt;0, $C$2:$L$2, ""))</f>
        <v xml:space="preserve"> Ti-Al-Zr-Mo-Sn</v>
      </c>
      <c r="N940" s="90">
        <f t="shared" si="28"/>
        <v>921</v>
      </c>
      <c r="O940" s="91">
        <f t="shared" si="29"/>
        <v>5</v>
      </c>
      <c r="P940" s="21">
        <v>1</v>
      </c>
      <c r="Q940" s="21">
        <v>1</v>
      </c>
      <c r="R940" s="21">
        <v>1005</v>
      </c>
      <c r="S940" s="21">
        <v>60</v>
      </c>
      <c r="T940" s="22">
        <v>900</v>
      </c>
      <c r="U940" s="22">
        <v>1</v>
      </c>
      <c r="V940" s="106">
        <v>2</v>
      </c>
      <c r="W940" s="22">
        <v>600</v>
      </c>
      <c r="X940" s="22">
        <v>6</v>
      </c>
      <c r="Y940" s="107">
        <v>2</v>
      </c>
      <c r="Z940" s="23" t="s">
        <v>102</v>
      </c>
      <c r="AA940" s="23" t="s">
        <v>102</v>
      </c>
      <c r="AB940" s="21">
        <v>1170.28</v>
      </c>
      <c r="AC940" s="21">
        <v>1086.32</v>
      </c>
      <c r="AD940" s="21">
        <v>12.206</v>
      </c>
      <c r="AE940" s="23" t="s">
        <v>101</v>
      </c>
      <c r="AF940" s="23" t="s">
        <v>102</v>
      </c>
      <c r="AG940" s="23" t="s">
        <v>102</v>
      </c>
      <c r="AH940" s="23" t="s">
        <v>102</v>
      </c>
      <c r="AI940" s="23" t="s">
        <v>102</v>
      </c>
      <c r="AJ940" s="23" t="s">
        <v>102</v>
      </c>
      <c r="AK940" s="23" t="s">
        <v>102</v>
      </c>
      <c r="AL940" s="23" t="s">
        <v>102</v>
      </c>
      <c r="AM940" s="24"/>
      <c r="AN940" s="108" t="s">
        <v>101</v>
      </c>
      <c r="AO940" s="108" t="s">
        <v>103</v>
      </c>
      <c r="AP940" s="109">
        <v>59</v>
      </c>
      <c r="AQ940" s="110" t="s">
        <v>100</v>
      </c>
      <c r="AR940" s="105">
        <v>59</v>
      </c>
    </row>
    <row r="941" spans="1:44" ht="16.5">
      <c r="A941" s="105">
        <v>60</v>
      </c>
      <c r="B941" s="21" t="s">
        <v>101</v>
      </c>
      <c r="C941" s="21">
        <v>83.52</v>
      </c>
      <c r="D941" s="21">
        <v>6.44</v>
      </c>
      <c r="E941" s="21">
        <v>3.62</v>
      </c>
      <c r="F941" s="21">
        <v>3.94</v>
      </c>
      <c r="G941" s="21">
        <v>0</v>
      </c>
      <c r="H941" s="21">
        <v>0</v>
      </c>
      <c r="I941" s="21">
        <v>0</v>
      </c>
      <c r="J941" s="21">
        <v>0</v>
      </c>
      <c r="K941" s="21">
        <v>0</v>
      </c>
      <c r="L941" s="21">
        <v>1.68</v>
      </c>
      <c r="M941" s="74" t="str">
        <f t="array" ref="M941">_xlfn.TEXTJOIN("-", TRUE, IF(C941:L941&gt;0, $C$2:$L$2, ""))</f>
        <v xml:space="preserve"> Ti-Al-Zr-Mo-Sn</v>
      </c>
      <c r="N941" s="90">
        <f t="shared" si="28"/>
        <v>921</v>
      </c>
      <c r="O941" s="91">
        <f t="shared" si="29"/>
        <v>5</v>
      </c>
      <c r="P941" s="21">
        <v>1</v>
      </c>
      <c r="Q941" s="21">
        <v>1</v>
      </c>
      <c r="R941" s="21">
        <v>940</v>
      </c>
      <c r="S941" s="21">
        <v>20</v>
      </c>
      <c r="T941" s="22">
        <v>900</v>
      </c>
      <c r="U941" s="22">
        <v>1</v>
      </c>
      <c r="V941" s="106">
        <v>2</v>
      </c>
      <c r="W941" s="22">
        <v>600</v>
      </c>
      <c r="X941" s="22">
        <v>6</v>
      </c>
      <c r="Y941" s="107">
        <v>2</v>
      </c>
      <c r="Z941" s="23" t="s">
        <v>102</v>
      </c>
      <c r="AA941" s="23" t="s">
        <v>102</v>
      </c>
      <c r="AB941" s="21">
        <v>1158</v>
      </c>
      <c r="AC941" s="21">
        <v>1078</v>
      </c>
      <c r="AD941" s="21">
        <v>11.75</v>
      </c>
      <c r="AE941" s="23" t="s">
        <v>101</v>
      </c>
      <c r="AF941" s="23" t="s">
        <v>102</v>
      </c>
      <c r="AG941" s="23" t="s">
        <v>102</v>
      </c>
      <c r="AH941" s="23" t="s">
        <v>102</v>
      </c>
      <c r="AI941" s="23" t="s">
        <v>102</v>
      </c>
      <c r="AJ941" s="23" t="s">
        <v>102</v>
      </c>
      <c r="AK941" s="23" t="s">
        <v>102</v>
      </c>
      <c r="AL941" s="23" t="s">
        <v>102</v>
      </c>
      <c r="AM941" s="24"/>
      <c r="AN941" s="108" t="s">
        <v>101</v>
      </c>
      <c r="AO941" s="108" t="s">
        <v>103</v>
      </c>
      <c r="AP941" s="109">
        <v>60</v>
      </c>
      <c r="AQ941" s="110" t="s">
        <v>100</v>
      </c>
      <c r="AR941" s="105">
        <v>60</v>
      </c>
    </row>
    <row r="942" spans="1:44" ht="16.5">
      <c r="A942" s="105">
        <v>61</v>
      </c>
      <c r="B942" s="21" t="s">
        <v>101</v>
      </c>
      <c r="C942" s="21">
        <v>83.52</v>
      </c>
      <c r="D942" s="21">
        <v>6.44</v>
      </c>
      <c r="E942" s="21">
        <v>3.62</v>
      </c>
      <c r="F942" s="21">
        <v>3.94</v>
      </c>
      <c r="G942" s="21">
        <v>0</v>
      </c>
      <c r="H942" s="21">
        <v>0</v>
      </c>
      <c r="I942" s="21">
        <v>0</v>
      </c>
      <c r="J942" s="21">
        <v>0</v>
      </c>
      <c r="K942" s="21">
        <v>0</v>
      </c>
      <c r="L942" s="21">
        <v>1.68</v>
      </c>
      <c r="M942" s="74" t="str">
        <f t="array" ref="M942">_xlfn.TEXTJOIN("-", TRUE, IF(C942:L942&gt;0, $C$2:$L$2, ""))</f>
        <v xml:space="preserve"> Ti-Al-Zr-Mo-Sn</v>
      </c>
      <c r="N942" s="90">
        <f t="shared" si="28"/>
        <v>921</v>
      </c>
      <c r="O942" s="91">
        <f t="shared" si="29"/>
        <v>5</v>
      </c>
      <c r="P942" s="21">
        <v>1</v>
      </c>
      <c r="Q942" s="21">
        <v>1</v>
      </c>
      <c r="R942" s="21">
        <v>940</v>
      </c>
      <c r="S942" s="21">
        <v>40</v>
      </c>
      <c r="T942" s="22">
        <v>900</v>
      </c>
      <c r="U942" s="22">
        <v>1</v>
      </c>
      <c r="V942" s="106">
        <v>2</v>
      </c>
      <c r="W942" s="22">
        <v>600</v>
      </c>
      <c r="X942" s="22">
        <v>6</v>
      </c>
      <c r="Y942" s="107">
        <v>2</v>
      </c>
      <c r="Z942" s="23" t="s">
        <v>102</v>
      </c>
      <c r="AA942" s="23" t="s">
        <v>102</v>
      </c>
      <c r="AB942" s="21">
        <v>1158.5</v>
      </c>
      <c r="AC942" s="21">
        <v>1068</v>
      </c>
      <c r="AD942" s="21">
        <v>12.75</v>
      </c>
      <c r="AE942" s="23" t="s">
        <v>101</v>
      </c>
      <c r="AF942" s="23" t="s">
        <v>102</v>
      </c>
      <c r="AG942" s="23" t="s">
        <v>102</v>
      </c>
      <c r="AH942" s="23" t="s">
        <v>102</v>
      </c>
      <c r="AI942" s="23" t="s">
        <v>102</v>
      </c>
      <c r="AJ942" s="23" t="s">
        <v>102</v>
      </c>
      <c r="AK942" s="23" t="s">
        <v>102</v>
      </c>
      <c r="AL942" s="23" t="s">
        <v>102</v>
      </c>
      <c r="AM942" s="24"/>
      <c r="AN942" s="108" t="s">
        <v>101</v>
      </c>
      <c r="AO942" s="108" t="s">
        <v>103</v>
      </c>
      <c r="AP942" s="109">
        <v>61</v>
      </c>
      <c r="AQ942" s="110" t="s">
        <v>100</v>
      </c>
      <c r="AR942" s="105">
        <v>61</v>
      </c>
    </row>
    <row r="943" spans="1:44" ht="16.5">
      <c r="A943" s="105">
        <v>62</v>
      </c>
      <c r="B943" s="21" t="s">
        <v>101</v>
      </c>
      <c r="C943" s="21">
        <v>85.7</v>
      </c>
      <c r="D943" s="21">
        <v>6.81</v>
      </c>
      <c r="E943" s="21">
        <v>2.25</v>
      </c>
      <c r="F943" s="21">
        <v>2.1</v>
      </c>
      <c r="G943" s="21">
        <v>0</v>
      </c>
      <c r="H943" s="21">
        <v>0</v>
      </c>
      <c r="I943" s="21">
        <v>0</v>
      </c>
      <c r="J943" s="21">
        <v>0</v>
      </c>
      <c r="K943" s="21">
        <v>0</v>
      </c>
      <c r="L943" s="21">
        <v>2</v>
      </c>
      <c r="M943" s="74" t="str">
        <f t="array" ref="M943">_xlfn.TEXTJOIN("-", TRUE, IF(C943:L943&gt;0, $C$2:$L$2, ""))</f>
        <v xml:space="preserve"> Ti-Al-Zr-Mo-Sn</v>
      </c>
      <c r="N943" s="90">
        <f t="shared" si="28"/>
        <v>921</v>
      </c>
      <c r="O943" s="91">
        <f t="shared" si="29"/>
        <v>5</v>
      </c>
      <c r="P943" s="21">
        <v>1</v>
      </c>
      <c r="Q943" s="21">
        <v>1</v>
      </c>
      <c r="R943" s="21">
        <v>1050</v>
      </c>
      <c r="S943" s="21">
        <v>0</v>
      </c>
      <c r="T943" s="22">
        <v>0</v>
      </c>
      <c r="U943" s="22">
        <v>0</v>
      </c>
      <c r="V943" s="106">
        <v>0</v>
      </c>
      <c r="W943" s="22">
        <v>0</v>
      </c>
      <c r="X943" s="22">
        <v>0</v>
      </c>
      <c r="Y943" s="107">
        <v>0</v>
      </c>
      <c r="Z943" s="23" t="s">
        <v>102</v>
      </c>
      <c r="AA943" s="23" t="s">
        <v>102</v>
      </c>
      <c r="AB943" s="21">
        <v>1187.3900000000001</v>
      </c>
      <c r="AC943" s="21">
        <v>1059.57</v>
      </c>
      <c r="AD943" s="21">
        <v>9.2331500000000002</v>
      </c>
      <c r="AE943" s="23" t="s">
        <v>101</v>
      </c>
      <c r="AF943" s="23" t="s">
        <v>102</v>
      </c>
      <c r="AG943" s="23" t="s">
        <v>102</v>
      </c>
      <c r="AH943" s="23" t="s">
        <v>102</v>
      </c>
      <c r="AI943" s="23" t="s">
        <v>102</v>
      </c>
      <c r="AJ943" s="23" t="s">
        <v>102</v>
      </c>
      <c r="AK943" s="23" t="s">
        <v>102</v>
      </c>
      <c r="AL943" s="23" t="s">
        <v>102</v>
      </c>
      <c r="AM943" s="24"/>
      <c r="AN943" s="108" t="s">
        <v>101</v>
      </c>
      <c r="AO943" s="108" t="s">
        <v>103</v>
      </c>
      <c r="AP943" s="109">
        <v>62</v>
      </c>
      <c r="AQ943" s="119" t="s">
        <v>100</v>
      </c>
      <c r="AR943" s="105">
        <v>62</v>
      </c>
    </row>
    <row r="944" spans="1:44" ht="16.5">
      <c r="A944" s="117">
        <v>63</v>
      </c>
      <c r="B944" s="21" t="s">
        <v>101</v>
      </c>
      <c r="C944" s="21">
        <v>85.7</v>
      </c>
      <c r="D944" s="21">
        <v>6.81</v>
      </c>
      <c r="E944" s="21">
        <v>2.25</v>
      </c>
      <c r="F944" s="21">
        <v>2.1</v>
      </c>
      <c r="G944" s="21">
        <v>0</v>
      </c>
      <c r="H944" s="21">
        <v>0</v>
      </c>
      <c r="I944" s="21">
        <v>0</v>
      </c>
      <c r="J944" s="21">
        <v>0</v>
      </c>
      <c r="K944" s="21">
        <v>0</v>
      </c>
      <c r="L944" s="21">
        <v>2</v>
      </c>
      <c r="M944" s="74" t="str">
        <f t="array" ref="M944">_xlfn.TEXTJOIN("-", TRUE, IF(C944:L944&gt;0, $C$2:$L$2, ""))</f>
        <v xml:space="preserve"> Ti-Al-Zr-Mo-Sn</v>
      </c>
      <c r="N944" s="90">
        <f t="shared" si="28"/>
        <v>921</v>
      </c>
      <c r="O944" s="91">
        <f t="shared" si="29"/>
        <v>5</v>
      </c>
      <c r="P944" s="21">
        <v>1</v>
      </c>
      <c r="Q944" s="21">
        <v>1</v>
      </c>
      <c r="R944" s="21">
        <v>1050</v>
      </c>
      <c r="S944" s="21">
        <v>25</v>
      </c>
      <c r="T944" s="22">
        <v>0</v>
      </c>
      <c r="U944" s="22">
        <v>0</v>
      </c>
      <c r="V944" s="106">
        <v>0</v>
      </c>
      <c r="W944" s="22">
        <v>0</v>
      </c>
      <c r="X944" s="22">
        <v>0</v>
      </c>
      <c r="Y944" s="107">
        <v>0</v>
      </c>
      <c r="Z944" s="23" t="s">
        <v>102</v>
      </c>
      <c r="AA944" s="23" t="s">
        <v>102</v>
      </c>
      <c r="AB944" s="21">
        <v>1191.29</v>
      </c>
      <c r="AC944" s="21">
        <v>1073.05</v>
      </c>
      <c r="AD944" s="21">
        <v>13.033300000000001</v>
      </c>
      <c r="AE944" s="23" t="s">
        <v>101</v>
      </c>
      <c r="AF944" s="23" t="s">
        <v>102</v>
      </c>
      <c r="AG944" s="23" t="s">
        <v>102</v>
      </c>
      <c r="AH944" s="23" t="s">
        <v>102</v>
      </c>
      <c r="AI944" s="23" t="s">
        <v>102</v>
      </c>
      <c r="AJ944" s="23" t="s">
        <v>102</v>
      </c>
      <c r="AK944" s="23" t="s">
        <v>102</v>
      </c>
      <c r="AL944" s="23" t="s">
        <v>102</v>
      </c>
      <c r="AM944" s="24"/>
      <c r="AN944" s="108" t="s">
        <v>101</v>
      </c>
      <c r="AO944" s="108" t="s">
        <v>103</v>
      </c>
      <c r="AP944" s="118">
        <v>63</v>
      </c>
      <c r="AQ944" s="110" t="s">
        <v>100</v>
      </c>
      <c r="AR944" s="117">
        <v>63</v>
      </c>
    </row>
    <row r="945" spans="1:44" ht="16.5">
      <c r="A945" s="105">
        <v>64</v>
      </c>
      <c r="B945" s="21" t="s">
        <v>101</v>
      </c>
      <c r="C945" s="21">
        <v>85.7</v>
      </c>
      <c r="D945" s="21">
        <v>6.81</v>
      </c>
      <c r="E945" s="21">
        <v>2.25</v>
      </c>
      <c r="F945" s="21">
        <v>2.1</v>
      </c>
      <c r="G945" s="21">
        <v>0</v>
      </c>
      <c r="H945" s="21">
        <v>0</v>
      </c>
      <c r="I945" s="21">
        <v>0</v>
      </c>
      <c r="J945" s="21">
        <v>0</v>
      </c>
      <c r="K945" s="21">
        <v>0</v>
      </c>
      <c r="L945" s="21">
        <v>2</v>
      </c>
      <c r="M945" s="74" t="str">
        <f t="array" ref="M945">_xlfn.TEXTJOIN("-", TRUE, IF(C945:L945&gt;0, $C$2:$L$2, ""))</f>
        <v xml:space="preserve"> Ti-Al-Zr-Mo-Sn</v>
      </c>
      <c r="N945" s="90">
        <f t="shared" si="28"/>
        <v>921</v>
      </c>
      <c r="O945" s="91">
        <f t="shared" si="29"/>
        <v>5</v>
      </c>
      <c r="P945" s="21">
        <v>1</v>
      </c>
      <c r="Q945" s="21">
        <v>1</v>
      </c>
      <c r="R945" s="21">
        <v>1050</v>
      </c>
      <c r="S945" s="21">
        <v>45</v>
      </c>
      <c r="T945" s="22">
        <v>0</v>
      </c>
      <c r="U945" s="22">
        <v>0</v>
      </c>
      <c r="V945" s="106">
        <v>0</v>
      </c>
      <c r="W945" s="22">
        <v>0</v>
      </c>
      <c r="X945" s="22">
        <v>0</v>
      </c>
      <c r="Y945" s="107">
        <v>0</v>
      </c>
      <c r="Z945" s="23" t="s">
        <v>102</v>
      </c>
      <c r="AA945" s="23" t="s">
        <v>102</v>
      </c>
      <c r="AB945" s="21">
        <v>1200</v>
      </c>
      <c r="AC945" s="21">
        <v>1083.47</v>
      </c>
      <c r="AD945" s="21">
        <v>13.36</v>
      </c>
      <c r="AE945" s="23" t="s">
        <v>101</v>
      </c>
      <c r="AF945" s="23" t="s">
        <v>102</v>
      </c>
      <c r="AG945" s="23" t="s">
        <v>102</v>
      </c>
      <c r="AH945" s="23" t="s">
        <v>102</v>
      </c>
      <c r="AI945" s="23" t="s">
        <v>102</v>
      </c>
      <c r="AJ945" s="23" t="s">
        <v>102</v>
      </c>
      <c r="AK945" s="23" t="s">
        <v>102</v>
      </c>
      <c r="AL945" s="23" t="s">
        <v>102</v>
      </c>
      <c r="AM945" s="24"/>
      <c r="AN945" s="108" t="s">
        <v>101</v>
      </c>
      <c r="AO945" s="108" t="s">
        <v>103</v>
      </c>
      <c r="AP945" s="109">
        <v>64</v>
      </c>
      <c r="AQ945" s="110" t="s">
        <v>100</v>
      </c>
      <c r="AR945" s="105">
        <v>64</v>
      </c>
    </row>
    <row r="946" spans="1:44" ht="16.5">
      <c r="A946" s="105">
        <v>65</v>
      </c>
      <c r="B946" s="21" t="s">
        <v>101</v>
      </c>
      <c r="C946" s="21">
        <v>85.7</v>
      </c>
      <c r="D946" s="21">
        <v>6.81</v>
      </c>
      <c r="E946" s="21">
        <v>2.25</v>
      </c>
      <c r="F946" s="21">
        <v>2.1</v>
      </c>
      <c r="G946" s="21">
        <v>0</v>
      </c>
      <c r="H946" s="21">
        <v>0</v>
      </c>
      <c r="I946" s="21">
        <v>0</v>
      </c>
      <c r="J946" s="21">
        <v>0</v>
      </c>
      <c r="K946" s="21">
        <v>0</v>
      </c>
      <c r="L946" s="21">
        <v>2</v>
      </c>
      <c r="M946" s="74" t="str">
        <f t="array" ref="M946">_xlfn.TEXTJOIN("-", TRUE, IF(C946:L946&gt;0, $C$2:$L$2, ""))</f>
        <v xml:space="preserve"> Ti-Al-Zr-Mo-Sn</v>
      </c>
      <c r="N946" s="90">
        <f t="shared" si="28"/>
        <v>921</v>
      </c>
      <c r="O946" s="91">
        <f t="shared" si="29"/>
        <v>5</v>
      </c>
      <c r="P946" s="21">
        <v>1</v>
      </c>
      <c r="Q946" s="21">
        <v>1</v>
      </c>
      <c r="R946" s="21">
        <v>1050</v>
      </c>
      <c r="S946" s="21">
        <v>80</v>
      </c>
      <c r="T946" s="22">
        <v>0</v>
      </c>
      <c r="U946" s="22">
        <v>0</v>
      </c>
      <c r="V946" s="106">
        <v>0</v>
      </c>
      <c r="W946" s="22">
        <v>0</v>
      </c>
      <c r="X946" s="22">
        <v>0</v>
      </c>
      <c r="Y946" s="107">
        <v>0</v>
      </c>
      <c r="Z946" s="23" t="s">
        <v>102</v>
      </c>
      <c r="AA946" s="23" t="s">
        <v>102</v>
      </c>
      <c r="AB946" s="21">
        <v>1258.7</v>
      </c>
      <c r="AC946" s="21">
        <v>1151.76</v>
      </c>
      <c r="AD946" s="21">
        <v>15.1442</v>
      </c>
      <c r="AE946" s="23" t="s">
        <v>101</v>
      </c>
      <c r="AF946" s="23" t="s">
        <v>102</v>
      </c>
      <c r="AG946" s="23" t="s">
        <v>102</v>
      </c>
      <c r="AH946" s="23" t="s">
        <v>102</v>
      </c>
      <c r="AI946" s="23" t="s">
        <v>102</v>
      </c>
      <c r="AJ946" s="23" t="s">
        <v>102</v>
      </c>
      <c r="AK946" s="23" t="s">
        <v>102</v>
      </c>
      <c r="AL946" s="23" t="s">
        <v>102</v>
      </c>
      <c r="AM946" s="24"/>
      <c r="AN946" s="108" t="s">
        <v>101</v>
      </c>
      <c r="AO946" s="108" t="s">
        <v>103</v>
      </c>
      <c r="AP946" s="109">
        <v>65</v>
      </c>
      <c r="AQ946" s="110" t="s">
        <v>100</v>
      </c>
      <c r="AR946" s="105">
        <v>65</v>
      </c>
    </row>
    <row r="947" spans="1:44" ht="16.5">
      <c r="A947" s="117">
        <v>202</v>
      </c>
      <c r="B947" s="21" t="s">
        <v>101</v>
      </c>
      <c r="C947" s="21">
        <v>86.4</v>
      </c>
      <c r="D947" s="21">
        <v>6</v>
      </c>
      <c r="E947" s="21">
        <v>4</v>
      </c>
      <c r="F947" s="21">
        <v>0.4</v>
      </c>
      <c r="G947" s="21">
        <v>0</v>
      </c>
      <c r="H947" s="21">
        <v>0</v>
      </c>
      <c r="I947" s="21">
        <v>0</v>
      </c>
      <c r="J947" s="21">
        <v>0</v>
      </c>
      <c r="K947" s="21">
        <v>0</v>
      </c>
      <c r="L947" s="21">
        <v>2.75</v>
      </c>
      <c r="M947" s="74" t="str">
        <f t="array" ref="M947">_xlfn.TEXTJOIN("-", TRUE, IF(C947:L947&gt;0, $C$2:$L$2, ""))</f>
        <v xml:space="preserve"> Ti-Al-Zr-Mo-Sn</v>
      </c>
      <c r="N947" s="90">
        <f t="shared" si="28"/>
        <v>921</v>
      </c>
      <c r="O947" s="91">
        <f t="shared" si="29"/>
        <v>5</v>
      </c>
      <c r="P947" s="21">
        <v>1</v>
      </c>
      <c r="Q947" s="21">
        <v>0</v>
      </c>
      <c r="R947" s="21">
        <v>0</v>
      </c>
      <c r="S947" s="21">
        <v>0</v>
      </c>
      <c r="T947" s="22">
        <v>950</v>
      </c>
      <c r="U947" s="22">
        <v>1</v>
      </c>
      <c r="V947" s="106">
        <v>1</v>
      </c>
      <c r="W947" s="22">
        <v>650</v>
      </c>
      <c r="X947" s="22">
        <v>6</v>
      </c>
      <c r="Y947" s="107">
        <v>2</v>
      </c>
      <c r="Z947" s="23" t="s">
        <v>102</v>
      </c>
      <c r="AA947" s="23" t="s">
        <v>102</v>
      </c>
      <c r="AB947" s="21">
        <v>1026</v>
      </c>
      <c r="AC947" s="21">
        <v>922</v>
      </c>
      <c r="AD947" s="21">
        <v>3.7</v>
      </c>
      <c r="AE947" s="23" t="s">
        <v>101</v>
      </c>
      <c r="AF947" s="23" t="s">
        <v>102</v>
      </c>
      <c r="AG947" s="23" t="s">
        <v>102</v>
      </c>
      <c r="AH947" s="23" t="s">
        <v>102</v>
      </c>
      <c r="AI947" s="23" t="s">
        <v>102</v>
      </c>
      <c r="AJ947" s="23" t="s">
        <v>102</v>
      </c>
      <c r="AK947" s="23" t="s">
        <v>102</v>
      </c>
      <c r="AL947" s="23" t="s">
        <v>102</v>
      </c>
      <c r="AM947" s="24"/>
      <c r="AN947" s="108" t="s">
        <v>101</v>
      </c>
      <c r="AO947" s="108" t="s">
        <v>103</v>
      </c>
      <c r="AP947" s="118">
        <v>202</v>
      </c>
      <c r="AQ947" s="110" t="s">
        <v>100</v>
      </c>
      <c r="AR947" s="117">
        <v>202</v>
      </c>
    </row>
    <row r="948" spans="1:44" ht="16.5">
      <c r="A948" s="117">
        <v>288</v>
      </c>
      <c r="B948" s="21" t="s">
        <v>101</v>
      </c>
      <c r="C948" s="21">
        <v>85.9</v>
      </c>
      <c r="D948" s="21">
        <v>6</v>
      </c>
      <c r="E948" s="21">
        <v>4</v>
      </c>
      <c r="F948" s="21">
        <v>2</v>
      </c>
      <c r="G948" s="21">
        <v>0</v>
      </c>
      <c r="H948" s="21">
        <v>0</v>
      </c>
      <c r="I948" s="21">
        <v>0</v>
      </c>
      <c r="J948" s="21">
        <v>0</v>
      </c>
      <c r="K948" s="21">
        <v>0</v>
      </c>
      <c r="L948" s="21">
        <v>2</v>
      </c>
      <c r="M948" s="74" t="str">
        <f t="array" ref="M948">_xlfn.TEXTJOIN("-", TRUE, IF(C948:L948&gt;0, $C$2:$L$2, ""))</f>
        <v xml:space="preserve"> Ti-Al-Zr-Mo-Sn</v>
      </c>
      <c r="N948" s="90">
        <f t="shared" si="28"/>
        <v>921</v>
      </c>
      <c r="O948" s="91">
        <f t="shared" si="29"/>
        <v>5</v>
      </c>
      <c r="P948" s="21">
        <v>1</v>
      </c>
      <c r="Q948" s="21">
        <v>0</v>
      </c>
      <c r="R948" s="21">
        <v>0</v>
      </c>
      <c r="S948" s="21">
        <v>0</v>
      </c>
      <c r="T948" s="22">
        <v>900</v>
      </c>
      <c r="U948" s="22">
        <v>1</v>
      </c>
      <c r="V948" s="106">
        <v>2</v>
      </c>
      <c r="W948" s="22">
        <v>550</v>
      </c>
      <c r="X948" s="22">
        <v>8</v>
      </c>
      <c r="Y948" s="107">
        <v>2</v>
      </c>
      <c r="Z948" s="23" t="s">
        <v>102</v>
      </c>
      <c r="AA948" s="23" t="s">
        <v>102</v>
      </c>
      <c r="AB948" s="21">
        <v>1045.31</v>
      </c>
      <c r="AC948" s="23" t="s">
        <v>101</v>
      </c>
      <c r="AD948" s="21">
        <v>17.287199999999999</v>
      </c>
      <c r="AE948" s="23" t="s">
        <v>101</v>
      </c>
      <c r="AF948" s="23" t="s">
        <v>102</v>
      </c>
      <c r="AG948" s="23" t="s">
        <v>102</v>
      </c>
      <c r="AH948" s="23" t="s">
        <v>102</v>
      </c>
      <c r="AI948" s="23" t="s">
        <v>102</v>
      </c>
      <c r="AJ948" s="23" t="s">
        <v>102</v>
      </c>
      <c r="AK948" s="23" t="s">
        <v>102</v>
      </c>
      <c r="AL948" s="23" t="s">
        <v>102</v>
      </c>
      <c r="AM948" s="24"/>
      <c r="AN948" s="108" t="s">
        <v>101</v>
      </c>
      <c r="AO948" s="108" t="s">
        <v>103</v>
      </c>
      <c r="AP948" s="118">
        <v>288</v>
      </c>
      <c r="AQ948" s="110" t="s">
        <v>100</v>
      </c>
      <c r="AR948" s="117">
        <v>288</v>
      </c>
    </row>
    <row r="949" spans="1:44" ht="16.5">
      <c r="A949" s="105">
        <v>289</v>
      </c>
      <c r="B949" s="21" t="s">
        <v>101</v>
      </c>
      <c r="C949" s="21">
        <v>85.9</v>
      </c>
      <c r="D949" s="21">
        <v>6</v>
      </c>
      <c r="E949" s="21">
        <v>4</v>
      </c>
      <c r="F949" s="21">
        <v>2</v>
      </c>
      <c r="G949" s="21">
        <v>0</v>
      </c>
      <c r="H949" s="21">
        <v>0</v>
      </c>
      <c r="I949" s="21">
        <v>0</v>
      </c>
      <c r="J949" s="21">
        <v>0</v>
      </c>
      <c r="K949" s="21">
        <v>0</v>
      </c>
      <c r="L949" s="21">
        <v>2</v>
      </c>
      <c r="M949" s="74" t="str">
        <f t="array" ref="M949">_xlfn.TEXTJOIN("-", TRUE, IF(C949:L949&gt;0, $C$2:$L$2, ""))</f>
        <v xml:space="preserve"> Ti-Al-Zr-Mo-Sn</v>
      </c>
      <c r="N949" s="90">
        <f t="shared" si="28"/>
        <v>921</v>
      </c>
      <c r="O949" s="91">
        <f t="shared" si="29"/>
        <v>5</v>
      </c>
      <c r="P949" s="21">
        <v>1</v>
      </c>
      <c r="Q949" s="21">
        <v>0</v>
      </c>
      <c r="R949" s="21">
        <v>0</v>
      </c>
      <c r="S949" s="21">
        <v>0</v>
      </c>
      <c r="T949" s="22">
        <v>900</v>
      </c>
      <c r="U949" s="22">
        <v>1</v>
      </c>
      <c r="V949" s="106">
        <v>2</v>
      </c>
      <c r="W949" s="22">
        <v>600</v>
      </c>
      <c r="X949" s="22">
        <v>8</v>
      </c>
      <c r="Y949" s="107">
        <v>2</v>
      </c>
      <c r="Z949" s="23" t="s">
        <v>102</v>
      </c>
      <c r="AA949" s="23" t="s">
        <v>102</v>
      </c>
      <c r="AB949" s="21">
        <v>1060.1300000000001</v>
      </c>
      <c r="AC949" s="23" t="s">
        <v>101</v>
      </c>
      <c r="AD949" s="21">
        <v>16.668900000000001</v>
      </c>
      <c r="AE949" s="23" t="s">
        <v>101</v>
      </c>
      <c r="AF949" s="23" t="s">
        <v>102</v>
      </c>
      <c r="AG949" s="23" t="s">
        <v>102</v>
      </c>
      <c r="AH949" s="23" t="s">
        <v>102</v>
      </c>
      <c r="AI949" s="23" t="s">
        <v>102</v>
      </c>
      <c r="AJ949" s="23" t="s">
        <v>102</v>
      </c>
      <c r="AK949" s="23" t="s">
        <v>102</v>
      </c>
      <c r="AL949" s="23" t="s">
        <v>102</v>
      </c>
      <c r="AM949" s="24"/>
      <c r="AN949" s="108" t="s">
        <v>101</v>
      </c>
      <c r="AO949" s="108" t="s">
        <v>103</v>
      </c>
      <c r="AP949" s="109">
        <v>289</v>
      </c>
      <c r="AQ949" s="119" t="s">
        <v>100</v>
      </c>
      <c r="AR949" s="105">
        <v>289</v>
      </c>
    </row>
    <row r="950" spans="1:44" ht="16.5">
      <c r="A950" s="105">
        <v>290</v>
      </c>
      <c r="B950" s="21" t="s">
        <v>101</v>
      </c>
      <c r="C950" s="21">
        <v>85.9</v>
      </c>
      <c r="D950" s="21">
        <v>6</v>
      </c>
      <c r="E950" s="21">
        <v>4</v>
      </c>
      <c r="F950" s="21">
        <v>2</v>
      </c>
      <c r="G950" s="21">
        <v>0</v>
      </c>
      <c r="H950" s="21">
        <v>0</v>
      </c>
      <c r="I950" s="21">
        <v>0</v>
      </c>
      <c r="J950" s="21">
        <v>0</v>
      </c>
      <c r="K950" s="21">
        <v>0</v>
      </c>
      <c r="L950" s="21">
        <v>2</v>
      </c>
      <c r="M950" s="74" t="str">
        <f t="array" ref="M950">_xlfn.TEXTJOIN("-", TRUE, IF(C950:L950&gt;0, $C$2:$L$2, ""))</f>
        <v xml:space="preserve"> Ti-Al-Zr-Mo-Sn</v>
      </c>
      <c r="N950" s="90">
        <f t="shared" si="28"/>
        <v>921</v>
      </c>
      <c r="O950" s="91">
        <f t="shared" si="29"/>
        <v>5</v>
      </c>
      <c r="P950" s="21">
        <v>1</v>
      </c>
      <c r="Q950" s="21">
        <v>0</v>
      </c>
      <c r="R950" s="21">
        <v>0</v>
      </c>
      <c r="S950" s="21">
        <v>0</v>
      </c>
      <c r="T950" s="22">
        <v>900</v>
      </c>
      <c r="U950" s="22">
        <v>1</v>
      </c>
      <c r="V950" s="106">
        <v>2</v>
      </c>
      <c r="W950" s="22">
        <v>650</v>
      </c>
      <c r="X950" s="22">
        <v>8</v>
      </c>
      <c r="Y950" s="107">
        <v>2</v>
      </c>
      <c r="Z950" s="23" t="s">
        <v>102</v>
      </c>
      <c r="AA950" s="23" t="s">
        <v>102</v>
      </c>
      <c r="AB950" s="21">
        <v>1044.27</v>
      </c>
      <c r="AC950" s="23" t="s">
        <v>101</v>
      </c>
      <c r="AD950" s="21">
        <v>13.732100000000001</v>
      </c>
      <c r="AE950" s="23" t="s">
        <v>101</v>
      </c>
      <c r="AF950" s="23" t="s">
        <v>102</v>
      </c>
      <c r="AG950" s="23" t="s">
        <v>102</v>
      </c>
      <c r="AH950" s="23" t="s">
        <v>102</v>
      </c>
      <c r="AI950" s="23" t="s">
        <v>102</v>
      </c>
      <c r="AJ950" s="23" t="s">
        <v>102</v>
      </c>
      <c r="AK950" s="23" t="s">
        <v>102</v>
      </c>
      <c r="AL950" s="23" t="s">
        <v>102</v>
      </c>
      <c r="AM950" s="24"/>
      <c r="AN950" s="108" t="s">
        <v>101</v>
      </c>
      <c r="AO950" s="108" t="s">
        <v>103</v>
      </c>
      <c r="AP950" s="109">
        <v>290</v>
      </c>
      <c r="AQ950" s="110" t="s">
        <v>100</v>
      </c>
      <c r="AR950" s="105">
        <v>290</v>
      </c>
    </row>
    <row r="951" spans="1:44" ht="16.5">
      <c r="A951" s="105">
        <v>291</v>
      </c>
      <c r="B951" s="21" t="s">
        <v>101</v>
      </c>
      <c r="C951" s="21">
        <v>85.9</v>
      </c>
      <c r="D951" s="21">
        <v>6</v>
      </c>
      <c r="E951" s="21">
        <v>4</v>
      </c>
      <c r="F951" s="21">
        <v>2</v>
      </c>
      <c r="G951" s="21">
        <v>0</v>
      </c>
      <c r="H951" s="21">
        <v>0</v>
      </c>
      <c r="I951" s="21">
        <v>0</v>
      </c>
      <c r="J951" s="21">
        <v>0</v>
      </c>
      <c r="K951" s="21">
        <v>0</v>
      </c>
      <c r="L951" s="21">
        <v>2</v>
      </c>
      <c r="M951" s="74" t="str">
        <f t="array" ref="M951">_xlfn.TEXTJOIN("-", TRUE, IF(C951:L951&gt;0, $C$2:$L$2, ""))</f>
        <v xml:space="preserve"> Ti-Al-Zr-Mo-Sn</v>
      </c>
      <c r="N951" s="90">
        <f t="shared" si="28"/>
        <v>921</v>
      </c>
      <c r="O951" s="91">
        <f t="shared" si="29"/>
        <v>5</v>
      </c>
      <c r="P951" s="21">
        <v>1</v>
      </c>
      <c r="Q951" s="21">
        <v>0</v>
      </c>
      <c r="R951" s="21">
        <v>0</v>
      </c>
      <c r="S951" s="21">
        <v>0</v>
      </c>
      <c r="T951" s="22">
        <v>950</v>
      </c>
      <c r="U951" s="22">
        <v>1</v>
      </c>
      <c r="V951" s="106">
        <v>2</v>
      </c>
      <c r="W951" s="22">
        <v>550</v>
      </c>
      <c r="X951" s="22">
        <v>8</v>
      </c>
      <c r="Y951" s="107">
        <v>2</v>
      </c>
      <c r="Z951" s="23" t="s">
        <v>102</v>
      </c>
      <c r="AA951" s="23" t="s">
        <v>102</v>
      </c>
      <c r="AB951" s="21">
        <v>1049</v>
      </c>
      <c r="AC951" s="23" t="s">
        <v>101</v>
      </c>
      <c r="AD951" s="21">
        <v>17.088799999999999</v>
      </c>
      <c r="AE951" s="23" t="s">
        <v>101</v>
      </c>
      <c r="AF951" s="23" t="s">
        <v>102</v>
      </c>
      <c r="AG951" s="23" t="s">
        <v>102</v>
      </c>
      <c r="AH951" s="23" t="s">
        <v>102</v>
      </c>
      <c r="AI951" s="23" t="s">
        <v>102</v>
      </c>
      <c r="AJ951" s="23" t="s">
        <v>102</v>
      </c>
      <c r="AK951" s="23" t="s">
        <v>102</v>
      </c>
      <c r="AL951" s="23" t="s">
        <v>102</v>
      </c>
      <c r="AM951" s="24"/>
      <c r="AN951" s="108" t="s">
        <v>101</v>
      </c>
      <c r="AO951" s="108" t="s">
        <v>103</v>
      </c>
      <c r="AP951" s="109">
        <v>291</v>
      </c>
      <c r="AQ951" s="119" t="s">
        <v>100</v>
      </c>
      <c r="AR951" s="105">
        <v>291</v>
      </c>
    </row>
    <row r="952" spans="1:44" ht="16.5">
      <c r="A952" s="105">
        <v>292</v>
      </c>
      <c r="B952" s="21" t="s">
        <v>101</v>
      </c>
      <c r="C952" s="21">
        <v>85.9</v>
      </c>
      <c r="D952" s="21">
        <v>6</v>
      </c>
      <c r="E952" s="21">
        <v>4</v>
      </c>
      <c r="F952" s="21">
        <v>2</v>
      </c>
      <c r="G952" s="21">
        <v>0</v>
      </c>
      <c r="H952" s="21">
        <v>0</v>
      </c>
      <c r="I952" s="21">
        <v>0</v>
      </c>
      <c r="J952" s="21">
        <v>0</v>
      </c>
      <c r="K952" s="21">
        <v>0</v>
      </c>
      <c r="L952" s="21">
        <v>2</v>
      </c>
      <c r="M952" s="74" t="str">
        <f t="array" ref="M952">_xlfn.TEXTJOIN("-", TRUE, IF(C952:L952&gt;0, $C$2:$L$2, ""))</f>
        <v xml:space="preserve"> Ti-Al-Zr-Mo-Sn</v>
      </c>
      <c r="N952" s="90">
        <f t="shared" si="28"/>
        <v>921</v>
      </c>
      <c r="O952" s="91">
        <f t="shared" si="29"/>
        <v>5</v>
      </c>
      <c r="P952" s="21">
        <v>1</v>
      </c>
      <c r="Q952" s="21">
        <v>0</v>
      </c>
      <c r="R952" s="21">
        <v>0</v>
      </c>
      <c r="S952" s="21">
        <v>0</v>
      </c>
      <c r="T952" s="22">
        <v>950</v>
      </c>
      <c r="U952" s="22">
        <v>1</v>
      </c>
      <c r="V952" s="106">
        <v>2</v>
      </c>
      <c r="W952" s="22">
        <v>600</v>
      </c>
      <c r="X952" s="22">
        <v>8</v>
      </c>
      <c r="Y952" s="107">
        <v>2</v>
      </c>
      <c r="Z952" s="23" t="s">
        <v>102</v>
      </c>
      <c r="AA952" s="23" t="s">
        <v>102</v>
      </c>
      <c r="AB952" s="21">
        <v>1050.3399999999999</v>
      </c>
      <c r="AC952" s="23" t="s">
        <v>101</v>
      </c>
      <c r="AD952" s="21">
        <v>16.192499999999999</v>
      </c>
      <c r="AE952" s="23" t="s">
        <v>101</v>
      </c>
      <c r="AF952" s="23" t="s">
        <v>102</v>
      </c>
      <c r="AG952" s="23" t="s">
        <v>102</v>
      </c>
      <c r="AH952" s="23" t="s">
        <v>102</v>
      </c>
      <c r="AI952" s="23" t="s">
        <v>102</v>
      </c>
      <c r="AJ952" s="23" t="s">
        <v>102</v>
      </c>
      <c r="AK952" s="23" t="s">
        <v>102</v>
      </c>
      <c r="AL952" s="23" t="s">
        <v>102</v>
      </c>
      <c r="AM952" s="24"/>
      <c r="AN952" s="108" t="s">
        <v>101</v>
      </c>
      <c r="AO952" s="108" t="s">
        <v>103</v>
      </c>
      <c r="AP952" s="109">
        <v>292</v>
      </c>
      <c r="AQ952" s="110" t="s">
        <v>100</v>
      </c>
      <c r="AR952" s="105">
        <v>292</v>
      </c>
    </row>
    <row r="953" spans="1:44" ht="16.5">
      <c r="A953" s="117">
        <v>293</v>
      </c>
      <c r="B953" s="21" t="s">
        <v>101</v>
      </c>
      <c r="C953" s="21">
        <v>85.9</v>
      </c>
      <c r="D953" s="21">
        <v>6</v>
      </c>
      <c r="E953" s="21">
        <v>4</v>
      </c>
      <c r="F953" s="21">
        <v>2</v>
      </c>
      <c r="G953" s="21">
        <v>0</v>
      </c>
      <c r="H953" s="21">
        <v>0</v>
      </c>
      <c r="I953" s="21">
        <v>0</v>
      </c>
      <c r="J953" s="21">
        <v>0</v>
      </c>
      <c r="K953" s="21">
        <v>0</v>
      </c>
      <c r="L953" s="21">
        <v>2</v>
      </c>
      <c r="M953" s="74" t="str">
        <f t="array" ref="M953">_xlfn.TEXTJOIN("-", TRUE, IF(C953:L953&gt;0, $C$2:$L$2, ""))</f>
        <v xml:space="preserve"> Ti-Al-Zr-Mo-Sn</v>
      </c>
      <c r="N953" s="90">
        <f t="shared" si="28"/>
        <v>921</v>
      </c>
      <c r="O953" s="91">
        <f t="shared" si="29"/>
        <v>5</v>
      </c>
      <c r="P953" s="21">
        <v>1</v>
      </c>
      <c r="Q953" s="21">
        <v>0</v>
      </c>
      <c r="R953" s="21">
        <v>0</v>
      </c>
      <c r="S953" s="21">
        <v>0</v>
      </c>
      <c r="T953" s="22">
        <v>950</v>
      </c>
      <c r="U953" s="22">
        <v>1</v>
      </c>
      <c r="V953" s="106">
        <v>2</v>
      </c>
      <c r="W953" s="22">
        <v>650</v>
      </c>
      <c r="X953" s="22">
        <v>8</v>
      </c>
      <c r="Y953" s="107">
        <v>2</v>
      </c>
      <c r="Z953" s="23" t="s">
        <v>102</v>
      </c>
      <c r="AA953" s="23" t="s">
        <v>102</v>
      </c>
      <c r="AB953" s="21">
        <v>1044.6500000000001</v>
      </c>
      <c r="AC953" s="23" t="s">
        <v>101</v>
      </c>
      <c r="AD953" s="21">
        <v>13.008599999999999</v>
      </c>
      <c r="AE953" s="23" t="s">
        <v>101</v>
      </c>
      <c r="AF953" s="23" t="s">
        <v>102</v>
      </c>
      <c r="AG953" s="23" t="s">
        <v>102</v>
      </c>
      <c r="AH953" s="23" t="s">
        <v>102</v>
      </c>
      <c r="AI953" s="23" t="s">
        <v>102</v>
      </c>
      <c r="AJ953" s="23" t="s">
        <v>102</v>
      </c>
      <c r="AK953" s="23" t="s">
        <v>102</v>
      </c>
      <c r="AL953" s="23" t="s">
        <v>102</v>
      </c>
      <c r="AM953" s="24"/>
      <c r="AN953" s="108" t="s">
        <v>101</v>
      </c>
      <c r="AO953" s="108" t="s">
        <v>103</v>
      </c>
      <c r="AP953" s="118">
        <v>293</v>
      </c>
      <c r="AQ953" s="110" t="s">
        <v>100</v>
      </c>
      <c r="AR953" s="117">
        <v>293</v>
      </c>
    </row>
    <row r="954" spans="1:44" ht="16.5">
      <c r="A954" s="105">
        <v>294</v>
      </c>
      <c r="B954" s="21" t="s">
        <v>101</v>
      </c>
      <c r="C954" s="21">
        <v>85.9</v>
      </c>
      <c r="D954" s="21">
        <v>6</v>
      </c>
      <c r="E954" s="21">
        <v>4</v>
      </c>
      <c r="F954" s="21">
        <v>2</v>
      </c>
      <c r="G954" s="21">
        <v>0</v>
      </c>
      <c r="H954" s="21">
        <v>0</v>
      </c>
      <c r="I954" s="21">
        <v>0</v>
      </c>
      <c r="J954" s="21">
        <v>0</v>
      </c>
      <c r="K954" s="21">
        <v>0</v>
      </c>
      <c r="L954" s="21">
        <v>2</v>
      </c>
      <c r="M954" s="74" t="str">
        <f t="array" ref="M954">_xlfn.TEXTJOIN("-", TRUE, IF(C954:L954&gt;0, $C$2:$L$2, ""))</f>
        <v xml:space="preserve"> Ti-Al-Zr-Mo-Sn</v>
      </c>
      <c r="N954" s="90">
        <f t="shared" si="28"/>
        <v>921</v>
      </c>
      <c r="O954" s="91">
        <f t="shared" si="29"/>
        <v>5</v>
      </c>
      <c r="P954" s="21">
        <v>1</v>
      </c>
      <c r="Q954" s="21">
        <v>0</v>
      </c>
      <c r="R954" s="21">
        <v>0</v>
      </c>
      <c r="S954" s="21">
        <v>0</v>
      </c>
      <c r="T954" s="22">
        <v>980</v>
      </c>
      <c r="U954" s="22">
        <v>1</v>
      </c>
      <c r="V954" s="106">
        <v>2</v>
      </c>
      <c r="W954" s="22">
        <v>550</v>
      </c>
      <c r="X954" s="22">
        <v>8</v>
      </c>
      <c r="Y954" s="107">
        <v>2</v>
      </c>
      <c r="Z954" s="23" t="s">
        <v>102</v>
      </c>
      <c r="AA954" s="23" t="s">
        <v>102</v>
      </c>
      <c r="AB954" s="21">
        <v>1077.53</v>
      </c>
      <c r="AC954" s="23" t="s">
        <v>101</v>
      </c>
      <c r="AD954" s="21">
        <v>13.6069</v>
      </c>
      <c r="AE954" s="23" t="s">
        <v>101</v>
      </c>
      <c r="AF954" s="23" t="s">
        <v>102</v>
      </c>
      <c r="AG954" s="23" t="s">
        <v>102</v>
      </c>
      <c r="AH954" s="23" t="s">
        <v>102</v>
      </c>
      <c r="AI954" s="23" t="s">
        <v>102</v>
      </c>
      <c r="AJ954" s="23" t="s">
        <v>102</v>
      </c>
      <c r="AK954" s="23" t="s">
        <v>102</v>
      </c>
      <c r="AL954" s="23" t="s">
        <v>102</v>
      </c>
      <c r="AM954" s="24"/>
      <c r="AN954" s="108" t="s">
        <v>101</v>
      </c>
      <c r="AO954" s="108" t="s">
        <v>103</v>
      </c>
      <c r="AP954" s="109">
        <v>294</v>
      </c>
      <c r="AQ954" s="110" t="s">
        <v>100</v>
      </c>
      <c r="AR954" s="105">
        <v>294</v>
      </c>
    </row>
    <row r="955" spans="1:44" ht="16.5">
      <c r="A955" s="117">
        <v>295</v>
      </c>
      <c r="B955" s="21" t="s">
        <v>101</v>
      </c>
      <c r="C955" s="21">
        <v>85.9</v>
      </c>
      <c r="D955" s="21">
        <v>6</v>
      </c>
      <c r="E955" s="21">
        <v>4</v>
      </c>
      <c r="F955" s="21">
        <v>2</v>
      </c>
      <c r="G955" s="21">
        <v>0</v>
      </c>
      <c r="H955" s="21">
        <v>0</v>
      </c>
      <c r="I955" s="21">
        <v>0</v>
      </c>
      <c r="J955" s="21">
        <v>0</v>
      </c>
      <c r="K955" s="21">
        <v>0</v>
      </c>
      <c r="L955" s="21">
        <v>2</v>
      </c>
      <c r="M955" s="74" t="str">
        <f t="array" ref="M955">_xlfn.TEXTJOIN("-", TRUE, IF(C955:L955&gt;0, $C$2:$L$2, ""))</f>
        <v xml:space="preserve"> Ti-Al-Zr-Mo-Sn</v>
      </c>
      <c r="N955" s="90">
        <f t="shared" si="28"/>
        <v>921</v>
      </c>
      <c r="O955" s="91">
        <f t="shared" si="29"/>
        <v>5</v>
      </c>
      <c r="P955" s="21">
        <v>1</v>
      </c>
      <c r="Q955" s="21">
        <v>0</v>
      </c>
      <c r="R955" s="21">
        <v>0</v>
      </c>
      <c r="S955" s="21">
        <v>0</v>
      </c>
      <c r="T955" s="22">
        <v>980</v>
      </c>
      <c r="U955" s="22">
        <v>1</v>
      </c>
      <c r="V955" s="106">
        <v>2</v>
      </c>
      <c r="W955" s="22">
        <v>600</v>
      </c>
      <c r="X955" s="22">
        <v>8</v>
      </c>
      <c r="Y955" s="107">
        <v>2</v>
      </c>
      <c r="Z955" s="23" t="s">
        <v>102</v>
      </c>
      <c r="AA955" s="23" t="s">
        <v>102</v>
      </c>
      <c r="AB955" s="21">
        <v>1052.8699999999999</v>
      </c>
      <c r="AC955" s="23" t="s">
        <v>101</v>
      </c>
      <c r="AD955" s="21">
        <v>15.1525</v>
      </c>
      <c r="AE955" s="23" t="s">
        <v>101</v>
      </c>
      <c r="AF955" s="23" t="s">
        <v>102</v>
      </c>
      <c r="AG955" s="23" t="s">
        <v>102</v>
      </c>
      <c r="AH955" s="23" t="s">
        <v>102</v>
      </c>
      <c r="AI955" s="23" t="s">
        <v>102</v>
      </c>
      <c r="AJ955" s="23" t="s">
        <v>102</v>
      </c>
      <c r="AK955" s="23" t="s">
        <v>102</v>
      </c>
      <c r="AL955" s="23" t="s">
        <v>102</v>
      </c>
      <c r="AM955" s="24"/>
      <c r="AN955" s="108" t="s">
        <v>101</v>
      </c>
      <c r="AO955" s="108" t="s">
        <v>103</v>
      </c>
      <c r="AP955" s="118">
        <v>295</v>
      </c>
      <c r="AQ955" s="110" t="s">
        <v>100</v>
      </c>
      <c r="AR955" s="117">
        <v>295</v>
      </c>
    </row>
    <row r="956" spans="1:44" ht="16.5">
      <c r="A956" s="105">
        <v>296</v>
      </c>
      <c r="B956" s="21" t="s">
        <v>101</v>
      </c>
      <c r="C956" s="21">
        <v>85.9</v>
      </c>
      <c r="D956" s="21">
        <v>6</v>
      </c>
      <c r="E956" s="21">
        <v>4</v>
      </c>
      <c r="F956" s="21">
        <v>2</v>
      </c>
      <c r="G956" s="21">
        <v>0</v>
      </c>
      <c r="H956" s="21">
        <v>0</v>
      </c>
      <c r="I956" s="21">
        <v>0</v>
      </c>
      <c r="J956" s="21">
        <v>0</v>
      </c>
      <c r="K956" s="21">
        <v>0</v>
      </c>
      <c r="L956" s="21">
        <v>2</v>
      </c>
      <c r="M956" s="74" t="str">
        <f t="array" ref="M956">_xlfn.TEXTJOIN("-", TRUE, IF(C956:L956&gt;0, $C$2:$L$2, ""))</f>
        <v xml:space="preserve"> Ti-Al-Zr-Mo-Sn</v>
      </c>
      <c r="N956" s="90">
        <f t="shared" si="28"/>
        <v>921</v>
      </c>
      <c r="O956" s="91">
        <f t="shared" si="29"/>
        <v>5</v>
      </c>
      <c r="P956" s="21">
        <v>1</v>
      </c>
      <c r="Q956" s="21">
        <v>0</v>
      </c>
      <c r="R956" s="21">
        <v>0</v>
      </c>
      <c r="S956" s="21">
        <v>0</v>
      </c>
      <c r="T956" s="22">
        <v>980</v>
      </c>
      <c r="U956" s="22">
        <v>1</v>
      </c>
      <c r="V956" s="106">
        <v>2</v>
      </c>
      <c r="W956" s="22">
        <v>650</v>
      </c>
      <c r="X956" s="22">
        <v>8</v>
      </c>
      <c r="Y956" s="107">
        <v>2</v>
      </c>
      <c r="Z956" s="23" t="s">
        <v>102</v>
      </c>
      <c r="AA956" s="23" t="s">
        <v>102</v>
      </c>
      <c r="AB956" s="21">
        <v>1075.77</v>
      </c>
      <c r="AC956" s="23" t="s">
        <v>101</v>
      </c>
      <c r="AD956" s="21">
        <v>11.288600000000001</v>
      </c>
      <c r="AE956" s="23" t="s">
        <v>101</v>
      </c>
      <c r="AF956" s="23" t="s">
        <v>102</v>
      </c>
      <c r="AG956" s="23" t="s">
        <v>102</v>
      </c>
      <c r="AH956" s="23" t="s">
        <v>102</v>
      </c>
      <c r="AI956" s="23" t="s">
        <v>102</v>
      </c>
      <c r="AJ956" s="23" t="s">
        <v>102</v>
      </c>
      <c r="AK956" s="23" t="s">
        <v>102</v>
      </c>
      <c r="AL956" s="23" t="s">
        <v>102</v>
      </c>
      <c r="AM956" s="24"/>
      <c r="AN956" s="108" t="s">
        <v>101</v>
      </c>
      <c r="AO956" s="108" t="s">
        <v>103</v>
      </c>
      <c r="AP956" s="109">
        <v>296</v>
      </c>
      <c r="AQ956" s="110" t="s">
        <v>100</v>
      </c>
      <c r="AR956" s="105">
        <v>296</v>
      </c>
    </row>
    <row r="957" spans="1:44" ht="16.5">
      <c r="A957" s="105">
        <v>297</v>
      </c>
      <c r="B957" s="21" t="s">
        <v>101</v>
      </c>
      <c r="C957" s="21">
        <v>85.9</v>
      </c>
      <c r="D957" s="21">
        <v>6</v>
      </c>
      <c r="E957" s="21">
        <v>4</v>
      </c>
      <c r="F957" s="21">
        <v>2</v>
      </c>
      <c r="G957" s="21">
        <v>0</v>
      </c>
      <c r="H957" s="21">
        <v>0</v>
      </c>
      <c r="I957" s="21">
        <v>0</v>
      </c>
      <c r="J957" s="21">
        <v>0</v>
      </c>
      <c r="K957" s="21">
        <v>0</v>
      </c>
      <c r="L957" s="21">
        <v>2</v>
      </c>
      <c r="M957" s="74" t="str">
        <f t="array" ref="M957">_xlfn.TEXTJOIN("-", TRUE, IF(C957:L957&gt;0, $C$2:$L$2, ""))</f>
        <v xml:space="preserve"> Ti-Al-Zr-Mo-Sn</v>
      </c>
      <c r="N957" s="90">
        <f t="shared" si="28"/>
        <v>921</v>
      </c>
      <c r="O957" s="91">
        <f t="shared" si="29"/>
        <v>5</v>
      </c>
      <c r="P957" s="21">
        <v>1</v>
      </c>
      <c r="Q957" s="21">
        <v>0</v>
      </c>
      <c r="R957" s="21">
        <v>0</v>
      </c>
      <c r="S957" s="21">
        <v>0</v>
      </c>
      <c r="T957" s="22">
        <v>1000</v>
      </c>
      <c r="U957" s="22">
        <v>1</v>
      </c>
      <c r="V957" s="106">
        <v>2</v>
      </c>
      <c r="W957" s="22">
        <v>550</v>
      </c>
      <c r="X957" s="22">
        <v>8</v>
      </c>
      <c r="Y957" s="107">
        <v>2</v>
      </c>
      <c r="Z957" s="23" t="s">
        <v>102</v>
      </c>
      <c r="AA957" s="23" t="s">
        <v>102</v>
      </c>
      <c r="AB957" s="21">
        <v>1026.78</v>
      </c>
      <c r="AC957" s="23" t="s">
        <v>101</v>
      </c>
      <c r="AD957" s="21">
        <v>11.357799999999999</v>
      </c>
      <c r="AE957" s="23" t="s">
        <v>101</v>
      </c>
      <c r="AF957" s="23" t="s">
        <v>102</v>
      </c>
      <c r="AG957" s="23" t="s">
        <v>102</v>
      </c>
      <c r="AH957" s="23" t="s">
        <v>102</v>
      </c>
      <c r="AI957" s="23" t="s">
        <v>102</v>
      </c>
      <c r="AJ957" s="23" t="s">
        <v>102</v>
      </c>
      <c r="AK957" s="23" t="s">
        <v>102</v>
      </c>
      <c r="AL957" s="23" t="s">
        <v>102</v>
      </c>
      <c r="AM957" s="24"/>
      <c r="AN957" s="108" t="s">
        <v>101</v>
      </c>
      <c r="AO957" s="108" t="s">
        <v>103</v>
      </c>
      <c r="AP957" s="109">
        <v>297</v>
      </c>
      <c r="AQ957" s="110" t="s">
        <v>100</v>
      </c>
      <c r="AR957" s="105">
        <v>297</v>
      </c>
    </row>
    <row r="958" spans="1:44" ht="16.5">
      <c r="A958" s="117">
        <v>298</v>
      </c>
      <c r="B958" s="21" t="s">
        <v>101</v>
      </c>
      <c r="C958" s="21">
        <v>85.9</v>
      </c>
      <c r="D958" s="21">
        <v>6</v>
      </c>
      <c r="E958" s="21">
        <v>4</v>
      </c>
      <c r="F958" s="21">
        <v>2</v>
      </c>
      <c r="G958" s="21">
        <v>0</v>
      </c>
      <c r="H958" s="21">
        <v>0</v>
      </c>
      <c r="I958" s="21">
        <v>0</v>
      </c>
      <c r="J958" s="21">
        <v>0</v>
      </c>
      <c r="K958" s="21">
        <v>0</v>
      </c>
      <c r="L958" s="21">
        <v>2</v>
      </c>
      <c r="M958" s="74" t="str">
        <f t="array" ref="M958">_xlfn.TEXTJOIN("-", TRUE, IF(C958:L958&gt;0, $C$2:$L$2, ""))</f>
        <v xml:space="preserve"> Ti-Al-Zr-Mo-Sn</v>
      </c>
      <c r="N958" s="90">
        <f t="shared" si="28"/>
        <v>921</v>
      </c>
      <c r="O958" s="91">
        <f t="shared" si="29"/>
        <v>5</v>
      </c>
      <c r="P958" s="21">
        <v>1</v>
      </c>
      <c r="Q958" s="21">
        <v>0</v>
      </c>
      <c r="R958" s="21">
        <v>0</v>
      </c>
      <c r="S958" s="21">
        <v>0</v>
      </c>
      <c r="T958" s="22">
        <v>1000</v>
      </c>
      <c r="U958" s="22">
        <v>1</v>
      </c>
      <c r="V958" s="106">
        <v>2</v>
      </c>
      <c r="W958" s="22">
        <v>600</v>
      </c>
      <c r="X958" s="22">
        <v>8</v>
      </c>
      <c r="Y958" s="107">
        <v>2</v>
      </c>
      <c r="Z958" s="23" t="s">
        <v>102</v>
      </c>
      <c r="AA958" s="23" t="s">
        <v>102</v>
      </c>
      <c r="AB958" s="21">
        <v>1047.5</v>
      </c>
      <c r="AC958" s="23" t="s">
        <v>101</v>
      </c>
      <c r="AD958" s="21">
        <v>8.6065799999999992</v>
      </c>
      <c r="AE958" s="23" t="s">
        <v>101</v>
      </c>
      <c r="AF958" s="23" t="s">
        <v>102</v>
      </c>
      <c r="AG958" s="23" t="s">
        <v>102</v>
      </c>
      <c r="AH958" s="23" t="s">
        <v>102</v>
      </c>
      <c r="AI958" s="23" t="s">
        <v>102</v>
      </c>
      <c r="AJ958" s="23" t="s">
        <v>102</v>
      </c>
      <c r="AK958" s="23" t="s">
        <v>102</v>
      </c>
      <c r="AL958" s="23" t="s">
        <v>102</v>
      </c>
      <c r="AM958" s="24"/>
      <c r="AN958" s="108" t="s">
        <v>101</v>
      </c>
      <c r="AO958" s="108" t="s">
        <v>103</v>
      </c>
      <c r="AP958" s="118">
        <v>298</v>
      </c>
      <c r="AQ958" s="119" t="s">
        <v>100</v>
      </c>
      <c r="AR958" s="117">
        <v>298</v>
      </c>
    </row>
    <row r="959" spans="1:44" ht="16.5">
      <c r="A959" s="105">
        <v>299</v>
      </c>
      <c r="B959" s="21" t="s">
        <v>101</v>
      </c>
      <c r="C959" s="21">
        <v>85.9</v>
      </c>
      <c r="D959" s="21">
        <v>6</v>
      </c>
      <c r="E959" s="21">
        <v>4</v>
      </c>
      <c r="F959" s="21">
        <v>2</v>
      </c>
      <c r="G959" s="21">
        <v>0</v>
      </c>
      <c r="H959" s="21">
        <v>0</v>
      </c>
      <c r="I959" s="21">
        <v>0</v>
      </c>
      <c r="J959" s="21">
        <v>0</v>
      </c>
      <c r="K959" s="21">
        <v>0</v>
      </c>
      <c r="L959" s="21">
        <v>2</v>
      </c>
      <c r="M959" s="74" t="str">
        <f t="array" ref="M959">_xlfn.TEXTJOIN("-", TRUE, IF(C959:L959&gt;0, $C$2:$L$2, ""))</f>
        <v xml:space="preserve"> Ti-Al-Zr-Mo-Sn</v>
      </c>
      <c r="N959" s="90">
        <f t="shared" si="28"/>
        <v>921</v>
      </c>
      <c r="O959" s="91">
        <f t="shared" si="29"/>
        <v>5</v>
      </c>
      <c r="P959" s="21">
        <v>1</v>
      </c>
      <c r="Q959" s="21">
        <v>0</v>
      </c>
      <c r="R959" s="21">
        <v>0</v>
      </c>
      <c r="S959" s="21">
        <v>0</v>
      </c>
      <c r="T959" s="22">
        <v>1000</v>
      </c>
      <c r="U959" s="22">
        <v>1</v>
      </c>
      <c r="V959" s="106">
        <v>2</v>
      </c>
      <c r="W959" s="22">
        <v>650</v>
      </c>
      <c r="X959" s="22">
        <v>8</v>
      </c>
      <c r="Y959" s="107">
        <v>2</v>
      </c>
      <c r="Z959" s="23" t="s">
        <v>102</v>
      </c>
      <c r="AA959" s="23" t="s">
        <v>102</v>
      </c>
      <c r="AB959" s="21">
        <v>1036.1099999999999</v>
      </c>
      <c r="AC959" s="23" t="s">
        <v>101</v>
      </c>
      <c r="AD959" s="21">
        <v>6.81332</v>
      </c>
      <c r="AE959" s="23" t="s">
        <v>101</v>
      </c>
      <c r="AF959" s="23" t="s">
        <v>102</v>
      </c>
      <c r="AG959" s="23" t="s">
        <v>102</v>
      </c>
      <c r="AH959" s="23" t="s">
        <v>102</v>
      </c>
      <c r="AI959" s="23" t="s">
        <v>102</v>
      </c>
      <c r="AJ959" s="23" t="s">
        <v>102</v>
      </c>
      <c r="AK959" s="23" t="s">
        <v>102</v>
      </c>
      <c r="AL959" s="23" t="s">
        <v>102</v>
      </c>
      <c r="AM959" s="24"/>
      <c r="AN959" s="108" t="s">
        <v>101</v>
      </c>
      <c r="AO959" s="108" t="s">
        <v>103</v>
      </c>
      <c r="AP959" s="109">
        <v>299</v>
      </c>
      <c r="AQ959" s="110" t="s">
        <v>100</v>
      </c>
      <c r="AR959" s="105">
        <v>299</v>
      </c>
    </row>
    <row r="960" spans="1:44" ht="16.5">
      <c r="A960" s="105">
        <v>300</v>
      </c>
      <c r="B960" s="21" t="s">
        <v>101</v>
      </c>
      <c r="C960" s="21">
        <v>85.9</v>
      </c>
      <c r="D960" s="21">
        <v>6</v>
      </c>
      <c r="E960" s="21">
        <v>4</v>
      </c>
      <c r="F960" s="21">
        <v>2</v>
      </c>
      <c r="G960" s="21">
        <v>0</v>
      </c>
      <c r="H960" s="21">
        <v>0</v>
      </c>
      <c r="I960" s="21">
        <v>0</v>
      </c>
      <c r="J960" s="21">
        <v>0</v>
      </c>
      <c r="K960" s="21">
        <v>0</v>
      </c>
      <c r="L960" s="21">
        <v>2</v>
      </c>
      <c r="M960" s="74" t="str">
        <f t="array" ref="M960">_xlfn.TEXTJOIN("-", TRUE, IF(C960:L960&gt;0, $C$2:$L$2, ""))</f>
        <v xml:space="preserve"> Ti-Al-Zr-Mo-Sn</v>
      </c>
      <c r="N960" s="90">
        <f t="shared" si="28"/>
        <v>921</v>
      </c>
      <c r="O960" s="91">
        <f t="shared" si="29"/>
        <v>5</v>
      </c>
      <c r="P960" s="21">
        <v>1</v>
      </c>
      <c r="Q960" s="21">
        <v>0</v>
      </c>
      <c r="R960" s="21">
        <v>0</v>
      </c>
      <c r="S960" s="21">
        <v>0</v>
      </c>
      <c r="T960" s="22">
        <v>1030</v>
      </c>
      <c r="U960" s="22">
        <v>1</v>
      </c>
      <c r="V960" s="106">
        <v>2</v>
      </c>
      <c r="W960" s="22">
        <v>550</v>
      </c>
      <c r="X960" s="22">
        <v>8</v>
      </c>
      <c r="Y960" s="107">
        <v>2</v>
      </c>
      <c r="Z960" s="23" t="s">
        <v>102</v>
      </c>
      <c r="AA960" s="23" t="s">
        <v>102</v>
      </c>
      <c r="AB960" s="21">
        <v>1030.44</v>
      </c>
      <c r="AC960" s="23" t="s">
        <v>101</v>
      </c>
      <c r="AD960" s="21">
        <v>8.5865899999999993</v>
      </c>
      <c r="AE960" s="23" t="s">
        <v>101</v>
      </c>
      <c r="AF960" s="23" t="s">
        <v>102</v>
      </c>
      <c r="AG960" s="23" t="s">
        <v>102</v>
      </c>
      <c r="AH960" s="23" t="s">
        <v>102</v>
      </c>
      <c r="AI960" s="23" t="s">
        <v>102</v>
      </c>
      <c r="AJ960" s="23" t="s">
        <v>102</v>
      </c>
      <c r="AK960" s="23" t="s">
        <v>102</v>
      </c>
      <c r="AL960" s="23" t="s">
        <v>102</v>
      </c>
      <c r="AM960" s="24"/>
      <c r="AN960" s="108" t="s">
        <v>101</v>
      </c>
      <c r="AO960" s="108" t="s">
        <v>103</v>
      </c>
      <c r="AP960" s="109">
        <v>300</v>
      </c>
      <c r="AQ960" s="110" t="s">
        <v>100</v>
      </c>
      <c r="AR960" s="105">
        <v>300</v>
      </c>
    </row>
    <row r="961" spans="1:47" ht="16.5">
      <c r="A961" s="117">
        <v>301</v>
      </c>
      <c r="B961" s="21" t="s">
        <v>101</v>
      </c>
      <c r="C961" s="21">
        <v>85.9</v>
      </c>
      <c r="D961" s="21">
        <v>6</v>
      </c>
      <c r="E961" s="21">
        <v>4</v>
      </c>
      <c r="F961" s="21">
        <v>2</v>
      </c>
      <c r="G961" s="21">
        <v>0</v>
      </c>
      <c r="H961" s="21">
        <v>0</v>
      </c>
      <c r="I961" s="21">
        <v>0</v>
      </c>
      <c r="J961" s="21">
        <v>0</v>
      </c>
      <c r="K961" s="21">
        <v>0</v>
      </c>
      <c r="L961" s="21">
        <v>2</v>
      </c>
      <c r="M961" s="74" t="str">
        <f t="array" ref="M961">_xlfn.TEXTJOIN("-", TRUE, IF(C961:L961&gt;0, $C$2:$L$2, ""))</f>
        <v xml:space="preserve"> Ti-Al-Zr-Mo-Sn</v>
      </c>
      <c r="N961" s="90">
        <f t="shared" si="28"/>
        <v>921</v>
      </c>
      <c r="O961" s="91">
        <f t="shared" si="29"/>
        <v>5</v>
      </c>
      <c r="P961" s="21">
        <v>1</v>
      </c>
      <c r="Q961" s="21">
        <v>0</v>
      </c>
      <c r="R961" s="21">
        <v>0</v>
      </c>
      <c r="S961" s="21">
        <v>0</v>
      </c>
      <c r="T961" s="22">
        <v>1030</v>
      </c>
      <c r="U961" s="22">
        <v>1</v>
      </c>
      <c r="V961" s="106">
        <v>2</v>
      </c>
      <c r="W961" s="22">
        <v>600</v>
      </c>
      <c r="X961" s="22">
        <v>8</v>
      </c>
      <c r="Y961" s="107">
        <v>2</v>
      </c>
      <c r="Z961" s="23" t="s">
        <v>102</v>
      </c>
      <c r="AA961" s="23" t="s">
        <v>102</v>
      </c>
      <c r="AB961" s="21">
        <v>1043.4000000000001</v>
      </c>
      <c r="AC961" s="23" t="s">
        <v>101</v>
      </c>
      <c r="AD961" s="21">
        <v>7.7517899999999997</v>
      </c>
      <c r="AE961" s="23" t="s">
        <v>101</v>
      </c>
      <c r="AF961" s="23" t="s">
        <v>102</v>
      </c>
      <c r="AG961" s="23" t="s">
        <v>102</v>
      </c>
      <c r="AH961" s="23" t="s">
        <v>102</v>
      </c>
      <c r="AI961" s="23" t="s">
        <v>102</v>
      </c>
      <c r="AJ961" s="23" t="s">
        <v>102</v>
      </c>
      <c r="AK961" s="23" t="s">
        <v>102</v>
      </c>
      <c r="AL961" s="23" t="s">
        <v>102</v>
      </c>
      <c r="AM961" s="24"/>
      <c r="AN961" s="108" t="s">
        <v>101</v>
      </c>
      <c r="AO961" s="108" t="s">
        <v>103</v>
      </c>
      <c r="AP961" s="118">
        <v>301</v>
      </c>
      <c r="AQ961" s="110" t="s">
        <v>100</v>
      </c>
      <c r="AR961" s="117">
        <v>301</v>
      </c>
    </row>
    <row r="962" spans="1:47" ht="16.5">
      <c r="A962" s="105">
        <v>302</v>
      </c>
      <c r="B962" s="21" t="s">
        <v>101</v>
      </c>
      <c r="C962" s="21">
        <v>85.9</v>
      </c>
      <c r="D962" s="21">
        <v>6</v>
      </c>
      <c r="E962" s="21">
        <v>4</v>
      </c>
      <c r="F962" s="21">
        <v>2</v>
      </c>
      <c r="G962" s="21">
        <v>0</v>
      </c>
      <c r="H962" s="21">
        <v>0</v>
      </c>
      <c r="I962" s="21">
        <v>0</v>
      </c>
      <c r="J962" s="21">
        <v>0</v>
      </c>
      <c r="K962" s="21">
        <v>0</v>
      </c>
      <c r="L962" s="21">
        <v>2</v>
      </c>
      <c r="M962" s="74" t="str">
        <f t="array" ref="M962">_xlfn.TEXTJOIN("-", TRUE, IF(C962:L962&gt;0, $C$2:$L$2, ""))</f>
        <v xml:space="preserve"> Ti-Al-Zr-Mo-Sn</v>
      </c>
      <c r="N962" s="90">
        <f t="shared" si="28"/>
        <v>921</v>
      </c>
      <c r="O962" s="91">
        <f t="shared" si="29"/>
        <v>5</v>
      </c>
      <c r="P962" s="21">
        <v>1</v>
      </c>
      <c r="Q962" s="21">
        <v>0</v>
      </c>
      <c r="R962" s="21">
        <v>0</v>
      </c>
      <c r="S962" s="21">
        <v>0</v>
      </c>
      <c r="T962" s="22">
        <v>1030</v>
      </c>
      <c r="U962" s="22">
        <v>1</v>
      </c>
      <c r="V962" s="106">
        <v>2</v>
      </c>
      <c r="W962" s="22">
        <v>650</v>
      </c>
      <c r="X962" s="22">
        <v>8</v>
      </c>
      <c r="Y962" s="107">
        <v>2</v>
      </c>
      <c r="Z962" s="23" t="s">
        <v>102</v>
      </c>
      <c r="AA962" s="23" t="s">
        <v>102</v>
      </c>
      <c r="AB962" s="21">
        <v>1029.2</v>
      </c>
      <c r="AC962" s="23" t="s">
        <v>101</v>
      </c>
      <c r="AD962" s="21">
        <v>7.2576099999999997</v>
      </c>
      <c r="AE962" s="23" t="s">
        <v>101</v>
      </c>
      <c r="AF962" s="23" t="s">
        <v>102</v>
      </c>
      <c r="AG962" s="23" t="s">
        <v>102</v>
      </c>
      <c r="AH962" s="23" t="s">
        <v>102</v>
      </c>
      <c r="AI962" s="23" t="s">
        <v>102</v>
      </c>
      <c r="AJ962" s="23" t="s">
        <v>102</v>
      </c>
      <c r="AK962" s="23" t="s">
        <v>102</v>
      </c>
      <c r="AL962" s="23" t="s">
        <v>102</v>
      </c>
      <c r="AM962" s="24"/>
      <c r="AN962" s="108" t="s">
        <v>101</v>
      </c>
      <c r="AO962" s="108" t="s">
        <v>103</v>
      </c>
      <c r="AP962" s="109">
        <v>302</v>
      </c>
      <c r="AQ962" s="119" t="s">
        <v>100</v>
      </c>
      <c r="AR962" s="105">
        <v>302</v>
      </c>
    </row>
    <row r="963" spans="1:47" ht="16.5">
      <c r="A963" s="37">
        <v>166</v>
      </c>
      <c r="B963" s="39"/>
      <c r="C963" s="39">
        <f>100-SUM(D963:L963)</f>
        <v>88.39</v>
      </c>
      <c r="D963" s="39">
        <v>6.9</v>
      </c>
      <c r="E963" s="39">
        <v>1.6</v>
      </c>
      <c r="F963" s="39">
        <v>3.08</v>
      </c>
      <c r="G963" s="39">
        <v>0</v>
      </c>
      <c r="H963" s="39">
        <v>0</v>
      </c>
      <c r="I963" s="39">
        <v>0</v>
      </c>
      <c r="J963" s="39">
        <v>0</v>
      </c>
      <c r="K963" s="39">
        <v>0.03</v>
      </c>
      <c r="L963" s="39">
        <v>0</v>
      </c>
      <c r="M963" s="74" t="str">
        <f t="array" ref="M963">_xlfn.TEXTJOIN("-", TRUE, IF(C963:L963&gt;0, $C$2:$L$2, ""))</f>
        <v xml:space="preserve"> Ti-Al-Zr-Mo-Fe</v>
      </c>
      <c r="N963" s="90">
        <f t="shared" ref="N963:N1026" si="30">IF(COUNTIF(M$3:M$1206, M963)&gt;1, MATCH(M963, M:M, 0), "")</f>
        <v>963</v>
      </c>
      <c r="O963" s="91">
        <f t="shared" ref="O963:O1026" si="31">COUNTIF(C963:L963, "&lt;&gt;0")</f>
        <v>5</v>
      </c>
      <c r="P963" s="39" t="s">
        <v>81</v>
      </c>
      <c r="Q963" s="39" t="s">
        <v>81</v>
      </c>
      <c r="R963" s="39" t="s">
        <v>81</v>
      </c>
      <c r="S963" s="39" t="s">
        <v>81</v>
      </c>
      <c r="T963" s="39" t="s">
        <v>81</v>
      </c>
      <c r="U963" s="39" t="s">
        <v>81</v>
      </c>
      <c r="V963" s="39" t="s">
        <v>81</v>
      </c>
      <c r="W963" s="39" t="s">
        <v>81</v>
      </c>
      <c r="X963" s="39" t="s">
        <v>81</v>
      </c>
      <c r="Y963" s="39" t="s">
        <v>81</v>
      </c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40"/>
      <c r="AO963" s="40" t="s">
        <v>270</v>
      </c>
      <c r="AP963" s="44">
        <v>42</v>
      </c>
      <c r="AQ963" s="41" t="s">
        <v>83</v>
      </c>
      <c r="AR963" s="37">
        <v>166</v>
      </c>
    </row>
    <row r="964" spans="1:47" ht="16.5">
      <c r="A964" s="37">
        <v>167</v>
      </c>
      <c r="B964" s="39"/>
      <c r="C964" s="39">
        <f>100-SUM(D964:L964)</f>
        <v>88.39</v>
      </c>
      <c r="D964" s="39">
        <v>6.9</v>
      </c>
      <c r="E964" s="39">
        <v>1.6</v>
      </c>
      <c r="F964" s="39">
        <v>3.08</v>
      </c>
      <c r="G964" s="39">
        <v>0</v>
      </c>
      <c r="H964" s="39">
        <v>0</v>
      </c>
      <c r="I964" s="39">
        <v>0</v>
      </c>
      <c r="J964" s="39">
        <v>0</v>
      </c>
      <c r="K964" s="39">
        <v>0.03</v>
      </c>
      <c r="L964" s="39">
        <v>0</v>
      </c>
      <c r="M964" s="74" t="str">
        <f t="array" ref="M964">_xlfn.TEXTJOIN("-", TRUE, IF(C964:L964&gt;0, $C$2:$L$2, ""))</f>
        <v xml:space="preserve"> Ti-Al-Zr-Mo-Fe</v>
      </c>
      <c r="N964" s="90">
        <f t="shared" si="30"/>
        <v>963</v>
      </c>
      <c r="O964" s="91">
        <f t="shared" si="31"/>
        <v>5</v>
      </c>
      <c r="P964" s="39" t="s">
        <v>81</v>
      </c>
      <c r="Q964" s="39" t="s">
        <v>81</v>
      </c>
      <c r="R964" s="39" t="s">
        <v>81</v>
      </c>
      <c r="S964" s="39" t="s">
        <v>81</v>
      </c>
      <c r="T964" s="39" t="s">
        <v>81</v>
      </c>
      <c r="U964" s="39" t="s">
        <v>81</v>
      </c>
      <c r="V964" s="39" t="s">
        <v>81</v>
      </c>
      <c r="W964" s="39" t="s">
        <v>81</v>
      </c>
      <c r="X964" s="39" t="s">
        <v>81</v>
      </c>
      <c r="Y964" s="39" t="s">
        <v>81</v>
      </c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40"/>
      <c r="AO964" s="40" t="s">
        <v>270</v>
      </c>
      <c r="AP964" s="44">
        <v>42</v>
      </c>
      <c r="AQ964" s="41" t="s">
        <v>83</v>
      </c>
      <c r="AR964" s="37">
        <v>167</v>
      </c>
    </row>
    <row r="965" spans="1:47" ht="16.5">
      <c r="A965" s="37">
        <v>168</v>
      </c>
      <c r="B965" s="39"/>
      <c r="C965" s="39">
        <f>100-SUM(D965:L965)</f>
        <v>88.39</v>
      </c>
      <c r="D965" s="39">
        <v>6.9</v>
      </c>
      <c r="E965" s="39">
        <v>1.6</v>
      </c>
      <c r="F965" s="39">
        <v>3.08</v>
      </c>
      <c r="G965" s="39">
        <v>0</v>
      </c>
      <c r="H965" s="39">
        <v>0</v>
      </c>
      <c r="I965" s="39">
        <v>0</v>
      </c>
      <c r="J965" s="39">
        <v>0</v>
      </c>
      <c r="K965" s="39">
        <v>0.03</v>
      </c>
      <c r="L965" s="39">
        <v>0</v>
      </c>
      <c r="M965" s="74" t="str">
        <f t="array" ref="M965">_xlfn.TEXTJOIN("-", TRUE, IF(C965:L965&gt;0, $C$2:$L$2, ""))</f>
        <v xml:space="preserve"> Ti-Al-Zr-Mo-Fe</v>
      </c>
      <c r="N965" s="90">
        <f t="shared" si="30"/>
        <v>963</v>
      </c>
      <c r="O965" s="91">
        <f t="shared" si="31"/>
        <v>5</v>
      </c>
      <c r="P965" s="39" t="s">
        <v>81</v>
      </c>
      <c r="Q965" s="39" t="s">
        <v>81</v>
      </c>
      <c r="R965" s="39" t="s">
        <v>81</v>
      </c>
      <c r="S965" s="39" t="s">
        <v>81</v>
      </c>
      <c r="T965" s="39" t="s">
        <v>81</v>
      </c>
      <c r="U965" s="39" t="s">
        <v>81</v>
      </c>
      <c r="V965" s="39" t="s">
        <v>81</v>
      </c>
      <c r="W965" s="39" t="s">
        <v>81</v>
      </c>
      <c r="X965" s="39" t="s">
        <v>81</v>
      </c>
      <c r="Y965" s="39" t="s">
        <v>81</v>
      </c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40"/>
      <c r="AO965" s="40" t="s">
        <v>270</v>
      </c>
      <c r="AP965" s="44">
        <v>42</v>
      </c>
      <c r="AQ965" s="41" t="s">
        <v>83</v>
      </c>
      <c r="AR965" s="37">
        <v>168</v>
      </c>
    </row>
    <row r="966" spans="1:47" ht="16.5">
      <c r="A966" s="37">
        <v>169</v>
      </c>
      <c r="B966" s="39"/>
      <c r="C966" s="39">
        <v>89.034999999999997</v>
      </c>
      <c r="D966" s="39">
        <v>6.2</v>
      </c>
      <c r="E966" s="39">
        <v>0.02</v>
      </c>
      <c r="F966" s="39">
        <v>0</v>
      </c>
      <c r="G966" s="39">
        <v>4.3</v>
      </c>
      <c r="H966" s="39">
        <v>0</v>
      </c>
      <c r="I966" s="39">
        <v>0</v>
      </c>
      <c r="J966" s="39">
        <v>0</v>
      </c>
      <c r="K966" s="39">
        <v>0.16</v>
      </c>
      <c r="L966" s="39">
        <v>0</v>
      </c>
      <c r="M966" s="74" t="str">
        <f t="array" ref="M966">_xlfn.TEXTJOIN("-", TRUE, IF(C966:L966&gt;0, $C$2:$L$2, ""))</f>
        <v xml:space="preserve"> Ti-Al-Zr-V-Fe</v>
      </c>
      <c r="N966" s="90">
        <f t="shared" si="30"/>
        <v>966</v>
      </c>
      <c r="O966" s="91">
        <f t="shared" si="31"/>
        <v>5</v>
      </c>
      <c r="P966" s="156">
        <v>2</v>
      </c>
      <c r="Q966" s="156">
        <v>1</v>
      </c>
      <c r="R966" s="39" t="s">
        <v>81</v>
      </c>
      <c r="S966" s="39" t="s">
        <v>81</v>
      </c>
      <c r="T966" s="156">
        <v>870</v>
      </c>
      <c r="U966" s="156">
        <v>1</v>
      </c>
      <c r="V966" s="156">
        <v>1</v>
      </c>
      <c r="W966" s="156">
        <v>675</v>
      </c>
      <c r="X966" s="156">
        <v>4</v>
      </c>
      <c r="Y966" s="156">
        <v>2</v>
      </c>
      <c r="Z966" s="39"/>
      <c r="AA966" s="39"/>
      <c r="AB966" s="39">
        <v>965</v>
      </c>
      <c r="AC966" s="39">
        <v>900</v>
      </c>
      <c r="AD966" s="39">
        <v>17</v>
      </c>
      <c r="AE966" s="39">
        <v>8.5</v>
      </c>
      <c r="AF966" s="39"/>
      <c r="AG966" s="39"/>
      <c r="AH966" s="39"/>
      <c r="AI966" s="39"/>
      <c r="AJ966" s="39"/>
      <c r="AK966" s="39"/>
      <c r="AL966" s="39">
        <v>540</v>
      </c>
      <c r="AM966" s="39"/>
      <c r="AN966" s="40"/>
      <c r="AO966" s="40" t="s">
        <v>272</v>
      </c>
      <c r="AP966" s="44">
        <v>43</v>
      </c>
      <c r="AQ966" s="41" t="s">
        <v>83</v>
      </c>
      <c r="AR966" s="128" t="s">
        <v>602</v>
      </c>
      <c r="AS966" s="10" t="s">
        <v>151</v>
      </c>
      <c r="AT966" s="11" t="s">
        <v>603</v>
      </c>
      <c r="AU966" t="s">
        <v>604</v>
      </c>
    </row>
    <row r="967" spans="1:47" ht="16.5">
      <c r="A967" s="42">
        <v>170</v>
      </c>
      <c r="B967" s="39"/>
      <c r="C967" s="39">
        <v>89.034999999999997</v>
      </c>
      <c r="D967" s="44">
        <v>6.2</v>
      </c>
      <c r="E967" s="39">
        <v>0.02</v>
      </c>
      <c r="F967" s="39">
        <v>0</v>
      </c>
      <c r="G967" s="44">
        <v>4.3</v>
      </c>
      <c r="H967" s="39">
        <v>0</v>
      </c>
      <c r="I967" s="39">
        <v>0</v>
      </c>
      <c r="J967" s="44">
        <v>0</v>
      </c>
      <c r="K967" s="44">
        <v>0.16</v>
      </c>
      <c r="L967" s="39">
        <v>0</v>
      </c>
      <c r="M967" s="74" t="str">
        <f t="array" ref="M967">_xlfn.TEXTJOIN("-", TRUE, IF(C967:L967&gt;0, $C$2:$L$2, ""))</f>
        <v xml:space="preserve"> Ti-Al-Zr-V-Fe</v>
      </c>
      <c r="N967" s="90">
        <f t="shared" si="30"/>
        <v>966</v>
      </c>
      <c r="O967" s="91">
        <f t="shared" si="31"/>
        <v>5</v>
      </c>
      <c r="P967" s="156">
        <v>2</v>
      </c>
      <c r="Q967" s="156">
        <v>3</v>
      </c>
      <c r="R967" s="39" t="s">
        <v>81</v>
      </c>
      <c r="S967" s="39" t="s">
        <v>81</v>
      </c>
      <c r="T967" s="156">
        <v>0</v>
      </c>
      <c r="U967" s="156">
        <v>0</v>
      </c>
      <c r="V967" s="156">
        <v>0</v>
      </c>
      <c r="W967" s="156">
        <v>500</v>
      </c>
      <c r="X967" s="156">
        <v>1</v>
      </c>
      <c r="Y967" s="156">
        <v>2</v>
      </c>
      <c r="Z967" s="39"/>
      <c r="AA967" s="39"/>
      <c r="AB967" s="39">
        <v>1435</v>
      </c>
      <c r="AC967" s="39">
        <v>1360</v>
      </c>
      <c r="AD967" s="39">
        <v>9</v>
      </c>
      <c r="AE967" s="39">
        <v>1.7</v>
      </c>
      <c r="AF967" s="39"/>
      <c r="AG967" s="39"/>
      <c r="AH967" s="39"/>
      <c r="AI967" s="39"/>
      <c r="AJ967" s="39"/>
      <c r="AK967" s="39"/>
      <c r="AL967" s="39">
        <v>150</v>
      </c>
      <c r="AM967" s="39"/>
      <c r="AN967" s="40"/>
      <c r="AO967" s="40" t="s">
        <v>272</v>
      </c>
      <c r="AP967" s="76">
        <v>43</v>
      </c>
      <c r="AQ967" s="38" t="s">
        <v>83</v>
      </c>
      <c r="AR967" s="42">
        <v>170</v>
      </c>
      <c r="AS967" s="10" t="s">
        <v>151</v>
      </c>
      <c r="AT967" s="11" t="s">
        <v>603</v>
      </c>
      <c r="AU967" t="s">
        <v>604</v>
      </c>
    </row>
    <row r="968" spans="1:47" ht="16.5">
      <c r="A968" s="42">
        <v>171</v>
      </c>
      <c r="B968" s="39"/>
      <c r="C968" s="39">
        <v>89.034999999999997</v>
      </c>
      <c r="D968" s="44">
        <v>6.2</v>
      </c>
      <c r="E968" s="39">
        <v>0.02</v>
      </c>
      <c r="F968" s="39">
        <v>0</v>
      </c>
      <c r="G968" s="44">
        <v>4.3</v>
      </c>
      <c r="H968" s="39">
        <v>0</v>
      </c>
      <c r="I968" s="39">
        <v>0</v>
      </c>
      <c r="J968" s="44">
        <v>0</v>
      </c>
      <c r="K968" s="44">
        <v>0.16</v>
      </c>
      <c r="L968" s="39">
        <v>0</v>
      </c>
      <c r="M968" s="74" t="str">
        <f t="array" ref="M968">_xlfn.TEXTJOIN("-", TRUE, IF(C968:L968&gt;0, $C$2:$L$2, ""))</f>
        <v xml:space="preserve"> Ti-Al-Zr-V-Fe</v>
      </c>
      <c r="N968" s="90">
        <f t="shared" si="30"/>
        <v>966</v>
      </c>
      <c r="O968" s="91">
        <f t="shared" si="31"/>
        <v>5</v>
      </c>
      <c r="P968" s="156">
        <v>2</v>
      </c>
      <c r="Q968" s="156">
        <v>2</v>
      </c>
      <c r="R968" s="39" t="s">
        <v>81</v>
      </c>
      <c r="S968" s="39" t="s">
        <v>81</v>
      </c>
      <c r="T968" s="156">
        <v>0</v>
      </c>
      <c r="U968" s="156">
        <v>0</v>
      </c>
      <c r="V968" s="156">
        <v>0</v>
      </c>
      <c r="W968" s="156">
        <v>0</v>
      </c>
      <c r="X968" s="156">
        <v>0</v>
      </c>
      <c r="Y968" s="156">
        <v>0</v>
      </c>
      <c r="Z968" s="39"/>
      <c r="AA968" s="39"/>
      <c r="AB968" s="39">
        <v>1220</v>
      </c>
      <c r="AC968" s="39">
        <v>1180</v>
      </c>
      <c r="AD968" s="39">
        <v>16</v>
      </c>
      <c r="AE968" s="39">
        <v>9</v>
      </c>
      <c r="AF968" s="39"/>
      <c r="AG968" s="39"/>
      <c r="AH968" s="39"/>
      <c r="AI968" s="39"/>
      <c r="AJ968" s="39"/>
      <c r="AK968" s="39"/>
      <c r="AL968" s="39">
        <v>320</v>
      </c>
      <c r="AM968" s="39"/>
      <c r="AN968" s="40"/>
      <c r="AO968" s="40" t="s">
        <v>272</v>
      </c>
      <c r="AP968" s="76">
        <v>43</v>
      </c>
      <c r="AQ968" s="41" t="s">
        <v>83</v>
      </c>
      <c r="AR968" s="42">
        <v>171</v>
      </c>
      <c r="AS968" s="10" t="s">
        <v>151</v>
      </c>
      <c r="AT968" s="11" t="s">
        <v>603</v>
      </c>
      <c r="AU968" t="s">
        <v>604</v>
      </c>
    </row>
    <row r="969" spans="1:47" ht="16.5">
      <c r="A969" s="117">
        <v>398</v>
      </c>
      <c r="B969" s="21" t="s">
        <v>113</v>
      </c>
      <c r="C969" s="22">
        <v>68.820000000000007</v>
      </c>
      <c r="D969" s="109">
        <v>9.93</v>
      </c>
      <c r="E969" s="22">
        <v>17.62</v>
      </c>
      <c r="F969" s="22">
        <v>0</v>
      </c>
      <c r="G969" s="109">
        <v>3.15</v>
      </c>
      <c r="H969" s="22">
        <v>0</v>
      </c>
      <c r="I969" s="22">
        <v>0</v>
      </c>
      <c r="J969" s="109">
        <v>0</v>
      </c>
      <c r="K969" s="109">
        <v>0.48</v>
      </c>
      <c r="L969" s="22">
        <v>0</v>
      </c>
      <c r="M969" s="74" t="str">
        <f t="array" ref="M969">_xlfn.TEXTJOIN("-", TRUE, IF(C969:L969&gt;0, $C$2:$L$2, ""))</f>
        <v xml:space="preserve"> Ti-Al-Zr-V-Fe</v>
      </c>
      <c r="N969" s="90">
        <f t="shared" si="30"/>
        <v>966</v>
      </c>
      <c r="O969" s="91">
        <f t="shared" si="31"/>
        <v>5</v>
      </c>
      <c r="P969" s="22">
        <v>1</v>
      </c>
      <c r="Q969" s="22">
        <v>1</v>
      </c>
      <c r="R969" s="21" t="s">
        <v>113</v>
      </c>
      <c r="S969" s="21" t="s">
        <v>113</v>
      </c>
      <c r="T969" s="21" t="s">
        <v>113</v>
      </c>
      <c r="U969" s="21" t="s">
        <v>113</v>
      </c>
      <c r="V969" s="22">
        <v>2</v>
      </c>
      <c r="W969" s="21" t="s">
        <v>113</v>
      </c>
      <c r="X969" s="21" t="s">
        <v>113</v>
      </c>
      <c r="Y969" s="21" t="s">
        <v>113</v>
      </c>
      <c r="Z969" s="22">
        <v>92</v>
      </c>
      <c r="AA969" s="21" t="s">
        <v>113</v>
      </c>
      <c r="AB969" s="21" t="s">
        <v>113</v>
      </c>
      <c r="AC969" s="22">
        <v>1299</v>
      </c>
      <c r="AD969" s="21" t="s">
        <v>113</v>
      </c>
      <c r="AE969" s="21" t="s">
        <v>113</v>
      </c>
      <c r="AF969" s="21" t="s">
        <v>113</v>
      </c>
      <c r="AG969" s="21" t="s">
        <v>113</v>
      </c>
      <c r="AH969" s="21" t="s">
        <v>113</v>
      </c>
      <c r="AI969" s="21" t="s">
        <v>113</v>
      </c>
      <c r="AJ969" s="21" t="s">
        <v>113</v>
      </c>
      <c r="AK969" s="21" t="s">
        <v>113</v>
      </c>
      <c r="AL969" s="21" t="s">
        <v>113</v>
      </c>
      <c r="AM969" s="21"/>
      <c r="AN969" s="21" t="s">
        <v>113</v>
      </c>
      <c r="AO969" s="21" t="s">
        <v>174</v>
      </c>
      <c r="AP969" s="118">
        <v>398</v>
      </c>
      <c r="AQ969" s="110" t="s">
        <v>100</v>
      </c>
      <c r="AR969" s="117">
        <v>398</v>
      </c>
    </row>
    <row r="970" spans="1:47" ht="16.5">
      <c r="A970" s="105">
        <v>399</v>
      </c>
      <c r="B970" s="21" t="s">
        <v>113</v>
      </c>
      <c r="C970" s="22">
        <v>68.320000000000007</v>
      </c>
      <c r="D970" s="109">
        <v>9.93</v>
      </c>
      <c r="E970" s="22">
        <v>17.630000000000003</v>
      </c>
      <c r="F970" s="22">
        <v>0</v>
      </c>
      <c r="G970" s="109">
        <v>3.16</v>
      </c>
      <c r="H970" s="22">
        <v>0</v>
      </c>
      <c r="I970" s="22">
        <v>0</v>
      </c>
      <c r="J970" s="109">
        <v>0</v>
      </c>
      <c r="K970" s="109">
        <v>0.96</v>
      </c>
      <c r="L970" s="22">
        <v>0</v>
      </c>
      <c r="M970" s="74" t="str">
        <f t="array" ref="M970">_xlfn.TEXTJOIN("-", TRUE, IF(C970:L970&gt;0, $C$2:$L$2, ""))</f>
        <v xml:space="preserve"> Ti-Al-Zr-V-Fe</v>
      </c>
      <c r="N970" s="90">
        <f t="shared" si="30"/>
        <v>966</v>
      </c>
      <c r="O970" s="91">
        <f t="shared" si="31"/>
        <v>5</v>
      </c>
      <c r="P970" s="22">
        <v>1</v>
      </c>
      <c r="Q970" s="22">
        <v>1</v>
      </c>
      <c r="R970" s="21" t="s">
        <v>113</v>
      </c>
      <c r="S970" s="21" t="s">
        <v>113</v>
      </c>
      <c r="T970" s="21" t="s">
        <v>113</v>
      </c>
      <c r="U970" s="21" t="s">
        <v>113</v>
      </c>
      <c r="V970" s="22">
        <v>2</v>
      </c>
      <c r="W970" s="21" t="s">
        <v>113</v>
      </c>
      <c r="X970" s="21" t="s">
        <v>113</v>
      </c>
      <c r="Y970" s="21" t="s">
        <v>113</v>
      </c>
      <c r="Z970" s="22">
        <v>100</v>
      </c>
      <c r="AA970" s="21" t="s">
        <v>113</v>
      </c>
      <c r="AB970" s="21" t="s">
        <v>113</v>
      </c>
      <c r="AC970" s="22">
        <v>1421</v>
      </c>
      <c r="AD970" s="21" t="s">
        <v>113</v>
      </c>
      <c r="AE970" s="21" t="s">
        <v>113</v>
      </c>
      <c r="AF970" s="21" t="s">
        <v>113</v>
      </c>
      <c r="AG970" s="21" t="s">
        <v>113</v>
      </c>
      <c r="AH970" s="21" t="s">
        <v>113</v>
      </c>
      <c r="AI970" s="21" t="s">
        <v>113</v>
      </c>
      <c r="AJ970" s="21" t="s">
        <v>113</v>
      </c>
      <c r="AK970" s="21" t="s">
        <v>113</v>
      </c>
      <c r="AL970" s="21" t="s">
        <v>113</v>
      </c>
      <c r="AM970" s="21"/>
      <c r="AN970" s="21" t="s">
        <v>113</v>
      </c>
      <c r="AO970" s="21" t="s">
        <v>174</v>
      </c>
      <c r="AP970" s="109">
        <v>399</v>
      </c>
      <c r="AQ970" s="119" t="s">
        <v>100</v>
      </c>
      <c r="AR970" s="105">
        <v>399</v>
      </c>
    </row>
    <row r="971" spans="1:47" ht="16.5">
      <c r="A971" s="117">
        <v>400</v>
      </c>
      <c r="B971" s="21" t="s">
        <v>113</v>
      </c>
      <c r="C971" s="22">
        <v>67.81</v>
      </c>
      <c r="D971" s="109">
        <v>9.94</v>
      </c>
      <c r="E971" s="22">
        <v>17.64</v>
      </c>
      <c r="F971" s="22">
        <v>0</v>
      </c>
      <c r="G971" s="109">
        <v>3.16</v>
      </c>
      <c r="H971" s="22">
        <v>0</v>
      </c>
      <c r="I971" s="22">
        <v>0</v>
      </c>
      <c r="J971" s="109">
        <v>0</v>
      </c>
      <c r="K971" s="109">
        <v>1.44</v>
      </c>
      <c r="L971" s="22">
        <v>0</v>
      </c>
      <c r="M971" s="74" t="str">
        <f t="array" ref="M971">_xlfn.TEXTJOIN("-", TRUE, IF(C971:L971&gt;0, $C$2:$L$2, ""))</f>
        <v xml:space="preserve"> Ti-Al-Zr-V-Fe</v>
      </c>
      <c r="N971" s="90">
        <f t="shared" si="30"/>
        <v>966</v>
      </c>
      <c r="O971" s="91">
        <f t="shared" si="31"/>
        <v>5</v>
      </c>
      <c r="P971" s="22">
        <v>1</v>
      </c>
      <c r="Q971" s="22">
        <v>1</v>
      </c>
      <c r="R971" s="21" t="s">
        <v>113</v>
      </c>
      <c r="S971" s="21" t="s">
        <v>113</v>
      </c>
      <c r="T971" s="21" t="s">
        <v>113</v>
      </c>
      <c r="U971" s="21" t="s">
        <v>113</v>
      </c>
      <c r="V971" s="22">
        <v>2</v>
      </c>
      <c r="W971" s="21" t="s">
        <v>113</v>
      </c>
      <c r="X971" s="21" t="s">
        <v>113</v>
      </c>
      <c r="Y971" s="21" t="s">
        <v>113</v>
      </c>
      <c r="Z971" s="22">
        <v>96</v>
      </c>
      <c r="AA971" s="21" t="s">
        <v>113</v>
      </c>
      <c r="AB971" s="21" t="s">
        <v>113</v>
      </c>
      <c r="AC971" s="22">
        <v>1553</v>
      </c>
      <c r="AD971" s="21" t="s">
        <v>113</v>
      </c>
      <c r="AE971" s="21" t="s">
        <v>113</v>
      </c>
      <c r="AF971" s="21" t="s">
        <v>113</v>
      </c>
      <c r="AG971" s="21" t="s">
        <v>113</v>
      </c>
      <c r="AH971" s="21" t="s">
        <v>113</v>
      </c>
      <c r="AI971" s="21" t="s">
        <v>113</v>
      </c>
      <c r="AJ971" s="21" t="s">
        <v>113</v>
      </c>
      <c r="AK971" s="21" t="s">
        <v>113</v>
      </c>
      <c r="AL971" s="21" t="s">
        <v>113</v>
      </c>
      <c r="AM971" s="21"/>
      <c r="AN971" s="21" t="s">
        <v>113</v>
      </c>
      <c r="AO971" s="21" t="s">
        <v>174</v>
      </c>
      <c r="AP971" s="118">
        <v>400</v>
      </c>
      <c r="AQ971" s="110" t="s">
        <v>100</v>
      </c>
      <c r="AR971" s="117">
        <v>400</v>
      </c>
    </row>
    <row r="972" spans="1:47" ht="16.5">
      <c r="A972" s="105">
        <v>401</v>
      </c>
      <c r="B972" s="21" t="s">
        <v>113</v>
      </c>
      <c r="C972" s="22">
        <v>67.31</v>
      </c>
      <c r="D972" s="109">
        <v>9.9500000000000011</v>
      </c>
      <c r="E972" s="22">
        <v>17.66</v>
      </c>
      <c r="F972" s="22">
        <v>0</v>
      </c>
      <c r="G972" s="109">
        <v>3.16</v>
      </c>
      <c r="H972" s="22">
        <v>0</v>
      </c>
      <c r="I972" s="22">
        <v>0</v>
      </c>
      <c r="J972" s="109">
        <v>0</v>
      </c>
      <c r="K972" s="109">
        <v>1.92</v>
      </c>
      <c r="L972" s="22">
        <v>0</v>
      </c>
      <c r="M972" s="74" t="str">
        <f t="array" ref="M972">_xlfn.TEXTJOIN("-", TRUE, IF(C972:L972&gt;0, $C$2:$L$2, ""))</f>
        <v xml:space="preserve"> Ti-Al-Zr-V-Fe</v>
      </c>
      <c r="N972" s="90">
        <f t="shared" si="30"/>
        <v>966</v>
      </c>
      <c r="O972" s="91">
        <f t="shared" si="31"/>
        <v>5</v>
      </c>
      <c r="P972" s="22">
        <v>1</v>
      </c>
      <c r="Q972" s="22">
        <v>1</v>
      </c>
      <c r="R972" s="21" t="s">
        <v>113</v>
      </c>
      <c r="S972" s="21" t="s">
        <v>113</v>
      </c>
      <c r="T972" s="21" t="s">
        <v>113</v>
      </c>
      <c r="U972" s="21" t="s">
        <v>113</v>
      </c>
      <c r="V972" s="22">
        <v>2</v>
      </c>
      <c r="W972" s="21" t="s">
        <v>113</v>
      </c>
      <c r="X972" s="21" t="s">
        <v>113</v>
      </c>
      <c r="Y972" s="21" t="s">
        <v>113</v>
      </c>
      <c r="Z972" s="22">
        <v>103</v>
      </c>
      <c r="AA972" s="21" t="s">
        <v>113</v>
      </c>
      <c r="AB972" s="21" t="s">
        <v>113</v>
      </c>
      <c r="AC972" s="22">
        <v>1399</v>
      </c>
      <c r="AD972" s="21" t="s">
        <v>113</v>
      </c>
      <c r="AE972" s="21" t="s">
        <v>113</v>
      </c>
      <c r="AF972" s="21" t="s">
        <v>113</v>
      </c>
      <c r="AG972" s="21" t="s">
        <v>113</v>
      </c>
      <c r="AH972" s="21" t="s">
        <v>113</v>
      </c>
      <c r="AI972" s="21" t="s">
        <v>113</v>
      </c>
      <c r="AJ972" s="21" t="s">
        <v>113</v>
      </c>
      <c r="AK972" s="21" t="s">
        <v>113</v>
      </c>
      <c r="AL972" s="21" t="s">
        <v>113</v>
      </c>
      <c r="AM972" s="21"/>
      <c r="AN972" s="21" t="s">
        <v>113</v>
      </c>
      <c r="AO972" s="21" t="s">
        <v>174</v>
      </c>
      <c r="AP972" s="109">
        <v>401</v>
      </c>
      <c r="AQ972" s="110" t="s">
        <v>100</v>
      </c>
      <c r="AR972" s="105">
        <v>401</v>
      </c>
    </row>
    <row r="973" spans="1:47" ht="16.5">
      <c r="A973" s="105">
        <v>402</v>
      </c>
      <c r="B973" s="21" t="s">
        <v>113</v>
      </c>
      <c r="C973" s="22">
        <v>66.8</v>
      </c>
      <c r="D973" s="109">
        <v>9.9599999999999991</v>
      </c>
      <c r="E973" s="22">
        <v>17.669999999999998</v>
      </c>
      <c r="F973" s="22">
        <v>0</v>
      </c>
      <c r="G973" s="109">
        <v>3.16</v>
      </c>
      <c r="H973" s="22">
        <v>0</v>
      </c>
      <c r="I973" s="22">
        <v>0</v>
      </c>
      <c r="J973" s="109">
        <v>0</v>
      </c>
      <c r="K973" s="109">
        <v>2.41</v>
      </c>
      <c r="L973" s="22">
        <v>0</v>
      </c>
      <c r="M973" s="74" t="str">
        <f t="array" ref="M973">_xlfn.TEXTJOIN("-", TRUE, IF(C973:L973&gt;0, $C$2:$L$2, ""))</f>
        <v xml:space="preserve"> Ti-Al-Zr-V-Fe</v>
      </c>
      <c r="N973" s="90">
        <f t="shared" si="30"/>
        <v>966</v>
      </c>
      <c r="O973" s="91">
        <f t="shared" si="31"/>
        <v>5</v>
      </c>
      <c r="P973" s="22">
        <v>1</v>
      </c>
      <c r="Q973" s="22">
        <v>1</v>
      </c>
      <c r="R973" s="21" t="s">
        <v>113</v>
      </c>
      <c r="S973" s="21" t="s">
        <v>113</v>
      </c>
      <c r="T973" s="21" t="s">
        <v>113</v>
      </c>
      <c r="U973" s="21" t="s">
        <v>113</v>
      </c>
      <c r="V973" s="22">
        <v>2</v>
      </c>
      <c r="W973" s="21" t="s">
        <v>113</v>
      </c>
      <c r="X973" s="21" t="s">
        <v>113</v>
      </c>
      <c r="Y973" s="21" t="s">
        <v>113</v>
      </c>
      <c r="Z973" s="22">
        <v>79</v>
      </c>
      <c r="AA973" s="21" t="s">
        <v>113</v>
      </c>
      <c r="AB973" s="21" t="s">
        <v>113</v>
      </c>
      <c r="AC973" s="22">
        <v>1068</v>
      </c>
      <c r="AD973" s="21" t="s">
        <v>113</v>
      </c>
      <c r="AE973" s="21" t="s">
        <v>113</v>
      </c>
      <c r="AF973" s="21" t="s">
        <v>113</v>
      </c>
      <c r="AG973" s="21" t="s">
        <v>113</v>
      </c>
      <c r="AH973" s="21" t="s">
        <v>113</v>
      </c>
      <c r="AI973" s="21" t="s">
        <v>113</v>
      </c>
      <c r="AJ973" s="21" t="s">
        <v>113</v>
      </c>
      <c r="AK973" s="21" t="s">
        <v>113</v>
      </c>
      <c r="AL973" s="21" t="s">
        <v>113</v>
      </c>
      <c r="AM973" s="21"/>
      <c r="AN973" s="21" t="s">
        <v>113</v>
      </c>
      <c r="AO973" s="21" t="s">
        <v>174</v>
      </c>
      <c r="AP973" s="109">
        <v>402</v>
      </c>
      <c r="AQ973" s="119" t="s">
        <v>100</v>
      </c>
      <c r="AR973" s="105">
        <v>402</v>
      </c>
    </row>
    <row r="974" spans="1:47" ht="16.5">
      <c r="A974" s="105">
        <v>1</v>
      </c>
      <c r="B974" s="21" t="s">
        <v>101</v>
      </c>
      <c r="C974" s="21">
        <v>84.68</v>
      </c>
      <c r="D974" s="111">
        <v>3.01</v>
      </c>
      <c r="E974" s="21">
        <v>0</v>
      </c>
      <c r="F974" s="21">
        <v>6.63</v>
      </c>
      <c r="G974" s="111">
        <v>0</v>
      </c>
      <c r="H974" s="21">
        <v>0</v>
      </c>
      <c r="I974" s="21">
        <v>2.8</v>
      </c>
      <c r="J974" s="111">
        <v>2.65</v>
      </c>
      <c r="K974" s="111">
        <v>0</v>
      </c>
      <c r="L974" s="21">
        <v>0</v>
      </c>
      <c r="M974" s="74" t="str">
        <f t="array" ref="M974">_xlfn.TEXTJOIN("-", TRUE, IF(C974:L974&gt;0, $C$2:$L$2, ""))</f>
        <v xml:space="preserve"> Ti-Al-Mo-Nb-Cr</v>
      </c>
      <c r="N974" s="90">
        <f t="shared" si="30"/>
        <v>974</v>
      </c>
      <c r="O974" s="91">
        <f t="shared" si="31"/>
        <v>5</v>
      </c>
      <c r="P974" s="21">
        <v>1</v>
      </c>
      <c r="Q974" s="21">
        <v>0</v>
      </c>
      <c r="R974" s="21">
        <v>0</v>
      </c>
      <c r="S974" s="21">
        <v>0</v>
      </c>
      <c r="T974" s="22">
        <v>880</v>
      </c>
      <c r="U974" s="22">
        <v>0.5</v>
      </c>
      <c r="V974" s="106">
        <v>1</v>
      </c>
      <c r="W974" s="22">
        <v>0</v>
      </c>
      <c r="X974" s="22">
        <v>0</v>
      </c>
      <c r="Y974" s="107">
        <v>0</v>
      </c>
      <c r="Z974" s="23" t="s">
        <v>102</v>
      </c>
      <c r="AA974" s="23" t="s">
        <v>102</v>
      </c>
      <c r="AB974" s="21">
        <v>903</v>
      </c>
      <c r="AC974" s="21">
        <v>687</v>
      </c>
      <c r="AD974" s="21">
        <v>24</v>
      </c>
      <c r="AE974" s="23" t="s">
        <v>101</v>
      </c>
      <c r="AF974" s="23" t="s">
        <v>102</v>
      </c>
      <c r="AG974" s="23" t="s">
        <v>102</v>
      </c>
      <c r="AH974" s="23" t="s">
        <v>102</v>
      </c>
      <c r="AI974" s="23" t="s">
        <v>102</v>
      </c>
      <c r="AJ974" s="23" t="s">
        <v>102</v>
      </c>
      <c r="AK974" s="23" t="s">
        <v>102</v>
      </c>
      <c r="AL974" s="23" t="s">
        <v>102</v>
      </c>
      <c r="AM974" s="24"/>
      <c r="AN974" s="108" t="s">
        <v>101</v>
      </c>
      <c r="AO974" s="108" t="s">
        <v>103</v>
      </c>
      <c r="AP974" s="109">
        <v>1</v>
      </c>
      <c r="AQ974" s="110" t="s">
        <v>100</v>
      </c>
      <c r="AR974" s="105">
        <v>1</v>
      </c>
    </row>
    <row r="975" spans="1:47" ht="16.5">
      <c r="A975" s="117">
        <v>2</v>
      </c>
      <c r="B975" s="21" t="s">
        <v>101</v>
      </c>
      <c r="C975" s="21">
        <v>84.68</v>
      </c>
      <c r="D975" s="111">
        <v>3.01</v>
      </c>
      <c r="E975" s="21">
        <v>0</v>
      </c>
      <c r="F975" s="21">
        <v>6.63</v>
      </c>
      <c r="G975" s="111">
        <v>0</v>
      </c>
      <c r="H975" s="21">
        <v>0</v>
      </c>
      <c r="I975" s="21">
        <v>2.8</v>
      </c>
      <c r="J975" s="111">
        <v>2.65</v>
      </c>
      <c r="K975" s="111">
        <v>0</v>
      </c>
      <c r="L975" s="21">
        <v>0</v>
      </c>
      <c r="M975" s="74" t="str">
        <f t="array" ref="M975">_xlfn.TEXTJOIN("-", TRUE, IF(C975:L975&gt;0, $C$2:$L$2, ""))</f>
        <v xml:space="preserve"> Ti-Al-Mo-Nb-Cr</v>
      </c>
      <c r="N975" s="90">
        <f t="shared" si="30"/>
        <v>974</v>
      </c>
      <c r="O975" s="91">
        <f t="shared" si="31"/>
        <v>5</v>
      </c>
      <c r="P975" s="21">
        <v>1</v>
      </c>
      <c r="Q975" s="21">
        <v>0</v>
      </c>
      <c r="R975" s="21">
        <v>0</v>
      </c>
      <c r="S975" s="21">
        <v>0</v>
      </c>
      <c r="T975" s="22">
        <v>820</v>
      </c>
      <c r="U975" s="22">
        <v>0.5</v>
      </c>
      <c r="V975" s="106">
        <v>1</v>
      </c>
      <c r="W975" s="22">
        <v>0</v>
      </c>
      <c r="X975" s="22">
        <v>0</v>
      </c>
      <c r="Y975" s="107">
        <v>0</v>
      </c>
      <c r="Z975" s="23" t="s">
        <v>102</v>
      </c>
      <c r="AA975" s="23" t="s">
        <v>102</v>
      </c>
      <c r="AB975" s="21">
        <v>965</v>
      </c>
      <c r="AC975" s="21">
        <v>811</v>
      </c>
      <c r="AD975" s="21">
        <v>10.9</v>
      </c>
      <c r="AE975" s="23" t="s">
        <v>101</v>
      </c>
      <c r="AF975" s="23" t="s">
        <v>102</v>
      </c>
      <c r="AG975" s="23" t="s">
        <v>102</v>
      </c>
      <c r="AH975" s="23" t="s">
        <v>102</v>
      </c>
      <c r="AI975" s="23" t="s">
        <v>102</v>
      </c>
      <c r="AJ975" s="23" t="s">
        <v>102</v>
      </c>
      <c r="AK975" s="23" t="s">
        <v>102</v>
      </c>
      <c r="AL975" s="23" t="s">
        <v>102</v>
      </c>
      <c r="AM975" s="24"/>
      <c r="AN975" s="108" t="s">
        <v>101</v>
      </c>
      <c r="AO975" s="108" t="s">
        <v>103</v>
      </c>
      <c r="AP975" s="118">
        <v>2</v>
      </c>
      <c r="AQ975" s="110" t="s">
        <v>100</v>
      </c>
      <c r="AR975" s="117">
        <v>2</v>
      </c>
    </row>
    <row r="976" spans="1:47" ht="16.5">
      <c r="A976" s="105">
        <v>3</v>
      </c>
      <c r="B976" s="21" t="s">
        <v>101</v>
      </c>
      <c r="C976" s="21">
        <v>84.68</v>
      </c>
      <c r="D976" s="111">
        <v>3.01</v>
      </c>
      <c r="E976" s="21">
        <v>0</v>
      </c>
      <c r="F976" s="21">
        <v>6.63</v>
      </c>
      <c r="G976" s="111">
        <v>0</v>
      </c>
      <c r="H976" s="21">
        <v>0</v>
      </c>
      <c r="I976" s="21">
        <v>2.8</v>
      </c>
      <c r="J976" s="111">
        <v>2.65</v>
      </c>
      <c r="K976" s="111">
        <v>0</v>
      </c>
      <c r="L976" s="21">
        <v>0</v>
      </c>
      <c r="M976" s="74" t="str">
        <f t="array" ref="M976">_xlfn.TEXTJOIN("-", TRUE, IF(C976:L976&gt;0, $C$2:$L$2, ""))</f>
        <v xml:space="preserve"> Ti-Al-Mo-Nb-Cr</v>
      </c>
      <c r="N976" s="90">
        <f t="shared" si="30"/>
        <v>974</v>
      </c>
      <c r="O976" s="91">
        <f t="shared" si="31"/>
        <v>5</v>
      </c>
      <c r="P976" s="21">
        <v>1</v>
      </c>
      <c r="Q976" s="21">
        <v>0</v>
      </c>
      <c r="R976" s="21">
        <v>0</v>
      </c>
      <c r="S976" s="21">
        <v>0</v>
      </c>
      <c r="T976" s="22">
        <v>880</v>
      </c>
      <c r="U976" s="22">
        <v>0.5</v>
      </c>
      <c r="V976" s="106">
        <v>1</v>
      </c>
      <c r="W976" s="22">
        <v>530</v>
      </c>
      <c r="X976" s="22">
        <v>6</v>
      </c>
      <c r="Y976" s="107">
        <v>2</v>
      </c>
      <c r="Z976" s="23" t="s">
        <v>102</v>
      </c>
      <c r="AA976" s="23" t="s">
        <v>102</v>
      </c>
      <c r="AB976" s="21">
        <v>1311</v>
      </c>
      <c r="AC976" s="21">
        <v>987</v>
      </c>
      <c r="AD976" s="21">
        <v>2.1</v>
      </c>
      <c r="AE976" s="23" t="s">
        <v>101</v>
      </c>
      <c r="AF976" s="23" t="s">
        <v>102</v>
      </c>
      <c r="AG976" s="23" t="s">
        <v>102</v>
      </c>
      <c r="AH976" s="23" t="s">
        <v>102</v>
      </c>
      <c r="AI976" s="23" t="s">
        <v>102</v>
      </c>
      <c r="AJ976" s="23" t="s">
        <v>102</v>
      </c>
      <c r="AK976" s="23" t="s">
        <v>102</v>
      </c>
      <c r="AL976" s="23" t="s">
        <v>102</v>
      </c>
      <c r="AM976" s="24"/>
      <c r="AN976" s="108" t="s">
        <v>101</v>
      </c>
      <c r="AO976" s="108" t="s">
        <v>103</v>
      </c>
      <c r="AP976" s="109">
        <v>3</v>
      </c>
      <c r="AQ976" s="110" t="s">
        <v>100</v>
      </c>
      <c r="AR976" s="105">
        <v>3</v>
      </c>
    </row>
    <row r="977" spans="1:44" ht="16.5">
      <c r="A977" s="105">
        <v>4</v>
      </c>
      <c r="B977" s="21" t="s">
        <v>101</v>
      </c>
      <c r="C977" s="21">
        <v>84.68</v>
      </c>
      <c r="D977" s="111">
        <v>3.01</v>
      </c>
      <c r="E977" s="21">
        <v>0</v>
      </c>
      <c r="F977" s="21">
        <v>6.63</v>
      </c>
      <c r="G977" s="111">
        <v>0</v>
      </c>
      <c r="H977" s="21">
        <v>0</v>
      </c>
      <c r="I977" s="21">
        <v>2.8</v>
      </c>
      <c r="J977" s="111">
        <v>2.65</v>
      </c>
      <c r="K977" s="111">
        <v>0</v>
      </c>
      <c r="L977" s="21">
        <v>0</v>
      </c>
      <c r="M977" s="74" t="str">
        <f t="array" ref="M977">_xlfn.TEXTJOIN("-", TRUE, IF(C977:L977&gt;0, $C$2:$L$2, ""))</f>
        <v xml:space="preserve"> Ti-Al-Mo-Nb-Cr</v>
      </c>
      <c r="N977" s="90">
        <f t="shared" si="30"/>
        <v>974</v>
      </c>
      <c r="O977" s="91">
        <f t="shared" si="31"/>
        <v>5</v>
      </c>
      <c r="P977" s="21">
        <v>1</v>
      </c>
      <c r="Q977" s="21">
        <v>0</v>
      </c>
      <c r="R977" s="21">
        <v>0</v>
      </c>
      <c r="S977" s="21">
        <v>0</v>
      </c>
      <c r="T977" s="22">
        <v>820</v>
      </c>
      <c r="U977" s="22">
        <v>0.5</v>
      </c>
      <c r="V977" s="106">
        <v>1</v>
      </c>
      <c r="W977" s="22">
        <v>530</v>
      </c>
      <c r="X977" s="22">
        <v>6</v>
      </c>
      <c r="Y977" s="107">
        <v>2</v>
      </c>
      <c r="Z977" s="23" t="s">
        <v>102</v>
      </c>
      <c r="AA977" s="23" t="s">
        <v>102</v>
      </c>
      <c r="AB977" s="21">
        <v>1296</v>
      </c>
      <c r="AC977" s="21">
        <v>963</v>
      </c>
      <c r="AD977" s="21">
        <v>4.7</v>
      </c>
      <c r="AE977" s="23" t="s">
        <v>101</v>
      </c>
      <c r="AF977" s="23" t="s">
        <v>102</v>
      </c>
      <c r="AG977" s="23" t="s">
        <v>102</v>
      </c>
      <c r="AH977" s="23" t="s">
        <v>102</v>
      </c>
      <c r="AI977" s="23" t="s">
        <v>102</v>
      </c>
      <c r="AJ977" s="23" t="s">
        <v>102</v>
      </c>
      <c r="AK977" s="23" t="s">
        <v>102</v>
      </c>
      <c r="AL977" s="23" t="s">
        <v>102</v>
      </c>
      <c r="AM977" s="24"/>
      <c r="AN977" s="108" t="s">
        <v>101</v>
      </c>
      <c r="AO977" s="108" t="s">
        <v>103</v>
      </c>
      <c r="AP977" s="109">
        <v>4</v>
      </c>
      <c r="AQ977" s="110" t="s">
        <v>100</v>
      </c>
      <c r="AR977" s="105">
        <v>4</v>
      </c>
    </row>
    <row r="978" spans="1:44" ht="16.5">
      <c r="A978" s="105">
        <v>5</v>
      </c>
      <c r="B978" s="21" t="s">
        <v>101</v>
      </c>
      <c r="C978" s="21">
        <v>82.19</v>
      </c>
      <c r="D978" s="111">
        <v>4.22</v>
      </c>
      <c r="E978" s="21">
        <v>0</v>
      </c>
      <c r="F978" s="21">
        <v>6.62</v>
      </c>
      <c r="G978" s="111">
        <v>0</v>
      </c>
      <c r="H978" s="21">
        <v>0</v>
      </c>
      <c r="I978" s="21">
        <v>2.86</v>
      </c>
      <c r="J978" s="111">
        <v>3.9</v>
      </c>
      <c r="K978" s="111">
        <v>0</v>
      </c>
      <c r="L978" s="21">
        <v>0</v>
      </c>
      <c r="M978" s="74" t="str">
        <f t="array" ref="M978">_xlfn.TEXTJOIN("-", TRUE, IF(C978:L978&gt;0, $C$2:$L$2, ""))</f>
        <v xml:space="preserve"> Ti-Al-Mo-Nb-Cr</v>
      </c>
      <c r="N978" s="90">
        <f t="shared" si="30"/>
        <v>974</v>
      </c>
      <c r="O978" s="91">
        <f t="shared" si="31"/>
        <v>5</v>
      </c>
      <c r="P978" s="21">
        <v>1</v>
      </c>
      <c r="Q978" s="21">
        <v>0</v>
      </c>
      <c r="R978" s="21">
        <v>0</v>
      </c>
      <c r="S978" s="21">
        <v>0</v>
      </c>
      <c r="T978" s="22">
        <v>890</v>
      </c>
      <c r="U978" s="22">
        <v>0.5</v>
      </c>
      <c r="V978" s="106">
        <v>1</v>
      </c>
      <c r="W978" s="22">
        <v>0</v>
      </c>
      <c r="X978" s="22">
        <v>0</v>
      </c>
      <c r="Y978" s="107">
        <v>0</v>
      </c>
      <c r="Z978" s="23" t="s">
        <v>102</v>
      </c>
      <c r="AA978" s="23" t="s">
        <v>102</v>
      </c>
      <c r="AB978" s="21">
        <v>893</v>
      </c>
      <c r="AC978" s="21">
        <v>726</v>
      </c>
      <c r="AD978" s="21">
        <v>19.5</v>
      </c>
      <c r="AE978" s="23" t="s">
        <v>101</v>
      </c>
      <c r="AF978" s="23" t="s">
        <v>102</v>
      </c>
      <c r="AG978" s="23" t="s">
        <v>102</v>
      </c>
      <c r="AH978" s="23" t="s">
        <v>102</v>
      </c>
      <c r="AI978" s="23" t="s">
        <v>102</v>
      </c>
      <c r="AJ978" s="23" t="s">
        <v>102</v>
      </c>
      <c r="AK978" s="23" t="s">
        <v>102</v>
      </c>
      <c r="AL978" s="23" t="s">
        <v>102</v>
      </c>
      <c r="AM978" s="24"/>
      <c r="AN978" s="108" t="s">
        <v>101</v>
      </c>
      <c r="AO978" s="108" t="s">
        <v>103</v>
      </c>
      <c r="AP978" s="109">
        <v>5</v>
      </c>
      <c r="AQ978" s="119" t="s">
        <v>100</v>
      </c>
      <c r="AR978" s="105">
        <v>5</v>
      </c>
    </row>
    <row r="979" spans="1:44" ht="16.5">
      <c r="A979" s="105">
        <v>6</v>
      </c>
      <c r="B979" s="21" t="s">
        <v>101</v>
      </c>
      <c r="C979" s="21">
        <v>82.19</v>
      </c>
      <c r="D979" s="111">
        <v>4.22</v>
      </c>
      <c r="E979" s="21">
        <v>0</v>
      </c>
      <c r="F979" s="21">
        <v>6.62</v>
      </c>
      <c r="G979" s="111">
        <v>0</v>
      </c>
      <c r="H979" s="21">
        <v>0</v>
      </c>
      <c r="I979" s="21">
        <v>2.86</v>
      </c>
      <c r="J979" s="111">
        <v>3.9</v>
      </c>
      <c r="K979" s="111">
        <v>0</v>
      </c>
      <c r="L979" s="21">
        <v>0</v>
      </c>
      <c r="M979" s="74" t="str">
        <f t="array" ref="M979">_xlfn.TEXTJOIN("-", TRUE, IF(C979:L979&gt;0, $C$2:$L$2, ""))</f>
        <v xml:space="preserve"> Ti-Al-Mo-Nb-Cr</v>
      </c>
      <c r="N979" s="90">
        <f t="shared" si="30"/>
        <v>974</v>
      </c>
      <c r="O979" s="91">
        <f t="shared" si="31"/>
        <v>5</v>
      </c>
      <c r="P979" s="21">
        <v>1</v>
      </c>
      <c r="Q979" s="21">
        <v>0</v>
      </c>
      <c r="R979" s="21">
        <v>0</v>
      </c>
      <c r="S979" s="21">
        <v>0</v>
      </c>
      <c r="T979" s="22">
        <v>830</v>
      </c>
      <c r="U979" s="22">
        <v>0.5</v>
      </c>
      <c r="V979" s="106">
        <v>1</v>
      </c>
      <c r="W979" s="22">
        <v>0</v>
      </c>
      <c r="X979" s="22">
        <v>0</v>
      </c>
      <c r="Y979" s="107">
        <v>0</v>
      </c>
      <c r="Z979" s="23" t="s">
        <v>102</v>
      </c>
      <c r="AA979" s="23" t="s">
        <v>102</v>
      </c>
      <c r="AB979" s="21">
        <v>942</v>
      </c>
      <c r="AC979" s="21">
        <v>908</v>
      </c>
      <c r="AD979" s="21">
        <v>9.1</v>
      </c>
      <c r="AE979" s="23" t="s">
        <v>101</v>
      </c>
      <c r="AF979" s="23" t="s">
        <v>102</v>
      </c>
      <c r="AG979" s="23" t="s">
        <v>102</v>
      </c>
      <c r="AH979" s="23" t="s">
        <v>102</v>
      </c>
      <c r="AI979" s="23" t="s">
        <v>102</v>
      </c>
      <c r="AJ979" s="23" t="s">
        <v>102</v>
      </c>
      <c r="AK979" s="23" t="s">
        <v>102</v>
      </c>
      <c r="AL979" s="23" t="s">
        <v>102</v>
      </c>
      <c r="AM979" s="24"/>
      <c r="AN979" s="108" t="s">
        <v>101</v>
      </c>
      <c r="AO979" s="108" t="s">
        <v>103</v>
      </c>
      <c r="AP979" s="109">
        <v>6</v>
      </c>
      <c r="AQ979" s="110" t="s">
        <v>100</v>
      </c>
      <c r="AR979" s="105">
        <v>6</v>
      </c>
    </row>
    <row r="980" spans="1:44" ht="16.5">
      <c r="A980" s="117">
        <v>7</v>
      </c>
      <c r="B980" s="21" t="s">
        <v>101</v>
      </c>
      <c r="C980" s="21">
        <v>82.19</v>
      </c>
      <c r="D980" s="111">
        <v>4.22</v>
      </c>
      <c r="E980" s="21">
        <v>0</v>
      </c>
      <c r="F980" s="21">
        <v>6.62</v>
      </c>
      <c r="G980" s="111">
        <v>0</v>
      </c>
      <c r="H980" s="21">
        <v>0</v>
      </c>
      <c r="I980" s="21">
        <v>2.86</v>
      </c>
      <c r="J980" s="111">
        <v>3.9</v>
      </c>
      <c r="K980" s="111">
        <v>0</v>
      </c>
      <c r="L980" s="21">
        <v>0</v>
      </c>
      <c r="M980" s="74" t="str">
        <f t="array" ref="M980">_xlfn.TEXTJOIN("-", TRUE, IF(C980:L980&gt;0, $C$2:$L$2, ""))</f>
        <v xml:space="preserve"> Ti-Al-Mo-Nb-Cr</v>
      </c>
      <c r="N980" s="90">
        <f t="shared" si="30"/>
        <v>974</v>
      </c>
      <c r="O980" s="91">
        <f t="shared" si="31"/>
        <v>5</v>
      </c>
      <c r="P980" s="21">
        <v>1</v>
      </c>
      <c r="Q980" s="21">
        <v>0</v>
      </c>
      <c r="R980" s="21">
        <v>0</v>
      </c>
      <c r="S980" s="21">
        <v>0</v>
      </c>
      <c r="T980" s="22">
        <v>890</v>
      </c>
      <c r="U980" s="22">
        <v>0.5</v>
      </c>
      <c r="V980" s="106">
        <v>1</v>
      </c>
      <c r="W980" s="22">
        <v>540</v>
      </c>
      <c r="X980" s="22">
        <v>6</v>
      </c>
      <c r="Y980" s="107">
        <v>2</v>
      </c>
      <c r="Z980" s="23" t="s">
        <v>102</v>
      </c>
      <c r="AA980" s="23" t="s">
        <v>102</v>
      </c>
      <c r="AB980" s="21">
        <v>1378</v>
      </c>
      <c r="AC980" s="21">
        <v>1058</v>
      </c>
      <c r="AD980" s="21">
        <v>1.5</v>
      </c>
      <c r="AE980" s="23" t="s">
        <v>101</v>
      </c>
      <c r="AF980" s="23" t="s">
        <v>102</v>
      </c>
      <c r="AG980" s="23" t="s">
        <v>102</v>
      </c>
      <c r="AH980" s="23" t="s">
        <v>102</v>
      </c>
      <c r="AI980" s="23" t="s">
        <v>102</v>
      </c>
      <c r="AJ980" s="23" t="s">
        <v>102</v>
      </c>
      <c r="AK980" s="23" t="s">
        <v>102</v>
      </c>
      <c r="AL980" s="23" t="s">
        <v>102</v>
      </c>
      <c r="AM980" s="24"/>
      <c r="AN980" s="108" t="s">
        <v>101</v>
      </c>
      <c r="AO980" s="108" t="s">
        <v>103</v>
      </c>
      <c r="AP980" s="118">
        <v>7</v>
      </c>
      <c r="AQ980" s="110" t="s">
        <v>100</v>
      </c>
      <c r="AR980" s="117">
        <v>7</v>
      </c>
    </row>
    <row r="981" spans="1:44" ht="16.5">
      <c r="A981" s="105">
        <v>8</v>
      </c>
      <c r="B981" s="21" t="s">
        <v>101</v>
      </c>
      <c r="C981" s="21">
        <v>82.19</v>
      </c>
      <c r="D981" s="111">
        <v>4.22</v>
      </c>
      <c r="E981" s="21">
        <v>0</v>
      </c>
      <c r="F981" s="21">
        <v>6.62</v>
      </c>
      <c r="G981" s="111">
        <v>0</v>
      </c>
      <c r="H981" s="21">
        <v>0</v>
      </c>
      <c r="I981" s="21">
        <v>2.86</v>
      </c>
      <c r="J981" s="111">
        <v>3.9</v>
      </c>
      <c r="K981" s="111">
        <v>0</v>
      </c>
      <c r="L981" s="21">
        <v>0</v>
      </c>
      <c r="M981" s="74" t="str">
        <f t="array" ref="M981">_xlfn.TEXTJOIN("-", TRUE, IF(C981:L981&gt;0, $C$2:$L$2, ""))</f>
        <v xml:space="preserve"> Ti-Al-Mo-Nb-Cr</v>
      </c>
      <c r="N981" s="90">
        <f t="shared" si="30"/>
        <v>974</v>
      </c>
      <c r="O981" s="91">
        <f t="shared" si="31"/>
        <v>5</v>
      </c>
      <c r="P981" s="21">
        <v>1</v>
      </c>
      <c r="Q981" s="21">
        <v>0</v>
      </c>
      <c r="R981" s="21">
        <v>0</v>
      </c>
      <c r="S981" s="21">
        <v>0</v>
      </c>
      <c r="T981" s="22">
        <v>830</v>
      </c>
      <c r="U981" s="22">
        <v>0.5</v>
      </c>
      <c r="V981" s="106">
        <v>1</v>
      </c>
      <c r="W981" s="22">
        <v>540</v>
      </c>
      <c r="X981" s="22">
        <v>6</v>
      </c>
      <c r="Y981" s="107">
        <v>2</v>
      </c>
      <c r="Z981" s="23" t="s">
        <v>102</v>
      </c>
      <c r="AA981" s="23" t="s">
        <v>102</v>
      </c>
      <c r="AB981" s="21">
        <v>1308</v>
      </c>
      <c r="AC981" s="21">
        <v>1094</v>
      </c>
      <c r="AD981" s="21">
        <v>5.2</v>
      </c>
      <c r="AE981" s="23" t="s">
        <v>101</v>
      </c>
      <c r="AF981" s="23" t="s">
        <v>102</v>
      </c>
      <c r="AG981" s="23" t="s">
        <v>102</v>
      </c>
      <c r="AH981" s="23" t="s">
        <v>102</v>
      </c>
      <c r="AI981" s="23" t="s">
        <v>102</v>
      </c>
      <c r="AJ981" s="23" t="s">
        <v>102</v>
      </c>
      <c r="AK981" s="23" t="s">
        <v>102</v>
      </c>
      <c r="AL981" s="23" t="s">
        <v>102</v>
      </c>
      <c r="AM981" s="24"/>
      <c r="AN981" s="108" t="s">
        <v>101</v>
      </c>
      <c r="AO981" s="108" t="s">
        <v>103</v>
      </c>
      <c r="AP981" s="109">
        <v>8</v>
      </c>
      <c r="AQ981" s="110" t="s">
        <v>100</v>
      </c>
      <c r="AR981" s="105">
        <v>8</v>
      </c>
    </row>
    <row r="982" spans="1:44" ht="16.5">
      <c r="A982" s="105">
        <v>18</v>
      </c>
      <c r="B982" s="21" t="s">
        <v>101</v>
      </c>
      <c r="C982" s="21">
        <v>88.21</v>
      </c>
      <c r="D982" s="111">
        <v>5.13</v>
      </c>
      <c r="E982" s="21">
        <v>2.87</v>
      </c>
      <c r="F982" s="21">
        <v>0</v>
      </c>
      <c r="G982" s="111">
        <v>3.03</v>
      </c>
      <c r="H982" s="21">
        <v>0</v>
      </c>
      <c r="I982" s="21">
        <v>0</v>
      </c>
      <c r="J982" s="111">
        <v>0.76</v>
      </c>
      <c r="K982" s="111">
        <v>0</v>
      </c>
      <c r="L982" s="21">
        <v>0</v>
      </c>
      <c r="M982" s="74" t="str">
        <f t="array" ref="M982">_xlfn.TEXTJOIN("-", TRUE, IF(C982:L982&gt;0, $C$2:$L$2, ""))</f>
        <v xml:space="preserve"> Ti-Al-Zr-V-Cr</v>
      </c>
      <c r="N982" s="90">
        <f t="shared" si="30"/>
        <v>982</v>
      </c>
      <c r="O982" s="91">
        <f t="shared" si="31"/>
        <v>5</v>
      </c>
      <c r="P982" s="21">
        <v>1</v>
      </c>
      <c r="Q982" s="21">
        <v>1</v>
      </c>
      <c r="R982" s="108">
        <v>0</v>
      </c>
      <c r="S982" s="21" t="s">
        <v>113</v>
      </c>
      <c r="T982" s="22">
        <v>700</v>
      </c>
      <c r="U982" s="22">
        <v>1</v>
      </c>
      <c r="V982" s="106">
        <v>2</v>
      </c>
      <c r="W982" s="22">
        <v>0</v>
      </c>
      <c r="X982" s="22">
        <v>0</v>
      </c>
      <c r="Y982" s="107">
        <v>0</v>
      </c>
      <c r="Z982" s="23" t="s">
        <v>102</v>
      </c>
      <c r="AA982" s="23" t="s">
        <v>102</v>
      </c>
      <c r="AB982" s="21">
        <v>878.65200000000004</v>
      </c>
      <c r="AC982" s="21">
        <v>847.19100000000003</v>
      </c>
      <c r="AD982" s="21">
        <v>17.7578</v>
      </c>
      <c r="AE982" s="23" t="s">
        <v>101</v>
      </c>
      <c r="AF982" s="23" t="s">
        <v>102</v>
      </c>
      <c r="AG982" s="23" t="s">
        <v>102</v>
      </c>
      <c r="AH982" s="23" t="s">
        <v>102</v>
      </c>
      <c r="AI982" s="23" t="s">
        <v>102</v>
      </c>
      <c r="AJ982" s="23" t="s">
        <v>102</v>
      </c>
      <c r="AK982" s="23" t="s">
        <v>102</v>
      </c>
      <c r="AL982" s="23" t="s">
        <v>102</v>
      </c>
      <c r="AM982" s="24"/>
      <c r="AN982" s="108" t="s">
        <v>101</v>
      </c>
      <c r="AO982" s="108" t="s">
        <v>103</v>
      </c>
      <c r="AP982" s="109">
        <v>18</v>
      </c>
      <c r="AQ982" s="110" t="s">
        <v>100</v>
      </c>
      <c r="AR982" s="105">
        <v>18</v>
      </c>
    </row>
    <row r="983" spans="1:44" ht="16.5">
      <c r="A983" s="105">
        <v>26</v>
      </c>
      <c r="B983" s="21" t="s">
        <v>101</v>
      </c>
      <c r="C983" s="21">
        <v>88.21</v>
      </c>
      <c r="D983" s="111">
        <v>5.13</v>
      </c>
      <c r="E983" s="21">
        <v>2.87</v>
      </c>
      <c r="F983" s="21">
        <v>0</v>
      </c>
      <c r="G983" s="111">
        <v>3.03</v>
      </c>
      <c r="H983" s="21">
        <v>0</v>
      </c>
      <c r="I983" s="21">
        <v>0</v>
      </c>
      <c r="J983" s="111">
        <v>0.76</v>
      </c>
      <c r="K983" s="111">
        <v>0</v>
      </c>
      <c r="L983" s="21">
        <v>0</v>
      </c>
      <c r="M983" s="74" t="str">
        <f t="array" ref="M983">_xlfn.TEXTJOIN("-", TRUE, IF(C983:L983&gt;0, $C$2:$L$2, ""))</f>
        <v xml:space="preserve"> Ti-Al-Zr-V-Cr</v>
      </c>
      <c r="N983" s="90">
        <f t="shared" si="30"/>
        <v>982</v>
      </c>
      <c r="O983" s="91">
        <f t="shared" si="31"/>
        <v>5</v>
      </c>
      <c r="P983" s="21">
        <v>1</v>
      </c>
      <c r="Q983" s="21">
        <v>1</v>
      </c>
      <c r="R983" s="108">
        <v>950</v>
      </c>
      <c r="S983" s="21" t="s">
        <v>113</v>
      </c>
      <c r="T983" s="22">
        <v>700</v>
      </c>
      <c r="U983" s="22">
        <v>1</v>
      </c>
      <c r="V983" s="106">
        <v>2</v>
      </c>
      <c r="W983" s="22">
        <v>0</v>
      </c>
      <c r="X983" s="22">
        <v>0</v>
      </c>
      <c r="Y983" s="107">
        <v>0</v>
      </c>
      <c r="Z983" s="23" t="s">
        <v>102</v>
      </c>
      <c r="AA983" s="23" t="s">
        <v>102</v>
      </c>
      <c r="AB983" s="21">
        <v>973.76400000000001</v>
      </c>
      <c r="AC983" s="21">
        <v>942.07500000000005</v>
      </c>
      <c r="AD983" s="21">
        <v>14.257300000000001</v>
      </c>
      <c r="AE983" s="23" t="s">
        <v>101</v>
      </c>
      <c r="AF983" s="23" t="s">
        <v>102</v>
      </c>
      <c r="AG983" s="23" t="s">
        <v>102</v>
      </c>
      <c r="AH983" s="23" t="s">
        <v>102</v>
      </c>
      <c r="AI983" s="23" t="s">
        <v>102</v>
      </c>
      <c r="AJ983" s="23" t="s">
        <v>102</v>
      </c>
      <c r="AK983" s="23" t="s">
        <v>102</v>
      </c>
      <c r="AL983" s="23" t="s">
        <v>102</v>
      </c>
      <c r="AM983" s="24"/>
      <c r="AN983" s="108" t="s">
        <v>101</v>
      </c>
      <c r="AO983" s="108" t="s">
        <v>103</v>
      </c>
      <c r="AP983" s="109">
        <v>26</v>
      </c>
      <c r="AQ983" s="110" t="s">
        <v>100</v>
      </c>
      <c r="AR983" s="105">
        <v>26</v>
      </c>
    </row>
    <row r="984" spans="1:44" ht="16.5">
      <c r="A984" s="111">
        <v>29</v>
      </c>
      <c r="B984" s="93" t="s">
        <v>101</v>
      </c>
      <c r="C984" s="111">
        <v>88.21</v>
      </c>
      <c r="D984" s="111">
        <v>5.13</v>
      </c>
      <c r="E984" s="111">
        <v>2.87</v>
      </c>
      <c r="F984" s="111">
        <v>0</v>
      </c>
      <c r="G984" s="111">
        <v>3.03</v>
      </c>
      <c r="H984" s="111">
        <v>0</v>
      </c>
      <c r="I984" s="111">
        <v>0</v>
      </c>
      <c r="J984" s="111">
        <v>0.76</v>
      </c>
      <c r="K984" s="111">
        <v>0</v>
      </c>
      <c r="L984" s="111">
        <v>0</v>
      </c>
      <c r="M984" s="74" t="str">
        <f t="array" ref="M984">_xlfn.TEXTJOIN("-", TRUE, IF(C984:L984&gt;0, $C$2:$L$2, ""))</f>
        <v xml:space="preserve"> Ti-Al-Zr-V-Cr</v>
      </c>
      <c r="N984" s="90">
        <f t="shared" si="30"/>
        <v>982</v>
      </c>
      <c r="O984" s="91">
        <f t="shared" si="31"/>
        <v>5</v>
      </c>
      <c r="P984" s="93">
        <v>1</v>
      </c>
      <c r="Q984" s="93">
        <v>1</v>
      </c>
      <c r="R984" s="12">
        <v>890</v>
      </c>
      <c r="S984" s="93" t="s">
        <v>113</v>
      </c>
      <c r="T984" s="94">
        <v>700</v>
      </c>
      <c r="U984" s="94">
        <v>1</v>
      </c>
      <c r="V984" s="8">
        <v>2</v>
      </c>
      <c r="W984" s="94">
        <v>0</v>
      </c>
      <c r="X984" s="94">
        <v>0</v>
      </c>
      <c r="Y984" s="103">
        <v>0</v>
      </c>
      <c r="Z984" s="18" t="s">
        <v>102</v>
      </c>
      <c r="AA984" s="9" t="s">
        <v>102</v>
      </c>
      <c r="AB984" s="93">
        <v>961.47699999999998</v>
      </c>
      <c r="AC984" s="93">
        <v>893.92100000000005</v>
      </c>
      <c r="AD984" s="93">
        <v>15.7849</v>
      </c>
      <c r="AE984" s="9" t="s">
        <v>101</v>
      </c>
      <c r="AF984" s="9" t="s">
        <v>102</v>
      </c>
      <c r="AG984" s="9" t="s">
        <v>102</v>
      </c>
      <c r="AH984" s="9" t="s">
        <v>102</v>
      </c>
      <c r="AI984" s="9" t="s">
        <v>102</v>
      </c>
      <c r="AJ984" s="9" t="s">
        <v>102</v>
      </c>
      <c r="AK984" s="9" t="s">
        <v>102</v>
      </c>
      <c r="AL984" s="9" t="s">
        <v>102</v>
      </c>
      <c r="AN984" s="12" t="s">
        <v>101</v>
      </c>
      <c r="AO984" s="12" t="s">
        <v>103</v>
      </c>
      <c r="AP984" s="94">
        <v>29</v>
      </c>
      <c r="AQ984" s="157" t="s">
        <v>100</v>
      </c>
      <c r="AR984" s="93">
        <v>29</v>
      </c>
    </row>
    <row r="985" spans="1:44" ht="16.5">
      <c r="A985" s="111">
        <v>32</v>
      </c>
      <c r="B985" s="93" t="s">
        <v>101</v>
      </c>
      <c r="C985" s="111">
        <v>88.21</v>
      </c>
      <c r="D985" s="111">
        <v>5.13</v>
      </c>
      <c r="E985" s="111">
        <v>2.87</v>
      </c>
      <c r="F985" s="111">
        <v>0</v>
      </c>
      <c r="G985" s="111">
        <v>3.03</v>
      </c>
      <c r="H985" s="111">
        <v>0</v>
      </c>
      <c r="I985" s="111">
        <v>0</v>
      </c>
      <c r="J985" s="111">
        <v>0.76</v>
      </c>
      <c r="K985" s="111">
        <v>0</v>
      </c>
      <c r="L985" s="111">
        <v>0</v>
      </c>
      <c r="M985" s="74" t="str">
        <f t="array" ref="M985">_xlfn.TEXTJOIN("-", TRUE, IF(C985:L985&gt;0, $C$2:$L$2, ""))</f>
        <v xml:space="preserve"> Ti-Al-Zr-V-Cr</v>
      </c>
      <c r="N985" s="90">
        <f t="shared" si="30"/>
        <v>982</v>
      </c>
      <c r="O985" s="91">
        <f t="shared" si="31"/>
        <v>5</v>
      </c>
      <c r="P985" s="93">
        <v>1</v>
      </c>
      <c r="Q985" s="93">
        <v>1</v>
      </c>
      <c r="R985" s="12">
        <v>840</v>
      </c>
      <c r="S985" s="93" t="s">
        <v>113</v>
      </c>
      <c r="T985" s="94">
        <v>700</v>
      </c>
      <c r="U985" s="94">
        <v>1</v>
      </c>
      <c r="V985" s="8">
        <v>2</v>
      </c>
      <c r="W985" s="94">
        <v>0</v>
      </c>
      <c r="X985" s="94">
        <v>0</v>
      </c>
      <c r="Y985" s="103">
        <v>0</v>
      </c>
      <c r="Z985" s="18" t="s">
        <v>102</v>
      </c>
      <c r="AA985" s="9" t="s">
        <v>102</v>
      </c>
      <c r="AB985" s="93">
        <v>1023.63</v>
      </c>
      <c r="AC985" s="93">
        <v>1007.72</v>
      </c>
      <c r="AD985" s="93">
        <v>13.2879</v>
      </c>
      <c r="AE985" s="9" t="s">
        <v>101</v>
      </c>
      <c r="AF985" s="9" t="s">
        <v>102</v>
      </c>
      <c r="AG985" s="9" t="s">
        <v>102</v>
      </c>
      <c r="AH985" s="9" t="s">
        <v>102</v>
      </c>
      <c r="AI985" s="9" t="s">
        <v>102</v>
      </c>
      <c r="AJ985" s="9" t="s">
        <v>102</v>
      </c>
      <c r="AK985" s="9" t="s">
        <v>102</v>
      </c>
      <c r="AL985" s="9" t="s">
        <v>102</v>
      </c>
      <c r="AN985" s="12" t="s">
        <v>101</v>
      </c>
      <c r="AO985" s="12" t="s">
        <v>103</v>
      </c>
      <c r="AP985" s="94">
        <v>32</v>
      </c>
      <c r="AQ985" s="157" t="s">
        <v>100</v>
      </c>
      <c r="AR985" s="93">
        <v>32</v>
      </c>
    </row>
    <row r="986" spans="1:44" ht="16.5">
      <c r="A986" s="111">
        <v>19</v>
      </c>
      <c r="B986" s="93" t="s">
        <v>101</v>
      </c>
      <c r="C986" s="111">
        <v>88.21</v>
      </c>
      <c r="D986" s="111">
        <v>5.13</v>
      </c>
      <c r="E986" s="111">
        <v>2.87</v>
      </c>
      <c r="F986" s="111">
        <v>0</v>
      </c>
      <c r="G986" s="111">
        <v>3.03</v>
      </c>
      <c r="H986" s="111">
        <v>0</v>
      </c>
      <c r="I986" s="111">
        <v>0</v>
      </c>
      <c r="J986" s="111">
        <v>0.76</v>
      </c>
      <c r="K986" s="111">
        <v>0</v>
      </c>
      <c r="L986" s="111">
        <v>0</v>
      </c>
      <c r="M986" s="74" t="str">
        <f t="array" ref="M986">_xlfn.TEXTJOIN("-", TRUE, IF(C986:L986&gt;0, $C$2:$L$2, ""))</f>
        <v xml:space="preserve"> Ti-Al-Zr-V-Cr</v>
      </c>
      <c r="N986" s="90">
        <f t="shared" si="30"/>
        <v>982</v>
      </c>
      <c r="O986" s="91">
        <f t="shared" si="31"/>
        <v>5</v>
      </c>
      <c r="P986" s="93">
        <v>1</v>
      </c>
      <c r="Q986" s="93">
        <v>1</v>
      </c>
      <c r="R986" s="12">
        <v>0</v>
      </c>
      <c r="S986" s="93" t="s">
        <v>113</v>
      </c>
      <c r="T986" s="94">
        <v>800</v>
      </c>
      <c r="U986" s="94">
        <v>1</v>
      </c>
      <c r="V986" s="8">
        <v>2</v>
      </c>
      <c r="W986" s="94">
        <v>0</v>
      </c>
      <c r="X986" s="94">
        <v>0</v>
      </c>
      <c r="Y986" s="103">
        <v>0</v>
      </c>
      <c r="Z986" s="18" t="s">
        <v>102</v>
      </c>
      <c r="AA986" s="9" t="s">
        <v>102</v>
      </c>
      <c r="AB986" s="93">
        <v>862.92100000000005</v>
      </c>
      <c r="AC986" s="93">
        <v>820.22500000000002</v>
      </c>
      <c r="AD986" s="93">
        <v>19.103100000000001</v>
      </c>
      <c r="AE986" s="9" t="s">
        <v>101</v>
      </c>
      <c r="AF986" s="9" t="s">
        <v>102</v>
      </c>
      <c r="AG986" s="9" t="s">
        <v>102</v>
      </c>
      <c r="AH986" s="9" t="s">
        <v>102</v>
      </c>
      <c r="AI986" s="9" t="s">
        <v>102</v>
      </c>
      <c r="AJ986" s="9" t="s">
        <v>102</v>
      </c>
      <c r="AK986" s="9" t="s">
        <v>102</v>
      </c>
      <c r="AL986" s="9" t="s">
        <v>102</v>
      </c>
      <c r="AN986" s="12" t="s">
        <v>101</v>
      </c>
      <c r="AO986" s="12" t="s">
        <v>103</v>
      </c>
      <c r="AP986" s="94">
        <v>19</v>
      </c>
      <c r="AQ986" s="157" t="s">
        <v>100</v>
      </c>
      <c r="AR986" s="93">
        <v>19</v>
      </c>
    </row>
    <row r="987" spans="1:44" ht="16.5">
      <c r="A987" s="111">
        <v>27</v>
      </c>
      <c r="B987" s="93" t="s">
        <v>101</v>
      </c>
      <c r="C987" s="111">
        <v>88.21</v>
      </c>
      <c r="D987" s="111">
        <v>5.13</v>
      </c>
      <c r="E987" s="111">
        <v>2.87</v>
      </c>
      <c r="F987" s="111">
        <v>0</v>
      </c>
      <c r="G987" s="111">
        <v>3.03</v>
      </c>
      <c r="H987" s="111">
        <v>0</v>
      </c>
      <c r="I987" s="111">
        <v>0</v>
      </c>
      <c r="J987" s="111">
        <v>0.76</v>
      </c>
      <c r="K987" s="111">
        <v>0</v>
      </c>
      <c r="L987" s="111">
        <v>0</v>
      </c>
      <c r="M987" s="74" t="str">
        <f t="array" ref="M987">_xlfn.TEXTJOIN("-", TRUE, IF(C987:L987&gt;0, $C$2:$L$2, ""))</f>
        <v xml:space="preserve"> Ti-Al-Zr-V-Cr</v>
      </c>
      <c r="N987" s="90">
        <f t="shared" si="30"/>
        <v>982</v>
      </c>
      <c r="O987" s="91">
        <f t="shared" si="31"/>
        <v>5</v>
      </c>
      <c r="P987" s="93">
        <v>1</v>
      </c>
      <c r="Q987" s="93">
        <v>1</v>
      </c>
      <c r="R987" s="12">
        <v>950</v>
      </c>
      <c r="S987" s="93" t="s">
        <v>113</v>
      </c>
      <c r="T987" s="94">
        <v>800</v>
      </c>
      <c r="U987" s="94">
        <v>1</v>
      </c>
      <c r="V987" s="8">
        <v>2</v>
      </c>
      <c r="W987" s="94">
        <v>0</v>
      </c>
      <c r="X987" s="94">
        <v>0</v>
      </c>
      <c r="Y987" s="103">
        <v>0</v>
      </c>
      <c r="Z987" s="18" t="s">
        <v>102</v>
      </c>
      <c r="AA987" s="9" t="s">
        <v>102</v>
      </c>
      <c r="AB987" s="93">
        <v>945.31299999999999</v>
      </c>
      <c r="AC987" s="93">
        <v>892.16399999999999</v>
      </c>
      <c r="AD987" s="93">
        <v>17.601400000000002</v>
      </c>
      <c r="AE987" s="9" t="s">
        <v>101</v>
      </c>
      <c r="AF987" s="9" t="s">
        <v>102</v>
      </c>
      <c r="AG987" s="9" t="s">
        <v>102</v>
      </c>
      <c r="AH987" s="9" t="s">
        <v>102</v>
      </c>
      <c r="AI987" s="9" t="s">
        <v>102</v>
      </c>
      <c r="AJ987" s="9" t="s">
        <v>102</v>
      </c>
      <c r="AK987" s="9" t="s">
        <v>102</v>
      </c>
      <c r="AL987" s="9" t="s">
        <v>102</v>
      </c>
      <c r="AN987" s="12" t="s">
        <v>101</v>
      </c>
      <c r="AO987" s="12" t="s">
        <v>103</v>
      </c>
      <c r="AP987" s="94">
        <v>27</v>
      </c>
      <c r="AQ987" s="157" t="s">
        <v>100</v>
      </c>
      <c r="AR987" s="93">
        <v>27</v>
      </c>
    </row>
    <row r="988" spans="1:44" ht="16.5">
      <c r="A988" s="111">
        <v>30</v>
      </c>
      <c r="B988" s="93" t="s">
        <v>101</v>
      </c>
      <c r="C988" s="111">
        <v>88.21</v>
      </c>
      <c r="D988" s="111">
        <v>5.13</v>
      </c>
      <c r="E988" s="111">
        <v>2.87</v>
      </c>
      <c r="F988" s="111">
        <v>0</v>
      </c>
      <c r="G988" s="111">
        <v>3.03</v>
      </c>
      <c r="H988" s="111">
        <v>0</v>
      </c>
      <c r="I988" s="111">
        <v>0</v>
      </c>
      <c r="J988" s="111">
        <v>0.76</v>
      </c>
      <c r="K988" s="111">
        <v>0</v>
      </c>
      <c r="L988" s="111">
        <v>0</v>
      </c>
      <c r="M988" s="74" t="str">
        <f t="array" ref="M988">_xlfn.TEXTJOIN("-", TRUE, IF(C988:L988&gt;0, $C$2:$L$2, ""))</f>
        <v xml:space="preserve"> Ti-Al-Zr-V-Cr</v>
      </c>
      <c r="N988" s="90">
        <f t="shared" si="30"/>
        <v>982</v>
      </c>
      <c r="O988" s="91">
        <f t="shared" si="31"/>
        <v>5</v>
      </c>
      <c r="P988" s="93">
        <v>1</v>
      </c>
      <c r="Q988" s="93">
        <v>1</v>
      </c>
      <c r="R988" s="12">
        <v>890</v>
      </c>
      <c r="S988" s="93" t="s">
        <v>113</v>
      </c>
      <c r="T988" s="94">
        <v>800</v>
      </c>
      <c r="U988" s="94">
        <v>1</v>
      </c>
      <c r="V988" s="8">
        <v>2</v>
      </c>
      <c r="W988" s="94">
        <v>0</v>
      </c>
      <c r="X988" s="94">
        <v>0</v>
      </c>
      <c r="Y988" s="103">
        <v>0</v>
      </c>
      <c r="Z988" s="18" t="s">
        <v>102</v>
      </c>
      <c r="AA988" s="9" t="s">
        <v>102</v>
      </c>
      <c r="AB988" s="93">
        <v>880.61400000000003</v>
      </c>
      <c r="AC988" s="93">
        <v>771.59400000000005</v>
      </c>
      <c r="AD988" s="93">
        <v>18.973199999999999</v>
      </c>
      <c r="AE988" s="9" t="s">
        <v>101</v>
      </c>
      <c r="AF988" s="9" t="s">
        <v>102</v>
      </c>
      <c r="AG988" s="9" t="s">
        <v>102</v>
      </c>
      <c r="AH988" s="9" t="s">
        <v>102</v>
      </c>
      <c r="AI988" s="9" t="s">
        <v>102</v>
      </c>
      <c r="AJ988" s="9" t="s">
        <v>102</v>
      </c>
      <c r="AK988" s="9" t="s">
        <v>102</v>
      </c>
      <c r="AL988" s="9" t="s">
        <v>102</v>
      </c>
      <c r="AN988" s="12" t="s">
        <v>101</v>
      </c>
      <c r="AO988" s="12" t="s">
        <v>103</v>
      </c>
      <c r="AP988" s="94">
        <v>30</v>
      </c>
      <c r="AQ988" s="157" t="s">
        <v>100</v>
      </c>
      <c r="AR988" s="93">
        <v>30</v>
      </c>
    </row>
    <row r="989" spans="1:44" ht="16.5">
      <c r="A989" s="111">
        <v>33</v>
      </c>
      <c r="B989" s="93" t="s">
        <v>101</v>
      </c>
      <c r="C989" s="111">
        <v>88.21</v>
      </c>
      <c r="D989" s="111">
        <v>5.13</v>
      </c>
      <c r="E989" s="111">
        <v>2.87</v>
      </c>
      <c r="F989" s="111">
        <v>0</v>
      </c>
      <c r="G989" s="111">
        <v>3.03</v>
      </c>
      <c r="H989" s="111">
        <v>0</v>
      </c>
      <c r="I989" s="111">
        <v>0</v>
      </c>
      <c r="J989" s="111">
        <v>0.76</v>
      </c>
      <c r="K989" s="111">
        <v>0</v>
      </c>
      <c r="L989" s="111">
        <v>0</v>
      </c>
      <c r="M989" s="74" t="str">
        <f t="array" ref="M989">_xlfn.TEXTJOIN("-", TRUE, IF(C989:L989&gt;0, $C$2:$L$2, ""))</f>
        <v xml:space="preserve"> Ti-Al-Zr-V-Cr</v>
      </c>
      <c r="N989" s="90">
        <f t="shared" si="30"/>
        <v>982</v>
      </c>
      <c r="O989" s="91">
        <f t="shared" si="31"/>
        <v>5</v>
      </c>
      <c r="P989" s="93">
        <v>1</v>
      </c>
      <c r="Q989" s="93">
        <v>1</v>
      </c>
      <c r="R989" s="12">
        <v>840</v>
      </c>
      <c r="S989" s="93" t="s">
        <v>113</v>
      </c>
      <c r="T989" s="94">
        <v>800</v>
      </c>
      <c r="U989" s="94">
        <v>1</v>
      </c>
      <c r="V989" s="8">
        <v>2</v>
      </c>
      <c r="W989" s="94">
        <v>0</v>
      </c>
      <c r="X989" s="94">
        <v>0</v>
      </c>
      <c r="Y989" s="103">
        <v>0</v>
      </c>
      <c r="Z989" s="18" t="s">
        <v>102</v>
      </c>
      <c r="AA989" s="9" t="s">
        <v>102</v>
      </c>
      <c r="AB989" s="93">
        <v>964.53</v>
      </c>
      <c r="AC989" s="93">
        <v>949.90099999999995</v>
      </c>
      <c r="AD989" s="93">
        <v>14.9915</v>
      </c>
      <c r="AE989" s="9" t="s">
        <v>101</v>
      </c>
      <c r="AF989" s="9" t="s">
        <v>102</v>
      </c>
      <c r="AG989" s="9" t="s">
        <v>102</v>
      </c>
      <c r="AH989" s="9" t="s">
        <v>102</v>
      </c>
      <c r="AI989" s="9" t="s">
        <v>102</v>
      </c>
      <c r="AJ989" s="9" t="s">
        <v>102</v>
      </c>
      <c r="AK989" s="9" t="s">
        <v>102</v>
      </c>
      <c r="AL989" s="9" t="s">
        <v>102</v>
      </c>
      <c r="AN989" s="12" t="s">
        <v>101</v>
      </c>
      <c r="AO989" s="12" t="s">
        <v>103</v>
      </c>
      <c r="AP989" s="94">
        <v>33</v>
      </c>
      <c r="AQ989" s="157" t="s">
        <v>100</v>
      </c>
      <c r="AR989" s="93">
        <v>33</v>
      </c>
    </row>
    <row r="990" spans="1:44" ht="16.5">
      <c r="A990" s="111">
        <v>20</v>
      </c>
      <c r="B990" s="93" t="s">
        <v>101</v>
      </c>
      <c r="C990" s="111">
        <v>88.21</v>
      </c>
      <c r="D990" s="111">
        <v>5.13</v>
      </c>
      <c r="E990" s="111">
        <v>2.87</v>
      </c>
      <c r="F990" s="111">
        <v>0</v>
      </c>
      <c r="G990" s="111">
        <v>3.03</v>
      </c>
      <c r="H990" s="111">
        <v>0</v>
      </c>
      <c r="I990" s="111">
        <v>0</v>
      </c>
      <c r="J990" s="111">
        <v>0.76</v>
      </c>
      <c r="K990" s="111">
        <v>0</v>
      </c>
      <c r="L990" s="111">
        <v>0</v>
      </c>
      <c r="M990" s="74" t="str">
        <f t="array" ref="M990">_xlfn.TEXTJOIN("-", TRUE, IF(C990:L990&gt;0, $C$2:$L$2, ""))</f>
        <v xml:space="preserve"> Ti-Al-Zr-V-Cr</v>
      </c>
      <c r="N990" s="90">
        <f t="shared" si="30"/>
        <v>982</v>
      </c>
      <c r="O990" s="91">
        <f t="shared" si="31"/>
        <v>5</v>
      </c>
      <c r="P990" s="93">
        <v>1</v>
      </c>
      <c r="Q990" s="93">
        <v>1</v>
      </c>
      <c r="R990" s="12">
        <v>0</v>
      </c>
      <c r="S990" s="93" t="s">
        <v>113</v>
      </c>
      <c r="T990" s="94">
        <v>900</v>
      </c>
      <c r="U990" s="94">
        <v>1</v>
      </c>
      <c r="V990" s="8">
        <v>2</v>
      </c>
      <c r="W990" s="94">
        <v>0</v>
      </c>
      <c r="X990" s="94">
        <v>0</v>
      </c>
      <c r="Y990" s="103">
        <v>0</v>
      </c>
      <c r="Z990" s="18" t="s">
        <v>102</v>
      </c>
      <c r="AA990" s="9" t="s">
        <v>102</v>
      </c>
      <c r="AB990" s="93">
        <v>856.18</v>
      </c>
      <c r="AC990" s="93">
        <v>786.51700000000005</v>
      </c>
      <c r="AD990" s="93">
        <v>19.372199999999999</v>
      </c>
      <c r="AE990" s="9" t="s">
        <v>101</v>
      </c>
      <c r="AF990" s="9" t="s">
        <v>102</v>
      </c>
      <c r="AG990" s="9" t="s">
        <v>102</v>
      </c>
      <c r="AH990" s="9" t="s">
        <v>102</v>
      </c>
      <c r="AI990" s="9" t="s">
        <v>102</v>
      </c>
      <c r="AJ990" s="9" t="s">
        <v>102</v>
      </c>
      <c r="AK990" s="9" t="s">
        <v>102</v>
      </c>
      <c r="AL990" s="9" t="s">
        <v>102</v>
      </c>
      <c r="AN990" s="12" t="s">
        <v>101</v>
      </c>
      <c r="AO990" s="12" t="s">
        <v>103</v>
      </c>
      <c r="AP990" s="94">
        <v>20</v>
      </c>
      <c r="AQ990" s="157" t="s">
        <v>100</v>
      </c>
      <c r="AR990" s="93">
        <v>20</v>
      </c>
    </row>
    <row r="991" spans="1:44" ht="16.5">
      <c r="A991" s="111">
        <v>28</v>
      </c>
      <c r="B991" s="93" t="s">
        <v>101</v>
      </c>
      <c r="C991" s="111">
        <v>88.21</v>
      </c>
      <c r="D991" s="111">
        <v>5.13</v>
      </c>
      <c r="E991" s="111">
        <v>2.87</v>
      </c>
      <c r="F991" s="111">
        <v>0</v>
      </c>
      <c r="G991" s="111">
        <v>3.03</v>
      </c>
      <c r="H991" s="111">
        <v>0</v>
      </c>
      <c r="I991" s="111">
        <v>0</v>
      </c>
      <c r="J991" s="111">
        <v>0.76</v>
      </c>
      <c r="K991" s="111">
        <v>0</v>
      </c>
      <c r="L991" s="111">
        <v>0</v>
      </c>
      <c r="M991" s="74" t="str">
        <f t="array" ref="M991">_xlfn.TEXTJOIN("-", TRUE, IF(C991:L991&gt;0, $C$2:$L$2, ""))</f>
        <v xml:space="preserve"> Ti-Al-Zr-V-Cr</v>
      </c>
      <c r="N991" s="90">
        <f t="shared" si="30"/>
        <v>982</v>
      </c>
      <c r="O991" s="91">
        <f t="shared" si="31"/>
        <v>5</v>
      </c>
      <c r="P991" s="93">
        <v>1</v>
      </c>
      <c r="Q991" s="93">
        <v>1</v>
      </c>
      <c r="R991" s="12">
        <v>950</v>
      </c>
      <c r="S991" s="93" t="s">
        <v>113</v>
      </c>
      <c r="T991" s="94">
        <v>900</v>
      </c>
      <c r="U991" s="94">
        <v>1</v>
      </c>
      <c r="V991" s="8">
        <v>2</v>
      </c>
      <c r="W991" s="94">
        <v>0</v>
      </c>
      <c r="X991" s="94">
        <v>0</v>
      </c>
      <c r="Y991" s="103">
        <v>0</v>
      </c>
      <c r="Z991" s="18" t="s">
        <v>102</v>
      </c>
      <c r="AA991" s="9" t="s">
        <v>102</v>
      </c>
      <c r="AB991" s="93">
        <v>934.75099999999998</v>
      </c>
      <c r="AC991" s="93">
        <v>864.73</v>
      </c>
      <c r="AD991" s="93">
        <v>17.8843</v>
      </c>
      <c r="AE991" s="9" t="s">
        <v>101</v>
      </c>
      <c r="AF991" s="9" t="s">
        <v>102</v>
      </c>
      <c r="AG991" s="9" t="s">
        <v>102</v>
      </c>
      <c r="AH991" s="9" t="s">
        <v>102</v>
      </c>
      <c r="AI991" s="9" t="s">
        <v>102</v>
      </c>
      <c r="AJ991" s="9" t="s">
        <v>102</v>
      </c>
      <c r="AK991" s="9" t="s">
        <v>102</v>
      </c>
      <c r="AL991" s="9" t="s">
        <v>102</v>
      </c>
      <c r="AN991" s="12" t="s">
        <v>101</v>
      </c>
      <c r="AO991" s="12" t="s">
        <v>103</v>
      </c>
      <c r="AP991" s="94">
        <v>28</v>
      </c>
      <c r="AQ991" s="157" t="s">
        <v>100</v>
      </c>
      <c r="AR991" s="93">
        <v>28</v>
      </c>
    </row>
    <row r="992" spans="1:44" ht="16.5">
      <c r="A992" s="111">
        <v>31</v>
      </c>
      <c r="B992" s="93" t="s">
        <v>101</v>
      </c>
      <c r="C992" s="111">
        <v>88.21</v>
      </c>
      <c r="D992" s="111">
        <v>5.13</v>
      </c>
      <c r="E992" s="111">
        <v>2.87</v>
      </c>
      <c r="F992" s="111">
        <v>0</v>
      </c>
      <c r="G992" s="111">
        <v>3.03</v>
      </c>
      <c r="H992" s="111">
        <v>0</v>
      </c>
      <c r="I992" s="111">
        <v>0</v>
      </c>
      <c r="J992" s="111">
        <v>0.76</v>
      </c>
      <c r="K992" s="111">
        <v>0</v>
      </c>
      <c r="L992" s="111">
        <v>0</v>
      </c>
      <c r="M992" s="74" t="str">
        <f t="array" ref="M992">_xlfn.TEXTJOIN("-", TRUE, IF(C992:L992&gt;0, $C$2:$L$2, ""))</f>
        <v xml:space="preserve"> Ti-Al-Zr-V-Cr</v>
      </c>
      <c r="N992" s="90">
        <f t="shared" si="30"/>
        <v>982</v>
      </c>
      <c r="O992" s="91">
        <f t="shared" si="31"/>
        <v>5</v>
      </c>
      <c r="P992" s="93">
        <v>1</v>
      </c>
      <c r="Q992" s="93">
        <v>1</v>
      </c>
      <c r="R992" s="12">
        <v>890</v>
      </c>
      <c r="S992" s="93" t="s">
        <v>113</v>
      </c>
      <c r="T992" s="94">
        <v>900</v>
      </c>
      <c r="U992" s="94">
        <v>1</v>
      </c>
      <c r="V992" s="8">
        <v>2</v>
      </c>
      <c r="W992" s="94">
        <v>0</v>
      </c>
      <c r="X992" s="94">
        <v>0</v>
      </c>
      <c r="Y992" s="103">
        <v>0</v>
      </c>
      <c r="Z992" s="18" t="s">
        <v>102</v>
      </c>
      <c r="AA992" s="9" t="s">
        <v>102</v>
      </c>
      <c r="AB992" s="93">
        <v>870.37199999999996</v>
      </c>
      <c r="AC992" s="93">
        <v>746.005</v>
      </c>
      <c r="AD992" s="93">
        <v>17.207699999999999</v>
      </c>
      <c r="AE992" s="9" t="s">
        <v>101</v>
      </c>
      <c r="AF992" s="9" t="s">
        <v>102</v>
      </c>
      <c r="AG992" s="9" t="s">
        <v>102</v>
      </c>
      <c r="AH992" s="9" t="s">
        <v>102</v>
      </c>
      <c r="AI992" s="9" t="s">
        <v>102</v>
      </c>
      <c r="AJ992" s="9" t="s">
        <v>102</v>
      </c>
      <c r="AK992" s="9" t="s">
        <v>102</v>
      </c>
      <c r="AL992" s="9" t="s">
        <v>102</v>
      </c>
      <c r="AN992" s="12" t="s">
        <v>101</v>
      </c>
      <c r="AO992" s="12" t="s">
        <v>103</v>
      </c>
      <c r="AP992" s="94">
        <v>31</v>
      </c>
      <c r="AQ992" s="157" t="s">
        <v>100</v>
      </c>
      <c r="AR992" s="93">
        <v>31</v>
      </c>
    </row>
    <row r="993" spans="1:45" ht="16.5">
      <c r="A993" s="111">
        <v>34</v>
      </c>
      <c r="B993" s="93" t="s">
        <v>101</v>
      </c>
      <c r="C993" s="111">
        <v>88.21</v>
      </c>
      <c r="D993" s="111">
        <v>5.13</v>
      </c>
      <c r="E993" s="111">
        <v>2.87</v>
      </c>
      <c r="F993" s="111">
        <v>0</v>
      </c>
      <c r="G993" s="111">
        <v>3.03</v>
      </c>
      <c r="H993" s="111">
        <v>0</v>
      </c>
      <c r="I993" s="111">
        <v>0</v>
      </c>
      <c r="J993" s="111">
        <v>0.76</v>
      </c>
      <c r="K993" s="111">
        <v>0</v>
      </c>
      <c r="L993" s="111">
        <v>0</v>
      </c>
      <c r="M993" s="74" t="str">
        <f t="array" ref="M993">_xlfn.TEXTJOIN("-", TRUE, IF(C993:L993&gt;0, $C$2:$L$2, ""))</f>
        <v xml:space="preserve"> Ti-Al-Zr-V-Cr</v>
      </c>
      <c r="N993" s="90">
        <f t="shared" si="30"/>
        <v>982</v>
      </c>
      <c r="O993" s="91">
        <f t="shared" si="31"/>
        <v>5</v>
      </c>
      <c r="P993" s="93">
        <v>1</v>
      </c>
      <c r="Q993" s="93">
        <v>1</v>
      </c>
      <c r="R993" s="12">
        <v>840</v>
      </c>
      <c r="S993" s="93" t="s">
        <v>113</v>
      </c>
      <c r="T993" s="94">
        <v>900</v>
      </c>
      <c r="U993" s="94">
        <v>1</v>
      </c>
      <c r="V993" s="8">
        <v>2</v>
      </c>
      <c r="W993" s="94">
        <v>0</v>
      </c>
      <c r="X993" s="94">
        <v>0</v>
      </c>
      <c r="Y993" s="103">
        <v>0</v>
      </c>
      <c r="Z993" s="18" t="s">
        <v>102</v>
      </c>
      <c r="AA993" s="9" t="s">
        <v>102</v>
      </c>
      <c r="AB993" s="93">
        <v>969.71199999999999</v>
      </c>
      <c r="AC993" s="93">
        <v>935.35400000000004</v>
      </c>
      <c r="AD993" s="93">
        <v>15.3322</v>
      </c>
      <c r="AE993" s="9" t="s">
        <v>101</v>
      </c>
      <c r="AF993" s="9" t="s">
        <v>102</v>
      </c>
      <c r="AG993" s="9" t="s">
        <v>102</v>
      </c>
      <c r="AH993" s="9" t="s">
        <v>102</v>
      </c>
      <c r="AI993" s="9" t="s">
        <v>102</v>
      </c>
      <c r="AJ993" s="9" t="s">
        <v>102</v>
      </c>
      <c r="AK993" s="9" t="s">
        <v>102</v>
      </c>
      <c r="AL993" s="9" t="s">
        <v>102</v>
      </c>
      <c r="AN993" s="12" t="s">
        <v>101</v>
      </c>
      <c r="AO993" s="12" t="s">
        <v>103</v>
      </c>
      <c r="AP993" s="94">
        <v>34</v>
      </c>
      <c r="AQ993" s="157" t="s">
        <v>100</v>
      </c>
      <c r="AR993" s="93">
        <v>34</v>
      </c>
    </row>
    <row r="994" spans="1:45" ht="16.5">
      <c r="A994" s="111">
        <v>21</v>
      </c>
      <c r="B994" s="93" t="s">
        <v>101</v>
      </c>
      <c r="C994" s="111">
        <v>88.21</v>
      </c>
      <c r="D994" s="111">
        <v>5.13</v>
      </c>
      <c r="E994" s="111">
        <v>2.87</v>
      </c>
      <c r="F994" s="111">
        <v>0</v>
      </c>
      <c r="G994" s="111">
        <v>3.03</v>
      </c>
      <c r="H994" s="111">
        <v>0</v>
      </c>
      <c r="I994" s="111">
        <v>0</v>
      </c>
      <c r="J994" s="111">
        <v>0.76</v>
      </c>
      <c r="K994" s="111">
        <v>0</v>
      </c>
      <c r="L994" s="111">
        <v>0</v>
      </c>
      <c r="M994" s="74" t="str">
        <f t="array" ref="M994">_xlfn.TEXTJOIN("-", TRUE, IF(C994:L994&gt;0, $C$2:$L$2, ""))</f>
        <v xml:space="preserve"> Ti-Al-Zr-V-Cr</v>
      </c>
      <c r="N994" s="90">
        <f t="shared" si="30"/>
        <v>982</v>
      </c>
      <c r="O994" s="91">
        <f t="shared" si="31"/>
        <v>5</v>
      </c>
      <c r="P994" s="93">
        <v>1</v>
      </c>
      <c r="Q994" s="93">
        <v>1</v>
      </c>
      <c r="R994" s="12">
        <v>0</v>
      </c>
      <c r="S994" s="93" t="s">
        <v>113</v>
      </c>
      <c r="T994" s="94">
        <v>950</v>
      </c>
      <c r="U994" s="94">
        <v>1</v>
      </c>
      <c r="V994" s="8">
        <v>2</v>
      </c>
      <c r="W994" s="94">
        <v>0</v>
      </c>
      <c r="X994" s="94">
        <v>0</v>
      </c>
      <c r="Y994" s="103">
        <v>0</v>
      </c>
      <c r="Z994" s="18" t="s">
        <v>102</v>
      </c>
      <c r="AA994" s="9" t="s">
        <v>102</v>
      </c>
      <c r="AB994" s="93">
        <v>874.15700000000004</v>
      </c>
      <c r="AC994" s="93">
        <v>730.33699999999999</v>
      </c>
      <c r="AD994" s="93">
        <v>15.605399999999999</v>
      </c>
      <c r="AE994" s="9" t="s">
        <v>101</v>
      </c>
      <c r="AF994" s="9" t="s">
        <v>102</v>
      </c>
      <c r="AG994" s="9" t="s">
        <v>102</v>
      </c>
      <c r="AH994" s="9" t="s">
        <v>102</v>
      </c>
      <c r="AI994" s="9" t="s">
        <v>102</v>
      </c>
      <c r="AJ994" s="9" t="s">
        <v>102</v>
      </c>
      <c r="AK994" s="9" t="s">
        <v>102</v>
      </c>
      <c r="AL994" s="9" t="s">
        <v>102</v>
      </c>
      <c r="AN994" s="12" t="s">
        <v>101</v>
      </c>
      <c r="AO994" s="12" t="s">
        <v>103</v>
      </c>
      <c r="AP994" s="94">
        <v>21</v>
      </c>
      <c r="AQ994" s="157" t="s">
        <v>100</v>
      </c>
      <c r="AR994" s="93">
        <v>21</v>
      </c>
    </row>
    <row r="995" spans="1:45" ht="16.5">
      <c r="A995" s="111">
        <v>35</v>
      </c>
      <c r="B995" s="93" t="s">
        <v>101</v>
      </c>
      <c r="C995" s="111">
        <v>88.21</v>
      </c>
      <c r="D995" s="111">
        <v>5.13</v>
      </c>
      <c r="E995" s="111">
        <v>2.87</v>
      </c>
      <c r="F995" s="111">
        <v>0</v>
      </c>
      <c r="G995" s="111">
        <v>3.03</v>
      </c>
      <c r="H995" s="111">
        <v>0</v>
      </c>
      <c r="I995" s="111">
        <v>0</v>
      </c>
      <c r="J995" s="111">
        <v>0.76</v>
      </c>
      <c r="K995" s="111">
        <v>0</v>
      </c>
      <c r="L995" s="111">
        <v>0</v>
      </c>
      <c r="M995" s="74" t="str">
        <f t="array" ref="M995">_xlfn.TEXTJOIN("-", TRUE, IF(C995:L995&gt;0, $C$2:$L$2, ""))</f>
        <v xml:space="preserve"> Ti-Al-Zr-V-Cr</v>
      </c>
      <c r="N995" s="90">
        <f t="shared" si="30"/>
        <v>982</v>
      </c>
      <c r="O995" s="91">
        <f t="shared" si="31"/>
        <v>5</v>
      </c>
      <c r="P995" s="93">
        <v>1</v>
      </c>
      <c r="Q995" s="93">
        <v>1</v>
      </c>
      <c r="R995" s="12">
        <v>840</v>
      </c>
      <c r="S995" s="93" t="s">
        <v>113</v>
      </c>
      <c r="T995" s="94">
        <v>950</v>
      </c>
      <c r="U995" s="94">
        <v>1</v>
      </c>
      <c r="V995" s="8">
        <v>2</v>
      </c>
      <c r="W995" s="94">
        <v>0</v>
      </c>
      <c r="X995" s="94">
        <v>0</v>
      </c>
      <c r="Y995" s="103">
        <v>0</v>
      </c>
      <c r="Z995" s="18" t="s">
        <v>102</v>
      </c>
      <c r="AA995" s="9" t="s">
        <v>102</v>
      </c>
      <c r="AB995" s="93">
        <v>912.81700000000001</v>
      </c>
      <c r="AC995" s="93">
        <v>833.26900000000001</v>
      </c>
      <c r="AD995" s="93">
        <v>13.1175</v>
      </c>
      <c r="AE995" s="9" t="s">
        <v>101</v>
      </c>
      <c r="AF995" s="9" t="s">
        <v>102</v>
      </c>
      <c r="AG995" s="9" t="s">
        <v>102</v>
      </c>
      <c r="AH995" s="9" t="s">
        <v>102</v>
      </c>
      <c r="AI995" s="9" t="s">
        <v>102</v>
      </c>
      <c r="AJ995" s="9" t="s">
        <v>102</v>
      </c>
      <c r="AK995" s="9" t="s">
        <v>102</v>
      </c>
      <c r="AL995" s="9" t="s">
        <v>102</v>
      </c>
      <c r="AN995" s="12" t="s">
        <v>101</v>
      </c>
      <c r="AO995" s="12" t="s">
        <v>103</v>
      </c>
      <c r="AP995" s="94">
        <v>35</v>
      </c>
      <c r="AQ995" s="157" t="s">
        <v>100</v>
      </c>
      <c r="AR995" s="93">
        <v>35</v>
      </c>
    </row>
    <row r="996" spans="1:45" ht="16.5">
      <c r="A996" s="111">
        <v>22</v>
      </c>
      <c r="B996" s="93" t="s">
        <v>101</v>
      </c>
      <c r="C996" s="111">
        <v>87.57</v>
      </c>
      <c r="D996" s="111">
        <v>4.97</v>
      </c>
      <c r="E996" s="111">
        <v>2.83</v>
      </c>
      <c r="F996" s="111">
        <v>0</v>
      </c>
      <c r="G996" s="111">
        <v>3.11</v>
      </c>
      <c r="H996" s="111">
        <v>0</v>
      </c>
      <c r="I996" s="111">
        <v>0</v>
      </c>
      <c r="J996" s="111">
        <v>1.52</v>
      </c>
      <c r="K996" s="111">
        <v>0</v>
      </c>
      <c r="L996" s="111">
        <v>0</v>
      </c>
      <c r="M996" s="74" t="str">
        <f t="array" ref="M996">_xlfn.TEXTJOIN("-", TRUE, IF(C996:L996&gt;0, $C$2:$L$2, ""))</f>
        <v xml:space="preserve"> Ti-Al-Zr-V-Cr</v>
      </c>
      <c r="N996" s="90">
        <f t="shared" si="30"/>
        <v>982</v>
      </c>
      <c r="O996" s="91">
        <f t="shared" si="31"/>
        <v>5</v>
      </c>
      <c r="P996" s="93">
        <v>1</v>
      </c>
      <c r="Q996" s="93">
        <v>0</v>
      </c>
      <c r="R996" s="93">
        <v>0</v>
      </c>
      <c r="S996" s="93">
        <v>0</v>
      </c>
      <c r="T996" s="94">
        <v>700</v>
      </c>
      <c r="U996" s="94">
        <v>1</v>
      </c>
      <c r="V996" s="8">
        <v>2</v>
      </c>
      <c r="W996" s="94">
        <v>0</v>
      </c>
      <c r="X996" s="94">
        <v>0</v>
      </c>
      <c r="Y996" s="103">
        <v>0</v>
      </c>
      <c r="Z996" s="18" t="s">
        <v>102</v>
      </c>
      <c r="AA996" s="9" t="s">
        <v>102</v>
      </c>
      <c r="AB996" s="93">
        <v>901.26700000000005</v>
      </c>
      <c r="AC996" s="93">
        <v>865.71100000000001</v>
      </c>
      <c r="AD996" s="93">
        <v>18.482099999999999</v>
      </c>
      <c r="AE996" s="9" t="s">
        <v>101</v>
      </c>
      <c r="AF996" s="9" t="s">
        <v>102</v>
      </c>
      <c r="AG996" s="9" t="s">
        <v>102</v>
      </c>
      <c r="AH996" s="9" t="s">
        <v>102</v>
      </c>
      <c r="AI996" s="9" t="s">
        <v>102</v>
      </c>
      <c r="AJ996" s="9" t="s">
        <v>102</v>
      </c>
      <c r="AK996" s="9" t="s">
        <v>102</v>
      </c>
      <c r="AL996" s="9" t="s">
        <v>102</v>
      </c>
      <c r="AN996" s="12" t="s">
        <v>101</v>
      </c>
      <c r="AO996" s="12" t="s">
        <v>103</v>
      </c>
      <c r="AP996" s="94">
        <v>22</v>
      </c>
      <c r="AQ996" s="157" t="s">
        <v>100</v>
      </c>
      <c r="AR996" s="93">
        <v>22</v>
      </c>
    </row>
    <row r="997" spans="1:45" ht="16.5">
      <c r="A997" s="111">
        <v>23</v>
      </c>
      <c r="B997" s="93" t="s">
        <v>101</v>
      </c>
      <c r="C997" s="111">
        <v>87.57</v>
      </c>
      <c r="D997" s="111">
        <v>4.97</v>
      </c>
      <c r="E997" s="111">
        <v>2.83</v>
      </c>
      <c r="F997" s="111">
        <v>0</v>
      </c>
      <c r="G997" s="111">
        <v>3.11</v>
      </c>
      <c r="H997" s="111">
        <v>0</v>
      </c>
      <c r="I997" s="111">
        <v>0</v>
      </c>
      <c r="J997" s="111">
        <v>1.52</v>
      </c>
      <c r="K997" s="111">
        <v>0</v>
      </c>
      <c r="L997" s="111">
        <v>0</v>
      </c>
      <c r="M997" s="74" t="str">
        <f t="array" ref="M997">_xlfn.TEXTJOIN("-", TRUE, IF(C997:L997&gt;0, $C$2:$L$2, ""))</f>
        <v xml:space="preserve"> Ti-Al-Zr-V-Cr</v>
      </c>
      <c r="N997" s="90">
        <f t="shared" si="30"/>
        <v>982</v>
      </c>
      <c r="O997" s="91">
        <f t="shared" si="31"/>
        <v>5</v>
      </c>
      <c r="P997" s="93">
        <v>1</v>
      </c>
      <c r="Q997" s="93">
        <v>0</v>
      </c>
      <c r="R997" s="93">
        <v>0</v>
      </c>
      <c r="S997" s="93">
        <v>0</v>
      </c>
      <c r="T997" s="94">
        <v>800</v>
      </c>
      <c r="U997" s="94">
        <v>1</v>
      </c>
      <c r="V997" s="8">
        <v>2</v>
      </c>
      <c r="W997" s="94">
        <v>0</v>
      </c>
      <c r="X997" s="94">
        <v>0</v>
      </c>
      <c r="Y997" s="103">
        <v>0</v>
      </c>
      <c r="Z997" s="18" t="s">
        <v>102</v>
      </c>
      <c r="AA997" s="9" t="s">
        <v>102</v>
      </c>
      <c r="AB997" s="93">
        <v>903.82600000000002</v>
      </c>
      <c r="AC997" s="93">
        <v>843.803</v>
      </c>
      <c r="AD997" s="93">
        <v>19.017900000000001</v>
      </c>
      <c r="AE997" s="9" t="s">
        <v>101</v>
      </c>
      <c r="AF997" s="9" t="s">
        <v>102</v>
      </c>
      <c r="AG997" s="9" t="s">
        <v>102</v>
      </c>
      <c r="AH997" s="9" t="s">
        <v>102</v>
      </c>
      <c r="AI997" s="9" t="s">
        <v>102</v>
      </c>
      <c r="AJ997" s="9" t="s">
        <v>102</v>
      </c>
      <c r="AK997" s="9" t="s">
        <v>102</v>
      </c>
      <c r="AL997" s="9" t="s">
        <v>102</v>
      </c>
      <c r="AN997" s="12" t="s">
        <v>101</v>
      </c>
      <c r="AO997" s="12" t="s">
        <v>149</v>
      </c>
      <c r="AP997" s="94">
        <v>23</v>
      </c>
      <c r="AQ997" s="157" t="s">
        <v>100</v>
      </c>
      <c r="AR997" s="93">
        <v>23</v>
      </c>
    </row>
    <row r="998" spans="1:45" ht="16.5">
      <c r="A998" s="111">
        <v>24</v>
      </c>
      <c r="B998" s="93" t="s">
        <v>101</v>
      </c>
      <c r="C998" s="111">
        <v>87.57</v>
      </c>
      <c r="D998" s="111">
        <v>4.97</v>
      </c>
      <c r="E998" s="111">
        <v>2.83</v>
      </c>
      <c r="F998" s="111">
        <v>0</v>
      </c>
      <c r="G998" s="111">
        <v>3.11</v>
      </c>
      <c r="H998" s="111">
        <v>0</v>
      </c>
      <c r="I998" s="111">
        <v>0</v>
      </c>
      <c r="J998" s="111">
        <v>1.52</v>
      </c>
      <c r="K998" s="111">
        <v>0</v>
      </c>
      <c r="L998" s="111">
        <v>0</v>
      </c>
      <c r="M998" s="74" t="str">
        <f t="array" ref="M998">_xlfn.TEXTJOIN("-", TRUE, IF(C998:L998&gt;0, $C$2:$L$2, ""))</f>
        <v xml:space="preserve"> Ti-Al-Zr-V-Cr</v>
      </c>
      <c r="N998" s="90">
        <f t="shared" si="30"/>
        <v>982</v>
      </c>
      <c r="O998" s="91">
        <f t="shared" si="31"/>
        <v>5</v>
      </c>
      <c r="P998" s="93">
        <v>1</v>
      </c>
      <c r="Q998" s="93">
        <v>0</v>
      </c>
      <c r="R998" s="93">
        <v>0</v>
      </c>
      <c r="S998" s="93">
        <v>0</v>
      </c>
      <c r="T998" s="94">
        <v>900</v>
      </c>
      <c r="U998" s="94">
        <v>1</v>
      </c>
      <c r="V998" s="8">
        <v>2</v>
      </c>
      <c r="W998" s="94">
        <v>0</v>
      </c>
      <c r="X998" s="94">
        <v>0</v>
      </c>
      <c r="Y998" s="103">
        <v>0</v>
      </c>
      <c r="Z998" s="18" t="s">
        <v>102</v>
      </c>
      <c r="AA998" s="9" t="s">
        <v>102</v>
      </c>
      <c r="AB998" s="93">
        <v>893.01800000000003</v>
      </c>
      <c r="AC998" s="93">
        <v>806.33900000000006</v>
      </c>
      <c r="AD998" s="93">
        <v>18.75</v>
      </c>
      <c r="AE998" s="9" t="s">
        <v>101</v>
      </c>
      <c r="AF998" s="9" t="s">
        <v>102</v>
      </c>
      <c r="AG998" s="9" t="s">
        <v>102</v>
      </c>
      <c r="AH998" s="9" t="s">
        <v>102</v>
      </c>
      <c r="AI998" s="9" t="s">
        <v>102</v>
      </c>
      <c r="AJ998" s="9" t="s">
        <v>102</v>
      </c>
      <c r="AK998" s="9" t="s">
        <v>102</v>
      </c>
      <c r="AL998" s="9" t="s">
        <v>102</v>
      </c>
      <c r="AN998" s="12" t="s">
        <v>101</v>
      </c>
      <c r="AO998" s="12" t="s">
        <v>103</v>
      </c>
      <c r="AP998" s="94">
        <v>24</v>
      </c>
      <c r="AQ998" s="157" t="s">
        <v>100</v>
      </c>
      <c r="AR998" s="93">
        <v>24</v>
      </c>
    </row>
    <row r="999" spans="1:45" ht="16.5">
      <c r="A999" s="111">
        <v>25</v>
      </c>
      <c r="B999" s="93" t="s">
        <v>101</v>
      </c>
      <c r="C999" s="111">
        <v>87.57</v>
      </c>
      <c r="D999" s="111">
        <v>4.97</v>
      </c>
      <c r="E999" s="111">
        <v>2.83</v>
      </c>
      <c r="F999" s="111">
        <v>0</v>
      </c>
      <c r="G999" s="111">
        <v>3.11</v>
      </c>
      <c r="H999" s="111">
        <v>0</v>
      </c>
      <c r="I999" s="111">
        <v>0</v>
      </c>
      <c r="J999" s="111">
        <v>1.52</v>
      </c>
      <c r="K999" s="111">
        <v>0</v>
      </c>
      <c r="L999" s="111">
        <v>0</v>
      </c>
      <c r="M999" s="74" t="str">
        <f t="array" ref="M999">_xlfn.TEXTJOIN("-", TRUE, IF(C999:L999&gt;0, $C$2:$L$2, ""))</f>
        <v xml:space="preserve"> Ti-Al-Zr-V-Cr</v>
      </c>
      <c r="N999" s="90">
        <f t="shared" si="30"/>
        <v>982</v>
      </c>
      <c r="O999" s="91">
        <f t="shared" si="31"/>
        <v>5</v>
      </c>
      <c r="P999" s="93">
        <v>1</v>
      </c>
      <c r="Q999" s="93">
        <v>0</v>
      </c>
      <c r="R999" s="93">
        <v>0</v>
      </c>
      <c r="S999" s="93">
        <v>0</v>
      </c>
      <c r="T999" s="94">
        <v>950</v>
      </c>
      <c r="U999" s="94">
        <v>1</v>
      </c>
      <c r="V999" s="8">
        <v>2</v>
      </c>
      <c r="W999" s="94">
        <v>0</v>
      </c>
      <c r="X999" s="94">
        <v>0</v>
      </c>
      <c r="Y999" s="103">
        <v>0</v>
      </c>
      <c r="Z999" s="18" t="s">
        <v>102</v>
      </c>
      <c r="AA999" s="9" t="s">
        <v>102</v>
      </c>
      <c r="AB999" s="93">
        <v>883.16399999999999</v>
      </c>
      <c r="AC999" s="93">
        <v>727.65</v>
      </c>
      <c r="AD999" s="93">
        <v>18.214300000000001</v>
      </c>
      <c r="AE999" s="9" t="s">
        <v>101</v>
      </c>
      <c r="AF999" s="9" t="s">
        <v>102</v>
      </c>
      <c r="AG999" s="9" t="s">
        <v>102</v>
      </c>
      <c r="AH999" s="9" t="s">
        <v>102</v>
      </c>
      <c r="AI999" s="9" t="s">
        <v>102</v>
      </c>
      <c r="AJ999" s="9" t="s">
        <v>102</v>
      </c>
      <c r="AK999" s="9" t="s">
        <v>102</v>
      </c>
      <c r="AL999" s="9" t="s">
        <v>102</v>
      </c>
      <c r="AN999" s="12" t="s">
        <v>101</v>
      </c>
      <c r="AO999" s="12" t="s">
        <v>103</v>
      </c>
      <c r="AP999" s="94">
        <v>25</v>
      </c>
      <c r="AQ999" s="157" t="s">
        <v>100</v>
      </c>
      <c r="AR999" s="93">
        <v>25</v>
      </c>
    </row>
    <row r="1000" spans="1:45" ht="16.5">
      <c r="A1000" s="111">
        <v>165</v>
      </c>
      <c r="B1000" s="93" t="s">
        <v>101</v>
      </c>
      <c r="C1000" s="111">
        <v>84.62</v>
      </c>
      <c r="D1000" s="111">
        <v>5.21</v>
      </c>
      <c r="E1000" s="111">
        <v>0</v>
      </c>
      <c r="F1000" s="111">
        <v>4.0599999999999996</v>
      </c>
      <c r="G1000" s="111">
        <v>0</v>
      </c>
      <c r="H1000" s="111">
        <v>0</v>
      </c>
      <c r="I1000" s="111">
        <v>0</v>
      </c>
      <c r="J1000" s="111">
        <v>4.05</v>
      </c>
      <c r="K1000" s="111">
        <v>0</v>
      </c>
      <c r="L1000" s="111">
        <v>2.06</v>
      </c>
      <c r="M1000" s="74" t="str">
        <f t="array" ref="M1000">_xlfn.TEXTJOIN("-", TRUE, IF(C1000:L1000&gt;0, $C$2:$L$2, ""))</f>
        <v xml:space="preserve"> Ti-Al-Mo-Cr-Sn</v>
      </c>
      <c r="N1000" s="90">
        <f t="shared" si="30"/>
        <v>1000</v>
      </c>
      <c r="O1000" s="91">
        <f t="shared" si="31"/>
        <v>5</v>
      </c>
      <c r="P1000" s="93">
        <v>1</v>
      </c>
      <c r="Q1000" s="93">
        <v>2</v>
      </c>
      <c r="R1000" s="93">
        <v>883</v>
      </c>
      <c r="S1000" s="93">
        <v>30</v>
      </c>
      <c r="T1000" s="94">
        <v>800</v>
      </c>
      <c r="U1000" s="94">
        <v>4</v>
      </c>
      <c r="V1000" s="8">
        <v>1</v>
      </c>
      <c r="W1000" s="94">
        <v>640</v>
      </c>
      <c r="X1000" s="94">
        <v>8</v>
      </c>
      <c r="Y1000" s="103">
        <v>2</v>
      </c>
      <c r="Z1000" s="18" t="s">
        <v>102</v>
      </c>
      <c r="AA1000" s="9" t="s">
        <v>102</v>
      </c>
      <c r="AB1000" s="93">
        <v>1265</v>
      </c>
      <c r="AC1000" s="93">
        <v>1230.5</v>
      </c>
      <c r="AD1000" s="93">
        <v>9.5</v>
      </c>
      <c r="AE1000" s="9" t="s">
        <v>101</v>
      </c>
      <c r="AF1000" s="9" t="s">
        <v>102</v>
      </c>
      <c r="AG1000" s="9" t="s">
        <v>102</v>
      </c>
      <c r="AH1000" s="9" t="s">
        <v>102</v>
      </c>
      <c r="AI1000" s="9" t="s">
        <v>102</v>
      </c>
      <c r="AJ1000" s="9" t="s">
        <v>102</v>
      </c>
      <c r="AK1000" s="9" t="s">
        <v>102</v>
      </c>
      <c r="AL1000" s="9" t="s">
        <v>102</v>
      </c>
      <c r="AN1000" s="12" t="s">
        <v>101</v>
      </c>
      <c r="AO1000" s="12" t="s">
        <v>103</v>
      </c>
      <c r="AP1000" s="94">
        <v>165</v>
      </c>
      <c r="AQ1000" s="157" t="s">
        <v>100</v>
      </c>
      <c r="AR1000" s="93">
        <v>165</v>
      </c>
      <c r="AS1000" s="94"/>
    </row>
    <row r="1001" spans="1:45" ht="16.5">
      <c r="A1001" s="111">
        <v>166</v>
      </c>
      <c r="B1001" s="93" t="s">
        <v>101</v>
      </c>
      <c r="C1001" s="111">
        <v>84.62</v>
      </c>
      <c r="D1001" s="111">
        <v>5.21</v>
      </c>
      <c r="E1001" s="111">
        <v>0</v>
      </c>
      <c r="F1001" s="111">
        <v>4.0599999999999996</v>
      </c>
      <c r="G1001" s="111">
        <v>0</v>
      </c>
      <c r="H1001" s="111">
        <v>0</v>
      </c>
      <c r="I1001" s="111">
        <v>0</v>
      </c>
      <c r="J1001" s="111">
        <v>4.05</v>
      </c>
      <c r="K1001" s="111">
        <v>0</v>
      </c>
      <c r="L1001" s="111">
        <v>2.06</v>
      </c>
      <c r="M1001" s="74" t="str">
        <f t="array" ref="M1001">_xlfn.TEXTJOIN("-", TRUE, IF(C1001:L1001&gt;0, $C$2:$L$2, ""))</f>
        <v xml:space="preserve"> Ti-Al-Mo-Cr-Sn</v>
      </c>
      <c r="N1001" s="90">
        <f t="shared" si="30"/>
        <v>1000</v>
      </c>
      <c r="O1001" s="91">
        <f t="shared" si="31"/>
        <v>5</v>
      </c>
      <c r="P1001" s="93">
        <v>1</v>
      </c>
      <c r="Q1001" s="93">
        <v>2</v>
      </c>
      <c r="R1001" s="93">
        <v>883</v>
      </c>
      <c r="S1001" s="93">
        <v>30</v>
      </c>
      <c r="T1001" s="94">
        <v>800</v>
      </c>
      <c r="U1001" s="94">
        <v>4</v>
      </c>
      <c r="V1001" s="8">
        <v>1</v>
      </c>
      <c r="W1001" s="94">
        <v>640</v>
      </c>
      <c r="X1001" s="94">
        <v>8</v>
      </c>
      <c r="Y1001" s="103">
        <v>2</v>
      </c>
      <c r="Z1001" s="18" t="s">
        <v>102</v>
      </c>
      <c r="AA1001" s="9" t="s">
        <v>102</v>
      </c>
      <c r="AB1001" s="93">
        <v>1287.5</v>
      </c>
      <c r="AC1001" s="93">
        <v>1250</v>
      </c>
      <c r="AD1001" s="93">
        <v>9.25</v>
      </c>
      <c r="AE1001" s="9" t="s">
        <v>101</v>
      </c>
      <c r="AF1001" s="9" t="s">
        <v>102</v>
      </c>
      <c r="AG1001" s="9" t="s">
        <v>102</v>
      </c>
      <c r="AH1001" s="9" t="s">
        <v>102</v>
      </c>
      <c r="AI1001" s="9" t="s">
        <v>102</v>
      </c>
      <c r="AJ1001" s="9" t="s">
        <v>102</v>
      </c>
      <c r="AK1001" s="9" t="s">
        <v>102</v>
      </c>
      <c r="AL1001" s="9" t="s">
        <v>102</v>
      </c>
      <c r="AN1001" s="12" t="s">
        <v>101</v>
      </c>
      <c r="AO1001" s="12" t="s">
        <v>103</v>
      </c>
      <c r="AP1001" s="94">
        <v>166</v>
      </c>
      <c r="AQ1001" s="157" t="s">
        <v>100</v>
      </c>
      <c r="AR1001" s="93">
        <v>166</v>
      </c>
      <c r="AS1001" s="94"/>
    </row>
    <row r="1002" spans="1:45" ht="16.5">
      <c r="A1002" s="111">
        <v>167</v>
      </c>
      <c r="B1002" s="93" t="s">
        <v>101</v>
      </c>
      <c r="C1002" s="111">
        <v>84.62</v>
      </c>
      <c r="D1002" s="111">
        <v>5.21</v>
      </c>
      <c r="E1002" s="111">
        <v>0</v>
      </c>
      <c r="F1002" s="111">
        <v>4.0599999999999996</v>
      </c>
      <c r="G1002" s="111">
        <v>0</v>
      </c>
      <c r="H1002" s="111">
        <v>0</v>
      </c>
      <c r="I1002" s="111">
        <v>0</v>
      </c>
      <c r="J1002" s="111">
        <v>4.05</v>
      </c>
      <c r="K1002" s="111">
        <v>0</v>
      </c>
      <c r="L1002" s="111">
        <v>2.06</v>
      </c>
      <c r="M1002" s="74" t="str">
        <f t="array" ref="M1002">_xlfn.TEXTJOIN("-", TRUE, IF(C1002:L1002&gt;0, $C$2:$L$2, ""))</f>
        <v xml:space="preserve"> Ti-Al-Mo-Cr-Sn</v>
      </c>
      <c r="N1002" s="90">
        <f t="shared" si="30"/>
        <v>1000</v>
      </c>
      <c r="O1002" s="91">
        <f t="shared" si="31"/>
        <v>5</v>
      </c>
      <c r="P1002" s="93">
        <v>1</v>
      </c>
      <c r="Q1002" s="93">
        <v>0</v>
      </c>
      <c r="R1002" s="93">
        <v>908</v>
      </c>
      <c r="S1002" s="93">
        <v>60</v>
      </c>
      <c r="T1002" s="94">
        <v>800</v>
      </c>
      <c r="U1002" s="94">
        <v>4</v>
      </c>
      <c r="V1002" s="8">
        <v>1</v>
      </c>
      <c r="W1002" s="94">
        <v>640</v>
      </c>
      <c r="X1002" s="94">
        <v>8</v>
      </c>
      <c r="Y1002" s="103">
        <v>2</v>
      </c>
      <c r="Z1002" s="18" t="s">
        <v>102</v>
      </c>
      <c r="AA1002" s="9" t="s">
        <v>102</v>
      </c>
      <c r="AB1002" s="93">
        <v>1220</v>
      </c>
      <c r="AC1002" s="93">
        <v>1184.5</v>
      </c>
      <c r="AD1002" s="93">
        <v>11.75</v>
      </c>
      <c r="AE1002" s="9" t="s">
        <v>101</v>
      </c>
      <c r="AF1002" s="9" t="s">
        <v>102</v>
      </c>
      <c r="AG1002" s="9" t="s">
        <v>102</v>
      </c>
      <c r="AH1002" s="9" t="s">
        <v>102</v>
      </c>
      <c r="AI1002" s="9" t="s">
        <v>102</v>
      </c>
      <c r="AJ1002" s="9" t="s">
        <v>102</v>
      </c>
      <c r="AK1002" s="9" t="s">
        <v>102</v>
      </c>
      <c r="AL1002" s="9" t="s">
        <v>102</v>
      </c>
      <c r="AN1002" s="12" t="s">
        <v>101</v>
      </c>
      <c r="AO1002" s="12" t="s">
        <v>103</v>
      </c>
      <c r="AP1002" s="94">
        <v>167</v>
      </c>
      <c r="AQ1002" s="157" t="s">
        <v>100</v>
      </c>
      <c r="AR1002" s="93">
        <v>167</v>
      </c>
    </row>
    <row r="1003" spans="1:45" ht="16.5">
      <c r="A1003" s="111">
        <v>168</v>
      </c>
      <c r="B1003" s="93" t="s">
        <v>101</v>
      </c>
      <c r="C1003" s="111">
        <v>84.62</v>
      </c>
      <c r="D1003" s="93">
        <v>5.21</v>
      </c>
      <c r="E1003" s="111">
        <v>0</v>
      </c>
      <c r="F1003" s="111">
        <v>4.0599999999999996</v>
      </c>
      <c r="G1003" s="93">
        <v>0</v>
      </c>
      <c r="H1003" s="111">
        <v>0</v>
      </c>
      <c r="I1003" s="111">
        <v>0</v>
      </c>
      <c r="J1003" s="93">
        <v>4.05</v>
      </c>
      <c r="K1003" s="93">
        <v>0</v>
      </c>
      <c r="L1003" s="111">
        <v>2.06</v>
      </c>
      <c r="M1003" s="74" t="str">
        <f t="array" ref="M1003">_xlfn.TEXTJOIN("-", TRUE, IF(C1003:L1003&gt;0, $C$2:$L$2, ""))</f>
        <v xml:space="preserve"> Ti-Al-Mo-Cr-Sn</v>
      </c>
      <c r="N1003" s="90">
        <f t="shared" si="30"/>
        <v>1000</v>
      </c>
      <c r="O1003" s="91">
        <f t="shared" si="31"/>
        <v>5</v>
      </c>
      <c r="P1003" s="93">
        <v>1</v>
      </c>
      <c r="Q1003" s="93">
        <v>0</v>
      </c>
      <c r="R1003" s="93">
        <v>918</v>
      </c>
      <c r="S1003" s="93">
        <v>60</v>
      </c>
      <c r="T1003" s="94">
        <v>800</v>
      </c>
      <c r="U1003" s="94">
        <v>4</v>
      </c>
      <c r="V1003" s="8">
        <v>1</v>
      </c>
      <c r="W1003" s="94">
        <v>640</v>
      </c>
      <c r="X1003" s="94">
        <v>8</v>
      </c>
      <c r="Y1003" s="103">
        <v>2</v>
      </c>
      <c r="Z1003" s="18" t="s">
        <v>102</v>
      </c>
      <c r="AA1003" s="9" t="s">
        <v>102</v>
      </c>
      <c r="AB1003" s="93">
        <v>1208</v>
      </c>
      <c r="AC1003" s="93">
        <v>1176</v>
      </c>
      <c r="AD1003" s="93">
        <v>12.25</v>
      </c>
      <c r="AE1003" s="9" t="s">
        <v>101</v>
      </c>
      <c r="AF1003" s="9" t="s">
        <v>102</v>
      </c>
      <c r="AG1003" s="9" t="s">
        <v>102</v>
      </c>
      <c r="AH1003" s="9" t="s">
        <v>102</v>
      </c>
      <c r="AI1003" s="9" t="s">
        <v>102</v>
      </c>
      <c r="AJ1003" s="9" t="s">
        <v>102</v>
      </c>
      <c r="AK1003" s="9" t="s">
        <v>102</v>
      </c>
      <c r="AL1003" s="9" t="s">
        <v>102</v>
      </c>
      <c r="AN1003" s="12" t="s">
        <v>101</v>
      </c>
      <c r="AO1003" s="12" t="s">
        <v>103</v>
      </c>
      <c r="AP1003" s="94">
        <v>168</v>
      </c>
      <c r="AQ1003" s="157" t="s">
        <v>100</v>
      </c>
      <c r="AR1003" s="93">
        <v>168</v>
      </c>
    </row>
    <row r="1004" spans="1:45" ht="16.5">
      <c r="A1004" s="111">
        <v>169</v>
      </c>
      <c r="B1004" s="93" t="s">
        <v>101</v>
      </c>
      <c r="C1004" s="111">
        <v>84.62</v>
      </c>
      <c r="D1004" s="93">
        <v>5.21</v>
      </c>
      <c r="E1004" s="111">
        <v>0</v>
      </c>
      <c r="F1004" s="111">
        <v>4.0599999999999996</v>
      </c>
      <c r="G1004" s="93">
        <v>0</v>
      </c>
      <c r="H1004" s="111">
        <v>0</v>
      </c>
      <c r="I1004" s="111">
        <v>0</v>
      </c>
      <c r="J1004" s="93">
        <v>4.05</v>
      </c>
      <c r="K1004" s="93">
        <v>0</v>
      </c>
      <c r="L1004" s="111">
        <v>2.06</v>
      </c>
      <c r="M1004" s="74" t="str">
        <f t="array" ref="M1004">_xlfn.TEXTJOIN("-", TRUE, IF(C1004:L1004&gt;0, $C$2:$L$2, ""))</f>
        <v xml:space="preserve"> Ti-Al-Mo-Cr-Sn</v>
      </c>
      <c r="N1004" s="90">
        <f t="shared" si="30"/>
        <v>1000</v>
      </c>
      <c r="O1004" s="91">
        <f t="shared" si="31"/>
        <v>5</v>
      </c>
      <c r="P1004" s="93">
        <v>1</v>
      </c>
      <c r="Q1004" s="93">
        <v>0</v>
      </c>
      <c r="R1004" s="93">
        <v>928</v>
      </c>
      <c r="S1004" s="93">
        <v>60</v>
      </c>
      <c r="T1004" s="94">
        <v>800</v>
      </c>
      <c r="U1004" s="94">
        <v>4</v>
      </c>
      <c r="V1004" s="8">
        <v>1</v>
      </c>
      <c r="W1004" s="94">
        <v>640</v>
      </c>
      <c r="X1004" s="94">
        <v>8</v>
      </c>
      <c r="Y1004" s="103">
        <v>2</v>
      </c>
      <c r="Z1004" s="18" t="s">
        <v>102</v>
      </c>
      <c r="AA1004" s="9" t="s">
        <v>102</v>
      </c>
      <c r="AB1004" s="93">
        <v>1256.5</v>
      </c>
      <c r="AC1004" s="93">
        <v>1224.5</v>
      </c>
      <c r="AD1004" s="93">
        <v>9.75</v>
      </c>
      <c r="AE1004" s="9" t="s">
        <v>101</v>
      </c>
      <c r="AF1004" s="9" t="s">
        <v>102</v>
      </c>
      <c r="AG1004" s="9" t="s">
        <v>102</v>
      </c>
      <c r="AH1004" s="9" t="s">
        <v>102</v>
      </c>
      <c r="AI1004" s="9" t="s">
        <v>102</v>
      </c>
      <c r="AJ1004" s="9" t="s">
        <v>102</v>
      </c>
      <c r="AK1004" s="9" t="s">
        <v>102</v>
      </c>
      <c r="AL1004" s="9" t="s">
        <v>102</v>
      </c>
      <c r="AN1004" s="12" t="s">
        <v>101</v>
      </c>
      <c r="AO1004" s="12" t="s">
        <v>103</v>
      </c>
      <c r="AP1004" s="94">
        <v>169</v>
      </c>
      <c r="AQ1004" s="157" t="s">
        <v>100</v>
      </c>
      <c r="AR1004" s="93">
        <v>169</v>
      </c>
    </row>
    <row r="1005" spans="1:45" ht="16.5">
      <c r="A1005" s="111">
        <v>170</v>
      </c>
      <c r="B1005" s="93" t="s">
        <v>101</v>
      </c>
      <c r="C1005" s="111">
        <v>84.62</v>
      </c>
      <c r="D1005" s="93">
        <v>5.21</v>
      </c>
      <c r="E1005" s="111">
        <v>0</v>
      </c>
      <c r="F1005" s="111">
        <v>4.0599999999999996</v>
      </c>
      <c r="G1005" s="93">
        <v>0</v>
      </c>
      <c r="H1005" s="111">
        <v>0</v>
      </c>
      <c r="I1005" s="111">
        <v>0</v>
      </c>
      <c r="J1005" s="93">
        <v>4.05</v>
      </c>
      <c r="K1005" s="93">
        <v>0</v>
      </c>
      <c r="L1005" s="111">
        <v>2.06</v>
      </c>
      <c r="M1005" s="74" t="str">
        <f t="array" ref="M1005">_xlfn.TEXTJOIN("-", TRUE, IF(C1005:L1005&gt;0, $C$2:$L$2, ""))</f>
        <v xml:space="preserve"> Ti-Al-Mo-Cr-Sn</v>
      </c>
      <c r="N1005" s="90">
        <f t="shared" si="30"/>
        <v>1000</v>
      </c>
      <c r="O1005" s="91">
        <f t="shared" si="31"/>
        <v>5</v>
      </c>
      <c r="P1005" s="93">
        <v>1</v>
      </c>
      <c r="Q1005" s="93">
        <v>0</v>
      </c>
      <c r="R1005" s="93">
        <v>918</v>
      </c>
      <c r="S1005" s="93">
        <v>30</v>
      </c>
      <c r="T1005" s="94">
        <v>800</v>
      </c>
      <c r="U1005" s="94">
        <v>4</v>
      </c>
      <c r="V1005" s="8">
        <v>1</v>
      </c>
      <c r="W1005" s="94">
        <v>640</v>
      </c>
      <c r="X1005" s="94">
        <v>8</v>
      </c>
      <c r="Y1005" s="103">
        <v>2</v>
      </c>
      <c r="Z1005" s="18" t="s">
        <v>102</v>
      </c>
      <c r="AA1005" s="9" t="s">
        <v>102</v>
      </c>
      <c r="AB1005" s="93">
        <v>1212.5</v>
      </c>
      <c r="AC1005" s="93">
        <v>1178</v>
      </c>
      <c r="AD1005" s="93">
        <v>12.75</v>
      </c>
      <c r="AE1005" s="9" t="s">
        <v>101</v>
      </c>
      <c r="AF1005" s="9" t="s">
        <v>102</v>
      </c>
      <c r="AG1005" s="9" t="s">
        <v>102</v>
      </c>
      <c r="AH1005" s="9" t="s">
        <v>102</v>
      </c>
      <c r="AI1005" s="9" t="s">
        <v>102</v>
      </c>
      <c r="AJ1005" s="9" t="s">
        <v>102</v>
      </c>
      <c r="AK1005" s="9" t="s">
        <v>102</v>
      </c>
      <c r="AL1005" s="9" t="s">
        <v>102</v>
      </c>
      <c r="AN1005" s="12" t="s">
        <v>101</v>
      </c>
      <c r="AO1005" s="12" t="s">
        <v>103</v>
      </c>
      <c r="AP1005" s="94">
        <v>170</v>
      </c>
      <c r="AQ1005" s="157" t="s">
        <v>100</v>
      </c>
      <c r="AR1005" s="93">
        <v>170</v>
      </c>
    </row>
    <row r="1006" spans="1:45" ht="16.5">
      <c r="A1006" s="111">
        <v>171</v>
      </c>
      <c r="B1006" s="93" t="s">
        <v>101</v>
      </c>
      <c r="C1006" s="111">
        <v>84.62</v>
      </c>
      <c r="D1006" s="93">
        <v>5.21</v>
      </c>
      <c r="E1006" s="111">
        <v>0</v>
      </c>
      <c r="F1006" s="111">
        <v>4.0599999999999996</v>
      </c>
      <c r="G1006" s="93">
        <v>0</v>
      </c>
      <c r="H1006" s="111">
        <v>0</v>
      </c>
      <c r="I1006" s="111">
        <v>0</v>
      </c>
      <c r="J1006" s="93">
        <v>4.05</v>
      </c>
      <c r="K1006" s="93">
        <v>0</v>
      </c>
      <c r="L1006" s="111">
        <v>2.06</v>
      </c>
      <c r="M1006" s="74" t="str">
        <f t="array" ref="M1006">_xlfn.TEXTJOIN("-", TRUE, IF(C1006:L1006&gt;0, $C$2:$L$2, ""))</f>
        <v xml:space="preserve"> Ti-Al-Mo-Cr-Sn</v>
      </c>
      <c r="N1006" s="90">
        <f t="shared" si="30"/>
        <v>1000</v>
      </c>
      <c r="O1006" s="91">
        <f t="shared" si="31"/>
        <v>5</v>
      </c>
      <c r="P1006" s="93">
        <v>1</v>
      </c>
      <c r="Q1006" s="93">
        <v>0</v>
      </c>
      <c r="R1006" s="93">
        <v>918</v>
      </c>
      <c r="S1006" s="93">
        <v>45</v>
      </c>
      <c r="T1006" s="94">
        <v>800</v>
      </c>
      <c r="U1006" s="94">
        <v>4</v>
      </c>
      <c r="V1006" s="8">
        <v>1</v>
      </c>
      <c r="W1006" s="94">
        <v>640</v>
      </c>
      <c r="X1006" s="94">
        <v>8</v>
      </c>
      <c r="Y1006" s="103">
        <v>2</v>
      </c>
      <c r="Z1006" s="18" t="s">
        <v>102</v>
      </c>
      <c r="AA1006" s="9" t="s">
        <v>102</v>
      </c>
      <c r="AB1006" s="93">
        <v>1258</v>
      </c>
      <c r="AC1006" s="93">
        <v>1226.5</v>
      </c>
      <c r="AD1006" s="93">
        <v>12</v>
      </c>
      <c r="AE1006" s="9" t="s">
        <v>101</v>
      </c>
      <c r="AF1006" s="9" t="s">
        <v>102</v>
      </c>
      <c r="AG1006" s="9" t="s">
        <v>102</v>
      </c>
      <c r="AH1006" s="9" t="s">
        <v>102</v>
      </c>
      <c r="AI1006" s="9" t="s">
        <v>102</v>
      </c>
      <c r="AJ1006" s="9" t="s">
        <v>102</v>
      </c>
      <c r="AK1006" s="9" t="s">
        <v>102</v>
      </c>
      <c r="AL1006" s="9" t="s">
        <v>102</v>
      </c>
      <c r="AN1006" s="12" t="s">
        <v>101</v>
      </c>
      <c r="AO1006" s="12" t="s">
        <v>103</v>
      </c>
      <c r="AP1006" s="94">
        <v>171</v>
      </c>
      <c r="AQ1006" s="157" t="s">
        <v>100</v>
      </c>
      <c r="AR1006" s="93">
        <v>171</v>
      </c>
    </row>
    <row r="1007" spans="1:45" ht="16.5">
      <c r="A1007" s="111">
        <v>172</v>
      </c>
      <c r="B1007" s="93" t="s">
        <v>101</v>
      </c>
      <c r="C1007" s="111">
        <v>84.62</v>
      </c>
      <c r="D1007" s="93">
        <v>5.21</v>
      </c>
      <c r="E1007" s="111">
        <v>0</v>
      </c>
      <c r="F1007" s="111">
        <v>4.0599999999999996</v>
      </c>
      <c r="G1007" s="93">
        <v>0</v>
      </c>
      <c r="H1007" s="111">
        <v>0</v>
      </c>
      <c r="I1007" s="111">
        <v>0</v>
      </c>
      <c r="J1007" s="93">
        <v>4.05</v>
      </c>
      <c r="K1007" s="93">
        <v>0</v>
      </c>
      <c r="L1007" s="111">
        <v>2.06</v>
      </c>
      <c r="M1007" s="74" t="str">
        <f t="array" ref="M1007">_xlfn.TEXTJOIN("-", TRUE, IF(C1007:L1007&gt;0, $C$2:$L$2, ""))</f>
        <v xml:space="preserve"> Ti-Al-Mo-Cr-Sn</v>
      </c>
      <c r="N1007" s="90">
        <f t="shared" si="30"/>
        <v>1000</v>
      </c>
      <c r="O1007" s="91">
        <f t="shared" si="31"/>
        <v>5</v>
      </c>
      <c r="P1007" s="93">
        <v>1</v>
      </c>
      <c r="Q1007" s="93">
        <v>0</v>
      </c>
      <c r="R1007" s="93">
        <v>918</v>
      </c>
      <c r="S1007" s="93">
        <v>60</v>
      </c>
      <c r="T1007" s="94">
        <v>800</v>
      </c>
      <c r="U1007" s="94">
        <v>4</v>
      </c>
      <c r="V1007" s="8">
        <v>1</v>
      </c>
      <c r="W1007" s="94">
        <v>620</v>
      </c>
      <c r="X1007" s="94">
        <v>8</v>
      </c>
      <c r="Y1007" s="103">
        <v>2</v>
      </c>
      <c r="Z1007" s="18" t="s">
        <v>102</v>
      </c>
      <c r="AA1007" s="9" t="s">
        <v>102</v>
      </c>
      <c r="AB1007" s="93">
        <v>1296.5</v>
      </c>
      <c r="AC1007" s="111">
        <v>1259.5</v>
      </c>
      <c r="AD1007" s="93">
        <v>10.5</v>
      </c>
      <c r="AE1007" s="9" t="s">
        <v>101</v>
      </c>
      <c r="AF1007" s="9" t="s">
        <v>102</v>
      </c>
      <c r="AG1007" s="9" t="s">
        <v>102</v>
      </c>
      <c r="AH1007" s="9" t="s">
        <v>102</v>
      </c>
      <c r="AI1007" s="9" t="s">
        <v>102</v>
      </c>
      <c r="AJ1007" s="9" t="s">
        <v>102</v>
      </c>
      <c r="AK1007" s="9" t="s">
        <v>102</v>
      </c>
      <c r="AL1007" s="9" t="s">
        <v>102</v>
      </c>
      <c r="AN1007" s="12" t="s">
        <v>101</v>
      </c>
      <c r="AO1007" s="12" t="s">
        <v>103</v>
      </c>
      <c r="AP1007" s="94">
        <v>172</v>
      </c>
      <c r="AQ1007" s="157" t="s">
        <v>100</v>
      </c>
      <c r="AR1007" s="93">
        <v>172</v>
      </c>
    </row>
    <row r="1008" spans="1:45" ht="16.5">
      <c r="A1008" s="111">
        <v>173</v>
      </c>
      <c r="B1008" s="93" t="s">
        <v>101</v>
      </c>
      <c r="C1008" s="111">
        <v>84.62</v>
      </c>
      <c r="D1008" s="93">
        <v>5.21</v>
      </c>
      <c r="E1008" s="111">
        <v>0</v>
      </c>
      <c r="F1008" s="111">
        <v>4.0599999999999996</v>
      </c>
      <c r="G1008" s="93">
        <v>0</v>
      </c>
      <c r="H1008" s="111">
        <v>0</v>
      </c>
      <c r="I1008" s="111">
        <v>0</v>
      </c>
      <c r="J1008" s="93">
        <v>4.05</v>
      </c>
      <c r="K1008" s="93">
        <v>0</v>
      </c>
      <c r="L1008" s="111">
        <v>2.06</v>
      </c>
      <c r="M1008" s="74" t="str">
        <f t="array" ref="M1008">_xlfn.TEXTJOIN("-", TRUE, IF(C1008:L1008&gt;0, $C$2:$L$2, ""))</f>
        <v xml:space="preserve"> Ti-Al-Mo-Cr-Sn</v>
      </c>
      <c r="N1008" s="90">
        <f t="shared" si="30"/>
        <v>1000</v>
      </c>
      <c r="O1008" s="91">
        <f t="shared" si="31"/>
        <v>5</v>
      </c>
      <c r="P1008" s="93">
        <v>1</v>
      </c>
      <c r="Q1008" s="93">
        <v>0</v>
      </c>
      <c r="R1008" s="93">
        <v>918</v>
      </c>
      <c r="S1008" s="93">
        <v>60</v>
      </c>
      <c r="T1008" s="94">
        <v>800</v>
      </c>
      <c r="U1008" s="94">
        <v>4</v>
      </c>
      <c r="V1008" s="8">
        <v>1</v>
      </c>
      <c r="W1008" s="94">
        <v>680</v>
      </c>
      <c r="X1008" s="94">
        <v>8</v>
      </c>
      <c r="Y1008" s="103">
        <v>2</v>
      </c>
      <c r="Z1008" s="18" t="s">
        <v>102</v>
      </c>
      <c r="AA1008" s="9" t="s">
        <v>102</v>
      </c>
      <c r="AB1008" s="93">
        <v>1176</v>
      </c>
      <c r="AC1008" s="93">
        <v>1151.5</v>
      </c>
      <c r="AD1008" s="93">
        <v>15</v>
      </c>
      <c r="AE1008" s="9" t="s">
        <v>101</v>
      </c>
      <c r="AF1008" s="9" t="s">
        <v>102</v>
      </c>
      <c r="AG1008" s="9" t="s">
        <v>102</v>
      </c>
      <c r="AH1008" s="9" t="s">
        <v>102</v>
      </c>
      <c r="AI1008" s="9" t="s">
        <v>102</v>
      </c>
      <c r="AJ1008" s="9" t="s">
        <v>102</v>
      </c>
      <c r="AK1008" s="9" t="s">
        <v>102</v>
      </c>
      <c r="AL1008" s="9" t="s">
        <v>102</v>
      </c>
      <c r="AN1008" s="12" t="s">
        <v>101</v>
      </c>
      <c r="AO1008" s="12" t="s">
        <v>103</v>
      </c>
      <c r="AP1008" s="94">
        <v>173</v>
      </c>
      <c r="AQ1008" s="157" t="s">
        <v>100</v>
      </c>
      <c r="AR1008" s="93">
        <v>173</v>
      </c>
    </row>
    <row r="1009" spans="1:44" ht="16.5">
      <c r="A1009" s="111">
        <v>317</v>
      </c>
      <c r="B1009" s="93" t="s">
        <v>101</v>
      </c>
      <c r="C1009" s="111">
        <v>91.5</v>
      </c>
      <c r="D1009" s="93">
        <v>4</v>
      </c>
      <c r="E1009" s="111">
        <v>0</v>
      </c>
      <c r="F1009" s="111">
        <v>1.5</v>
      </c>
      <c r="G1009" s="93">
        <v>2</v>
      </c>
      <c r="H1009" s="111">
        <v>0</v>
      </c>
      <c r="I1009" s="111">
        <v>0</v>
      </c>
      <c r="J1009" s="93">
        <v>0</v>
      </c>
      <c r="K1009" s="93">
        <v>1</v>
      </c>
      <c r="L1009" s="111">
        <v>0</v>
      </c>
      <c r="M1009" s="74" t="str">
        <f t="array" ref="M1009">_xlfn.TEXTJOIN("-", TRUE, IF(C1009:L1009&gt;0, $C$2:$L$2, ""))</f>
        <v xml:space="preserve"> Ti-Al-Mo-V-Fe</v>
      </c>
      <c r="N1009" s="90">
        <f t="shared" si="30"/>
        <v>1009</v>
      </c>
      <c r="O1009" s="91">
        <f t="shared" si="31"/>
        <v>5</v>
      </c>
      <c r="P1009" s="93">
        <v>1</v>
      </c>
      <c r="Q1009" s="93">
        <v>0</v>
      </c>
      <c r="R1009" s="93">
        <v>0</v>
      </c>
      <c r="S1009" s="93">
        <v>0</v>
      </c>
      <c r="T1009" s="94">
        <v>750</v>
      </c>
      <c r="U1009" s="94">
        <v>3</v>
      </c>
      <c r="V1009" s="8">
        <v>2</v>
      </c>
      <c r="W1009" s="94">
        <v>0</v>
      </c>
      <c r="X1009" s="94">
        <v>0</v>
      </c>
      <c r="Y1009" s="103">
        <v>0</v>
      </c>
      <c r="Z1009" s="18" t="s">
        <v>102</v>
      </c>
      <c r="AA1009" s="9" t="s">
        <v>102</v>
      </c>
      <c r="AB1009" s="93">
        <v>927</v>
      </c>
      <c r="AC1009" s="93">
        <v>864</v>
      </c>
      <c r="AD1009" s="93">
        <v>20</v>
      </c>
      <c r="AE1009" s="9" t="s">
        <v>101</v>
      </c>
      <c r="AF1009" s="9" t="s">
        <v>102</v>
      </c>
      <c r="AG1009" s="9" t="s">
        <v>102</v>
      </c>
      <c r="AH1009" s="9" t="s">
        <v>102</v>
      </c>
      <c r="AI1009" s="9" t="s">
        <v>102</v>
      </c>
      <c r="AJ1009" s="9" t="s">
        <v>102</v>
      </c>
      <c r="AK1009" s="9" t="s">
        <v>102</v>
      </c>
      <c r="AL1009" s="9" t="s">
        <v>102</v>
      </c>
      <c r="AN1009" s="12" t="s">
        <v>101</v>
      </c>
      <c r="AO1009" s="12" t="s">
        <v>149</v>
      </c>
      <c r="AP1009" s="94">
        <v>317</v>
      </c>
      <c r="AQ1009" s="157" t="s">
        <v>100</v>
      </c>
      <c r="AR1009" s="93">
        <v>317</v>
      </c>
    </row>
    <row r="1010" spans="1:44" ht="16.5">
      <c r="A1010" s="111">
        <v>318</v>
      </c>
      <c r="B1010" s="93" t="s">
        <v>101</v>
      </c>
      <c r="C1010" s="111">
        <v>91.5</v>
      </c>
      <c r="D1010" s="93">
        <v>4</v>
      </c>
      <c r="E1010" s="111">
        <v>0</v>
      </c>
      <c r="F1010" s="111">
        <v>1.5</v>
      </c>
      <c r="G1010" s="93">
        <v>2</v>
      </c>
      <c r="H1010" s="111">
        <v>0</v>
      </c>
      <c r="I1010" s="111">
        <v>0</v>
      </c>
      <c r="J1010" s="93">
        <v>0</v>
      </c>
      <c r="K1010" s="93">
        <v>1</v>
      </c>
      <c r="L1010" s="111">
        <v>0</v>
      </c>
      <c r="M1010" s="74" t="str">
        <f t="array" ref="M1010">_xlfn.TEXTJOIN("-", TRUE, IF(C1010:L1010&gt;0, $C$2:$L$2, ""))</f>
        <v xml:space="preserve"> Ti-Al-Mo-V-Fe</v>
      </c>
      <c r="N1010" s="90">
        <f t="shared" si="30"/>
        <v>1009</v>
      </c>
      <c r="O1010" s="91">
        <f t="shared" si="31"/>
        <v>5</v>
      </c>
      <c r="P1010" s="93">
        <v>1</v>
      </c>
      <c r="Q1010" s="93">
        <v>0</v>
      </c>
      <c r="R1010" s="93">
        <v>0</v>
      </c>
      <c r="S1010" s="93">
        <v>0</v>
      </c>
      <c r="T1010" s="94">
        <v>800</v>
      </c>
      <c r="U1010" s="94">
        <v>3</v>
      </c>
      <c r="V1010" s="8">
        <v>2</v>
      </c>
      <c r="W1010" s="94">
        <v>0</v>
      </c>
      <c r="X1010" s="94">
        <v>0</v>
      </c>
      <c r="Y1010" s="103">
        <v>0</v>
      </c>
      <c r="Z1010" s="18" t="s">
        <v>102</v>
      </c>
      <c r="AA1010" s="9" t="s">
        <v>102</v>
      </c>
      <c r="AB1010" s="93">
        <v>971</v>
      </c>
      <c r="AC1010" s="93">
        <v>896</v>
      </c>
      <c r="AD1010" s="93">
        <v>19</v>
      </c>
      <c r="AE1010" s="9" t="s">
        <v>101</v>
      </c>
      <c r="AF1010" s="9" t="s">
        <v>102</v>
      </c>
      <c r="AG1010" s="9" t="s">
        <v>102</v>
      </c>
      <c r="AH1010" s="9" t="s">
        <v>102</v>
      </c>
      <c r="AI1010" s="9" t="s">
        <v>102</v>
      </c>
      <c r="AJ1010" s="9" t="s">
        <v>102</v>
      </c>
      <c r="AK1010" s="9" t="s">
        <v>102</v>
      </c>
      <c r="AL1010" s="9" t="s">
        <v>102</v>
      </c>
      <c r="AN1010" s="12" t="s">
        <v>101</v>
      </c>
      <c r="AO1010" s="12" t="s">
        <v>149</v>
      </c>
      <c r="AP1010" s="94">
        <v>318</v>
      </c>
      <c r="AQ1010" s="157" t="s">
        <v>100</v>
      </c>
      <c r="AR1010" s="93">
        <v>318</v>
      </c>
    </row>
    <row r="1011" spans="1:44" ht="16.5">
      <c r="A1011" s="111">
        <v>319</v>
      </c>
      <c r="B1011" s="93" t="s">
        <v>101</v>
      </c>
      <c r="C1011" s="111">
        <v>91.5</v>
      </c>
      <c r="D1011" s="93">
        <v>4</v>
      </c>
      <c r="E1011" s="111">
        <v>0</v>
      </c>
      <c r="F1011" s="111">
        <v>1.5</v>
      </c>
      <c r="G1011" s="93">
        <v>2</v>
      </c>
      <c r="H1011" s="111">
        <v>0</v>
      </c>
      <c r="I1011" s="111">
        <v>0</v>
      </c>
      <c r="J1011" s="93">
        <v>0</v>
      </c>
      <c r="K1011" s="93">
        <v>1</v>
      </c>
      <c r="L1011" s="111">
        <v>0</v>
      </c>
      <c r="M1011" s="74" t="str">
        <f t="array" ref="M1011">_xlfn.TEXTJOIN("-", TRUE, IF(C1011:L1011&gt;0, $C$2:$L$2, ""))</f>
        <v xml:space="preserve"> Ti-Al-Mo-V-Fe</v>
      </c>
      <c r="N1011" s="90">
        <f t="shared" si="30"/>
        <v>1009</v>
      </c>
      <c r="O1011" s="91">
        <f t="shared" si="31"/>
        <v>5</v>
      </c>
      <c r="P1011" s="93">
        <v>1</v>
      </c>
      <c r="Q1011" s="93">
        <v>0</v>
      </c>
      <c r="R1011" s="93">
        <v>0</v>
      </c>
      <c r="S1011" s="93">
        <v>0</v>
      </c>
      <c r="T1011" s="94">
        <v>850</v>
      </c>
      <c r="U1011" s="94">
        <v>3</v>
      </c>
      <c r="V1011" s="8">
        <v>2</v>
      </c>
      <c r="W1011" s="94">
        <v>0</v>
      </c>
      <c r="X1011" s="94">
        <v>0</v>
      </c>
      <c r="Y1011" s="103">
        <v>0</v>
      </c>
      <c r="Z1011" s="18" t="s">
        <v>102</v>
      </c>
      <c r="AA1011" s="9" t="s">
        <v>102</v>
      </c>
      <c r="AB1011" s="93">
        <v>991</v>
      </c>
      <c r="AC1011" s="93">
        <v>902</v>
      </c>
      <c r="AD1011" s="93">
        <v>19.399999999999999</v>
      </c>
      <c r="AE1011" s="9" t="s">
        <v>101</v>
      </c>
      <c r="AF1011" s="9" t="s">
        <v>102</v>
      </c>
      <c r="AG1011" s="9" t="s">
        <v>102</v>
      </c>
      <c r="AH1011" s="9" t="s">
        <v>102</v>
      </c>
      <c r="AI1011" s="9" t="s">
        <v>102</v>
      </c>
      <c r="AJ1011" s="9" t="s">
        <v>102</v>
      </c>
      <c r="AK1011" s="9" t="s">
        <v>102</v>
      </c>
      <c r="AL1011" s="9" t="s">
        <v>102</v>
      </c>
      <c r="AN1011" s="12" t="s">
        <v>101</v>
      </c>
      <c r="AO1011" s="12" t="s">
        <v>149</v>
      </c>
      <c r="AP1011" s="94">
        <v>319</v>
      </c>
      <c r="AQ1011" s="157" t="s">
        <v>100</v>
      </c>
      <c r="AR1011" s="93">
        <v>319</v>
      </c>
    </row>
    <row r="1012" spans="1:44" ht="16.5">
      <c r="A1012" s="111">
        <v>320</v>
      </c>
      <c r="B1012" s="93" t="s">
        <v>101</v>
      </c>
      <c r="C1012" s="111">
        <v>91.5</v>
      </c>
      <c r="D1012" s="93">
        <v>4</v>
      </c>
      <c r="E1012" s="111">
        <v>0</v>
      </c>
      <c r="F1012" s="111">
        <v>1.5</v>
      </c>
      <c r="G1012" s="93">
        <v>2</v>
      </c>
      <c r="H1012" s="111">
        <v>0</v>
      </c>
      <c r="I1012" s="111">
        <v>0</v>
      </c>
      <c r="J1012" s="93">
        <v>0</v>
      </c>
      <c r="K1012" s="93">
        <v>1</v>
      </c>
      <c r="L1012" s="111">
        <v>0</v>
      </c>
      <c r="M1012" s="74" t="str">
        <f t="array" ref="M1012">_xlfn.TEXTJOIN("-", TRUE, IF(C1012:L1012&gt;0, $C$2:$L$2, ""))</f>
        <v xml:space="preserve"> Ti-Al-Mo-V-Fe</v>
      </c>
      <c r="N1012" s="90">
        <f t="shared" si="30"/>
        <v>1009</v>
      </c>
      <c r="O1012" s="91">
        <f t="shared" si="31"/>
        <v>5</v>
      </c>
      <c r="P1012" s="93">
        <v>1</v>
      </c>
      <c r="Q1012" s="93">
        <v>0</v>
      </c>
      <c r="R1012" s="93">
        <v>0</v>
      </c>
      <c r="S1012" s="93">
        <v>0</v>
      </c>
      <c r="T1012" s="94">
        <v>870</v>
      </c>
      <c r="U1012" s="94">
        <v>3</v>
      </c>
      <c r="V1012" s="8">
        <v>2</v>
      </c>
      <c r="W1012" s="94">
        <v>0</v>
      </c>
      <c r="X1012" s="94">
        <v>0</v>
      </c>
      <c r="Y1012" s="103">
        <v>0</v>
      </c>
      <c r="Z1012" s="18" t="s">
        <v>102</v>
      </c>
      <c r="AA1012" s="9" t="s">
        <v>102</v>
      </c>
      <c r="AB1012" s="93">
        <v>977</v>
      </c>
      <c r="AC1012" s="93">
        <v>896</v>
      </c>
      <c r="AD1012" s="93">
        <v>21</v>
      </c>
      <c r="AE1012" s="9" t="s">
        <v>101</v>
      </c>
      <c r="AF1012" s="9" t="s">
        <v>102</v>
      </c>
      <c r="AG1012" s="9" t="s">
        <v>102</v>
      </c>
      <c r="AH1012" s="9" t="s">
        <v>102</v>
      </c>
      <c r="AI1012" s="9" t="s">
        <v>102</v>
      </c>
      <c r="AJ1012" s="9" t="s">
        <v>102</v>
      </c>
      <c r="AK1012" s="9" t="s">
        <v>102</v>
      </c>
      <c r="AL1012" s="9" t="s">
        <v>102</v>
      </c>
      <c r="AN1012" s="12" t="s">
        <v>101</v>
      </c>
      <c r="AO1012" s="12" t="s">
        <v>149</v>
      </c>
      <c r="AP1012" s="94">
        <v>320</v>
      </c>
      <c r="AQ1012" s="157" t="s">
        <v>100</v>
      </c>
      <c r="AR1012" s="93">
        <v>320</v>
      </c>
    </row>
    <row r="1013" spans="1:44" ht="16.5">
      <c r="A1013" s="111">
        <v>321</v>
      </c>
      <c r="B1013" s="93" t="s">
        <v>101</v>
      </c>
      <c r="C1013" s="111">
        <v>91.5</v>
      </c>
      <c r="D1013" s="93">
        <v>4</v>
      </c>
      <c r="E1013" s="111">
        <v>0</v>
      </c>
      <c r="F1013" s="111">
        <v>1.5</v>
      </c>
      <c r="G1013" s="93">
        <v>2</v>
      </c>
      <c r="H1013" s="111">
        <v>0</v>
      </c>
      <c r="I1013" s="111">
        <v>0</v>
      </c>
      <c r="J1013" s="93">
        <v>0</v>
      </c>
      <c r="K1013" s="93">
        <v>1</v>
      </c>
      <c r="L1013" s="111">
        <v>0</v>
      </c>
      <c r="M1013" s="74" t="str">
        <f t="array" ref="M1013">_xlfn.TEXTJOIN("-", TRUE, IF(C1013:L1013&gt;0, $C$2:$L$2, ""))</f>
        <v xml:space="preserve"> Ti-Al-Mo-V-Fe</v>
      </c>
      <c r="N1013" s="90">
        <f t="shared" si="30"/>
        <v>1009</v>
      </c>
      <c r="O1013" s="91">
        <f t="shared" si="31"/>
        <v>5</v>
      </c>
      <c r="P1013" s="93">
        <v>1</v>
      </c>
      <c r="Q1013" s="93">
        <v>0</v>
      </c>
      <c r="R1013" s="93">
        <v>0</v>
      </c>
      <c r="S1013" s="93">
        <v>0</v>
      </c>
      <c r="T1013" s="94">
        <v>900</v>
      </c>
      <c r="U1013" s="94">
        <v>3</v>
      </c>
      <c r="V1013" s="8">
        <v>2</v>
      </c>
      <c r="W1013" s="94">
        <v>0</v>
      </c>
      <c r="X1013" s="94">
        <v>0</v>
      </c>
      <c r="Y1013" s="103">
        <v>0</v>
      </c>
      <c r="Z1013" s="18" t="s">
        <v>102</v>
      </c>
      <c r="AA1013" s="9" t="s">
        <v>102</v>
      </c>
      <c r="AB1013" s="93">
        <v>998</v>
      </c>
      <c r="AC1013" s="93">
        <v>897</v>
      </c>
      <c r="AD1013" s="93">
        <v>11.1</v>
      </c>
      <c r="AE1013" s="9" t="s">
        <v>101</v>
      </c>
      <c r="AF1013" s="9" t="s">
        <v>102</v>
      </c>
      <c r="AG1013" s="9" t="s">
        <v>102</v>
      </c>
      <c r="AH1013" s="9" t="s">
        <v>102</v>
      </c>
      <c r="AI1013" s="9" t="s">
        <v>102</v>
      </c>
      <c r="AJ1013" s="9" t="s">
        <v>102</v>
      </c>
      <c r="AK1013" s="9" t="s">
        <v>102</v>
      </c>
      <c r="AL1013" s="9" t="s">
        <v>102</v>
      </c>
      <c r="AN1013" s="12" t="s">
        <v>101</v>
      </c>
      <c r="AO1013" s="12" t="s">
        <v>149</v>
      </c>
      <c r="AP1013" s="94">
        <v>321</v>
      </c>
      <c r="AQ1013" s="157" t="s">
        <v>100</v>
      </c>
      <c r="AR1013" s="93">
        <v>321</v>
      </c>
    </row>
    <row r="1014" spans="1:44" ht="16.5">
      <c r="A1014" s="111">
        <v>322</v>
      </c>
      <c r="B1014" s="93" t="s">
        <v>101</v>
      </c>
      <c r="C1014" s="111">
        <v>91.5</v>
      </c>
      <c r="D1014" s="93">
        <v>4</v>
      </c>
      <c r="E1014" s="111">
        <v>0</v>
      </c>
      <c r="F1014" s="111">
        <v>1.5</v>
      </c>
      <c r="G1014" s="93">
        <v>2</v>
      </c>
      <c r="H1014" s="111">
        <v>0</v>
      </c>
      <c r="I1014" s="111">
        <v>0</v>
      </c>
      <c r="J1014" s="93">
        <v>0</v>
      </c>
      <c r="K1014" s="93">
        <v>1</v>
      </c>
      <c r="L1014" s="111">
        <v>0</v>
      </c>
      <c r="M1014" s="74" t="str">
        <f t="array" ref="M1014">_xlfn.TEXTJOIN("-", TRUE, IF(C1014:L1014&gt;0, $C$2:$L$2, ""))</f>
        <v xml:space="preserve"> Ti-Al-Mo-V-Fe</v>
      </c>
      <c r="N1014" s="90">
        <f t="shared" si="30"/>
        <v>1009</v>
      </c>
      <c r="O1014" s="91">
        <f t="shared" si="31"/>
        <v>5</v>
      </c>
      <c r="P1014" s="93">
        <v>1</v>
      </c>
      <c r="Q1014" s="93">
        <v>0</v>
      </c>
      <c r="R1014" s="93">
        <v>0</v>
      </c>
      <c r="S1014" s="93">
        <v>0</v>
      </c>
      <c r="T1014" s="94">
        <v>850</v>
      </c>
      <c r="U1014" s="94">
        <v>3</v>
      </c>
      <c r="V1014" s="8">
        <v>3</v>
      </c>
      <c r="W1014" s="94">
        <v>0</v>
      </c>
      <c r="X1014" s="94">
        <v>0</v>
      </c>
      <c r="Y1014" s="103">
        <v>0</v>
      </c>
      <c r="Z1014" s="18" t="s">
        <v>102</v>
      </c>
      <c r="AA1014" s="9" t="s">
        <v>102</v>
      </c>
      <c r="AB1014" s="93">
        <v>909</v>
      </c>
      <c r="AC1014" s="93">
        <v>855</v>
      </c>
      <c r="AD1014" s="93">
        <v>23</v>
      </c>
      <c r="AE1014" s="9" t="s">
        <v>101</v>
      </c>
      <c r="AF1014" s="9" t="s">
        <v>102</v>
      </c>
      <c r="AG1014" s="9" t="s">
        <v>102</v>
      </c>
      <c r="AH1014" s="9" t="s">
        <v>102</v>
      </c>
      <c r="AI1014" s="9" t="s">
        <v>102</v>
      </c>
      <c r="AJ1014" s="9" t="s">
        <v>102</v>
      </c>
      <c r="AK1014" s="9" t="s">
        <v>102</v>
      </c>
      <c r="AL1014" s="9" t="s">
        <v>102</v>
      </c>
      <c r="AN1014" s="12" t="s">
        <v>101</v>
      </c>
      <c r="AO1014" s="12" t="s">
        <v>149</v>
      </c>
      <c r="AP1014" s="94">
        <v>322</v>
      </c>
      <c r="AQ1014" s="157" t="s">
        <v>100</v>
      </c>
      <c r="AR1014" s="93">
        <v>322</v>
      </c>
    </row>
    <row r="1015" spans="1:44" ht="16.5">
      <c r="A1015" s="111">
        <v>323</v>
      </c>
      <c r="B1015" s="93" t="s">
        <v>101</v>
      </c>
      <c r="C1015" s="111">
        <v>91.5</v>
      </c>
      <c r="D1015" s="93">
        <v>4</v>
      </c>
      <c r="E1015" s="111">
        <v>0</v>
      </c>
      <c r="F1015" s="111">
        <v>1.5</v>
      </c>
      <c r="G1015" s="93">
        <v>2</v>
      </c>
      <c r="H1015" s="111">
        <v>0</v>
      </c>
      <c r="I1015" s="111">
        <v>0</v>
      </c>
      <c r="J1015" s="93">
        <v>0</v>
      </c>
      <c r="K1015" s="93">
        <v>1</v>
      </c>
      <c r="L1015" s="111">
        <v>0</v>
      </c>
      <c r="M1015" s="74" t="str">
        <f t="array" ref="M1015">_xlfn.TEXTJOIN("-", TRUE, IF(C1015:L1015&gt;0, $C$2:$L$2, ""))</f>
        <v xml:space="preserve"> Ti-Al-Mo-V-Fe</v>
      </c>
      <c r="N1015" s="90">
        <f t="shared" si="30"/>
        <v>1009</v>
      </c>
      <c r="O1015" s="91">
        <f t="shared" si="31"/>
        <v>5</v>
      </c>
      <c r="P1015" s="93">
        <v>1</v>
      </c>
      <c r="Q1015" s="93">
        <v>0</v>
      </c>
      <c r="R1015" s="93">
        <v>0</v>
      </c>
      <c r="S1015" s="93">
        <v>0</v>
      </c>
      <c r="T1015" s="94">
        <v>870</v>
      </c>
      <c r="U1015" s="94">
        <v>3</v>
      </c>
      <c r="V1015" s="8">
        <v>3</v>
      </c>
      <c r="W1015" s="94">
        <v>0</v>
      </c>
      <c r="X1015" s="94">
        <v>0</v>
      </c>
      <c r="Y1015" s="103">
        <v>0</v>
      </c>
      <c r="Z1015" s="18" t="s">
        <v>102</v>
      </c>
      <c r="AA1015" s="9" t="s">
        <v>102</v>
      </c>
      <c r="AB1015" s="93">
        <v>911</v>
      </c>
      <c r="AC1015" s="93">
        <v>849</v>
      </c>
      <c r="AD1015" s="93">
        <v>23</v>
      </c>
      <c r="AE1015" s="9" t="s">
        <v>101</v>
      </c>
      <c r="AF1015" s="9" t="s">
        <v>102</v>
      </c>
      <c r="AG1015" s="9" t="s">
        <v>102</v>
      </c>
      <c r="AH1015" s="9" t="s">
        <v>102</v>
      </c>
      <c r="AI1015" s="9" t="s">
        <v>102</v>
      </c>
      <c r="AJ1015" s="9" t="s">
        <v>102</v>
      </c>
      <c r="AK1015" s="9" t="s">
        <v>102</v>
      </c>
      <c r="AL1015" s="9" t="s">
        <v>102</v>
      </c>
      <c r="AN1015" s="12" t="s">
        <v>101</v>
      </c>
      <c r="AO1015" s="12" t="s">
        <v>149</v>
      </c>
      <c r="AP1015" s="94">
        <v>323</v>
      </c>
      <c r="AQ1015" s="157" t="s">
        <v>100</v>
      </c>
      <c r="AR1015" s="93">
        <v>323</v>
      </c>
    </row>
    <row r="1016" spans="1:44" ht="16.5">
      <c r="A1016" s="111">
        <v>324</v>
      </c>
      <c r="B1016" s="93" t="s">
        <v>101</v>
      </c>
      <c r="C1016" s="111">
        <v>91.5</v>
      </c>
      <c r="D1016" s="93">
        <v>4</v>
      </c>
      <c r="E1016" s="111">
        <v>0</v>
      </c>
      <c r="F1016" s="111">
        <v>1.5</v>
      </c>
      <c r="G1016" s="93">
        <v>2</v>
      </c>
      <c r="H1016" s="111">
        <v>0</v>
      </c>
      <c r="I1016" s="111">
        <v>0</v>
      </c>
      <c r="J1016" s="93">
        <v>0</v>
      </c>
      <c r="K1016" s="93">
        <v>1</v>
      </c>
      <c r="L1016" s="111">
        <v>0</v>
      </c>
      <c r="M1016" s="74" t="str">
        <f t="array" ref="M1016">_xlfn.TEXTJOIN("-", TRUE, IF(C1016:L1016&gt;0, $C$2:$L$2, ""))</f>
        <v xml:space="preserve"> Ti-Al-Mo-V-Fe</v>
      </c>
      <c r="N1016" s="90">
        <f t="shared" si="30"/>
        <v>1009</v>
      </c>
      <c r="O1016" s="91">
        <f t="shared" si="31"/>
        <v>5</v>
      </c>
      <c r="P1016" s="93">
        <v>1</v>
      </c>
      <c r="Q1016" s="93">
        <v>0</v>
      </c>
      <c r="R1016" s="93">
        <v>0</v>
      </c>
      <c r="S1016" s="93">
        <v>0</v>
      </c>
      <c r="T1016" s="94">
        <v>980</v>
      </c>
      <c r="U1016" s="94">
        <v>3</v>
      </c>
      <c r="V1016" s="8">
        <v>3</v>
      </c>
      <c r="W1016" s="94">
        <v>0</v>
      </c>
      <c r="X1016" s="94">
        <v>0</v>
      </c>
      <c r="Y1016" s="103">
        <v>0</v>
      </c>
      <c r="Z1016" s="18" t="s">
        <v>102</v>
      </c>
      <c r="AA1016" s="9" t="s">
        <v>102</v>
      </c>
      <c r="AB1016" s="93">
        <v>906</v>
      </c>
      <c r="AC1016" s="93">
        <v>819</v>
      </c>
      <c r="AD1016" s="93">
        <v>10.5</v>
      </c>
      <c r="AE1016" s="9" t="s">
        <v>101</v>
      </c>
      <c r="AF1016" s="9" t="s">
        <v>102</v>
      </c>
      <c r="AG1016" s="9" t="s">
        <v>102</v>
      </c>
      <c r="AH1016" s="9" t="s">
        <v>102</v>
      </c>
      <c r="AI1016" s="9" t="s">
        <v>102</v>
      </c>
      <c r="AJ1016" s="9" t="s">
        <v>102</v>
      </c>
      <c r="AK1016" s="9" t="s">
        <v>102</v>
      </c>
      <c r="AL1016" s="9" t="s">
        <v>102</v>
      </c>
      <c r="AN1016" s="12" t="s">
        <v>101</v>
      </c>
      <c r="AO1016" s="12" t="s">
        <v>149</v>
      </c>
      <c r="AP1016" s="94">
        <v>324</v>
      </c>
      <c r="AQ1016" s="157" t="s">
        <v>100</v>
      </c>
      <c r="AR1016" s="93">
        <v>324</v>
      </c>
    </row>
    <row r="1017" spans="1:44" ht="16.5">
      <c r="A1017" s="111">
        <v>325</v>
      </c>
      <c r="B1017" s="93" t="s">
        <v>101</v>
      </c>
      <c r="C1017" s="111">
        <v>92.5</v>
      </c>
      <c r="D1017" s="93">
        <v>4</v>
      </c>
      <c r="E1017" s="111">
        <v>0</v>
      </c>
      <c r="F1017" s="111">
        <v>0.5</v>
      </c>
      <c r="G1017" s="93">
        <v>2</v>
      </c>
      <c r="H1017" s="111">
        <v>0</v>
      </c>
      <c r="I1017" s="111">
        <v>0</v>
      </c>
      <c r="J1017" s="93">
        <v>0</v>
      </c>
      <c r="K1017" s="93">
        <v>1</v>
      </c>
      <c r="L1017" s="111">
        <v>0</v>
      </c>
      <c r="M1017" s="74" t="str">
        <f t="array" ref="M1017">_xlfn.TEXTJOIN("-", TRUE, IF(C1017:L1017&gt;0, $C$2:$L$2, ""))</f>
        <v xml:space="preserve"> Ti-Al-Mo-V-Fe</v>
      </c>
      <c r="N1017" s="90">
        <f t="shared" si="30"/>
        <v>1009</v>
      </c>
      <c r="O1017" s="91">
        <f t="shared" si="31"/>
        <v>5</v>
      </c>
      <c r="P1017" s="93">
        <v>1</v>
      </c>
      <c r="Q1017" s="93">
        <v>0</v>
      </c>
      <c r="R1017" s="93">
        <v>0</v>
      </c>
      <c r="S1017" s="93">
        <v>0</v>
      </c>
      <c r="T1017" s="94">
        <v>750</v>
      </c>
      <c r="U1017" s="94">
        <v>3</v>
      </c>
      <c r="V1017" s="8">
        <v>2</v>
      </c>
      <c r="W1017" s="94">
        <v>0</v>
      </c>
      <c r="X1017" s="94">
        <v>0</v>
      </c>
      <c r="Y1017" s="103">
        <v>0</v>
      </c>
      <c r="Z1017" s="18" t="s">
        <v>102</v>
      </c>
      <c r="AA1017" s="9" t="s">
        <v>102</v>
      </c>
      <c r="AB1017" s="9" t="s">
        <v>101</v>
      </c>
      <c r="AC1017" s="93">
        <v>863.15599999999995</v>
      </c>
      <c r="AD1017" s="93">
        <v>18.286000000000001</v>
      </c>
      <c r="AE1017" s="9" t="s">
        <v>101</v>
      </c>
      <c r="AF1017" s="9" t="s">
        <v>102</v>
      </c>
      <c r="AG1017" s="9" t="s">
        <v>102</v>
      </c>
      <c r="AH1017" s="9" t="s">
        <v>102</v>
      </c>
      <c r="AI1017" s="9" t="s">
        <v>102</v>
      </c>
      <c r="AJ1017" s="9" t="s">
        <v>102</v>
      </c>
      <c r="AK1017" s="9" t="s">
        <v>102</v>
      </c>
      <c r="AL1017" s="9" t="s">
        <v>102</v>
      </c>
      <c r="AN1017" s="12" t="s">
        <v>101</v>
      </c>
      <c r="AO1017" s="12" t="s">
        <v>149</v>
      </c>
      <c r="AP1017" s="94">
        <v>325</v>
      </c>
      <c r="AQ1017" s="157" t="s">
        <v>100</v>
      </c>
      <c r="AR1017" s="93">
        <v>325</v>
      </c>
    </row>
    <row r="1018" spans="1:44" ht="16.5">
      <c r="A1018" s="111">
        <v>326</v>
      </c>
      <c r="B1018" s="93" t="s">
        <v>101</v>
      </c>
      <c r="C1018" s="111">
        <v>92.5</v>
      </c>
      <c r="D1018" s="93">
        <v>4</v>
      </c>
      <c r="E1018" s="111">
        <v>0</v>
      </c>
      <c r="F1018" s="111">
        <v>0.5</v>
      </c>
      <c r="G1018" s="93">
        <v>2</v>
      </c>
      <c r="H1018" s="111">
        <v>0</v>
      </c>
      <c r="I1018" s="111">
        <v>0</v>
      </c>
      <c r="J1018" s="93">
        <v>0</v>
      </c>
      <c r="K1018" s="93">
        <v>1</v>
      </c>
      <c r="L1018" s="111">
        <v>0</v>
      </c>
      <c r="M1018" s="74" t="str">
        <f t="array" ref="M1018">_xlfn.TEXTJOIN("-", TRUE, IF(C1018:L1018&gt;0, $C$2:$L$2, ""))</f>
        <v xml:space="preserve"> Ti-Al-Mo-V-Fe</v>
      </c>
      <c r="N1018" s="90">
        <f t="shared" si="30"/>
        <v>1009</v>
      </c>
      <c r="O1018" s="91">
        <f t="shared" si="31"/>
        <v>5</v>
      </c>
      <c r="P1018" s="93">
        <v>1</v>
      </c>
      <c r="Q1018" s="93">
        <v>0</v>
      </c>
      <c r="R1018" s="93">
        <v>0</v>
      </c>
      <c r="S1018" s="93">
        <v>0</v>
      </c>
      <c r="T1018" s="94">
        <v>800</v>
      </c>
      <c r="U1018" s="94">
        <v>3</v>
      </c>
      <c r="V1018" s="8">
        <v>2</v>
      </c>
      <c r="W1018" s="94">
        <v>0</v>
      </c>
      <c r="X1018" s="94">
        <v>0</v>
      </c>
      <c r="Y1018" s="103">
        <v>0</v>
      </c>
      <c r="Z1018" s="18" t="s">
        <v>102</v>
      </c>
      <c r="AA1018" s="9" t="s">
        <v>102</v>
      </c>
      <c r="AB1018" s="9" t="s">
        <v>101</v>
      </c>
      <c r="AC1018" s="93">
        <v>858.43299999999999</v>
      </c>
      <c r="AD1018" s="9" t="s">
        <v>101</v>
      </c>
      <c r="AE1018" s="9" t="s">
        <v>101</v>
      </c>
      <c r="AF1018" s="9" t="s">
        <v>102</v>
      </c>
      <c r="AG1018" s="9" t="s">
        <v>102</v>
      </c>
      <c r="AH1018" s="9" t="s">
        <v>102</v>
      </c>
      <c r="AI1018" s="9" t="s">
        <v>102</v>
      </c>
      <c r="AJ1018" s="9" t="s">
        <v>102</v>
      </c>
      <c r="AK1018" s="9" t="s">
        <v>102</v>
      </c>
      <c r="AL1018" s="9" t="s">
        <v>102</v>
      </c>
      <c r="AN1018" s="12" t="s">
        <v>101</v>
      </c>
      <c r="AO1018" s="12" t="s">
        <v>149</v>
      </c>
      <c r="AP1018" s="94">
        <v>326</v>
      </c>
      <c r="AQ1018" s="157" t="s">
        <v>100</v>
      </c>
      <c r="AR1018" s="93">
        <v>326</v>
      </c>
    </row>
    <row r="1019" spans="1:44" ht="16.5">
      <c r="A1019" s="111">
        <v>327</v>
      </c>
      <c r="B1019" s="93" t="s">
        <v>101</v>
      </c>
      <c r="C1019" s="111">
        <v>92.5</v>
      </c>
      <c r="D1019" s="93">
        <v>4</v>
      </c>
      <c r="E1019" s="111">
        <v>0</v>
      </c>
      <c r="F1019" s="111">
        <v>0.5</v>
      </c>
      <c r="G1019" s="93">
        <v>2</v>
      </c>
      <c r="H1019" s="111">
        <v>0</v>
      </c>
      <c r="I1019" s="111">
        <v>0</v>
      </c>
      <c r="J1019" s="93">
        <v>0</v>
      </c>
      <c r="K1019" s="93">
        <v>1</v>
      </c>
      <c r="L1019" s="111">
        <v>0</v>
      </c>
      <c r="M1019" s="74" t="str">
        <f t="array" ref="M1019">_xlfn.TEXTJOIN("-", TRUE, IF(C1019:L1019&gt;0, $C$2:$L$2, ""))</f>
        <v xml:space="preserve"> Ti-Al-Mo-V-Fe</v>
      </c>
      <c r="N1019" s="90">
        <f t="shared" si="30"/>
        <v>1009</v>
      </c>
      <c r="O1019" s="91">
        <f t="shared" si="31"/>
        <v>5</v>
      </c>
      <c r="P1019" s="93">
        <v>1</v>
      </c>
      <c r="Q1019" s="93">
        <v>0</v>
      </c>
      <c r="R1019" s="93">
        <v>0</v>
      </c>
      <c r="S1019" s="93">
        <v>0</v>
      </c>
      <c r="T1019" s="94">
        <v>850</v>
      </c>
      <c r="U1019" s="94">
        <v>3</v>
      </c>
      <c r="V1019" s="8">
        <v>2</v>
      </c>
      <c r="W1019" s="94">
        <v>0</v>
      </c>
      <c r="X1019" s="94">
        <v>0</v>
      </c>
      <c r="Y1019" s="103">
        <v>0</v>
      </c>
      <c r="Z1019" s="18" t="s">
        <v>102</v>
      </c>
      <c r="AA1019" s="9" t="s">
        <v>102</v>
      </c>
      <c r="AB1019" s="9" t="s">
        <v>101</v>
      </c>
      <c r="AC1019" s="93">
        <v>845.18600000000004</v>
      </c>
      <c r="AD1019" s="9" t="s">
        <v>101</v>
      </c>
      <c r="AE1019" s="9" t="s">
        <v>101</v>
      </c>
      <c r="AF1019" s="9" t="s">
        <v>102</v>
      </c>
      <c r="AG1019" s="9" t="s">
        <v>102</v>
      </c>
      <c r="AH1019" s="9" t="s">
        <v>102</v>
      </c>
      <c r="AI1019" s="9" t="s">
        <v>102</v>
      </c>
      <c r="AJ1019" s="9" t="s">
        <v>102</v>
      </c>
      <c r="AK1019" s="9" t="s">
        <v>102</v>
      </c>
      <c r="AL1019" s="9" t="s">
        <v>102</v>
      </c>
      <c r="AN1019" s="12" t="s">
        <v>101</v>
      </c>
      <c r="AO1019" s="12" t="s">
        <v>149</v>
      </c>
      <c r="AP1019" s="94">
        <v>327</v>
      </c>
      <c r="AQ1019" s="157" t="s">
        <v>100</v>
      </c>
      <c r="AR1019" s="93">
        <v>327</v>
      </c>
    </row>
    <row r="1020" spans="1:44" ht="16.5">
      <c r="A1020" s="111">
        <v>328</v>
      </c>
      <c r="B1020" s="93" t="s">
        <v>101</v>
      </c>
      <c r="C1020" s="111">
        <v>92</v>
      </c>
      <c r="D1020" s="93">
        <v>4</v>
      </c>
      <c r="E1020" s="111">
        <v>0</v>
      </c>
      <c r="F1020" s="111">
        <v>1</v>
      </c>
      <c r="G1020" s="93">
        <v>2</v>
      </c>
      <c r="H1020" s="111">
        <v>0</v>
      </c>
      <c r="I1020" s="111">
        <v>0</v>
      </c>
      <c r="J1020" s="93">
        <v>0</v>
      </c>
      <c r="K1020" s="93">
        <v>1</v>
      </c>
      <c r="L1020" s="111">
        <v>0</v>
      </c>
      <c r="M1020" s="74" t="str">
        <f t="array" ref="M1020">_xlfn.TEXTJOIN("-", TRUE, IF(C1020:L1020&gt;0, $C$2:$L$2, ""))</f>
        <v xml:space="preserve"> Ti-Al-Mo-V-Fe</v>
      </c>
      <c r="N1020" s="90">
        <f t="shared" si="30"/>
        <v>1009</v>
      </c>
      <c r="O1020" s="91">
        <f t="shared" si="31"/>
        <v>5</v>
      </c>
      <c r="P1020" s="93">
        <v>1</v>
      </c>
      <c r="Q1020" s="93">
        <v>0</v>
      </c>
      <c r="R1020" s="93">
        <v>0</v>
      </c>
      <c r="S1020" s="93">
        <v>0</v>
      </c>
      <c r="T1020" s="94">
        <v>750</v>
      </c>
      <c r="U1020" s="94">
        <v>3</v>
      </c>
      <c r="V1020" s="8">
        <v>2</v>
      </c>
      <c r="W1020" s="94">
        <v>0</v>
      </c>
      <c r="X1020" s="94">
        <v>0</v>
      </c>
      <c r="Y1020" s="103">
        <v>0</v>
      </c>
      <c r="Z1020" s="18" t="s">
        <v>102</v>
      </c>
      <c r="AA1020" s="9" t="s">
        <v>102</v>
      </c>
      <c r="AB1020" s="9" t="s">
        <v>101</v>
      </c>
      <c r="AC1020" s="93">
        <v>863.524</v>
      </c>
      <c r="AD1020" s="93">
        <v>20.226099999999999</v>
      </c>
      <c r="AE1020" s="9" t="s">
        <v>101</v>
      </c>
      <c r="AF1020" s="9" t="s">
        <v>102</v>
      </c>
      <c r="AG1020" s="9" t="s">
        <v>102</v>
      </c>
      <c r="AH1020" s="9" t="s">
        <v>102</v>
      </c>
      <c r="AI1020" s="9" t="s">
        <v>102</v>
      </c>
      <c r="AJ1020" s="9" t="s">
        <v>102</v>
      </c>
      <c r="AK1020" s="9" t="s">
        <v>102</v>
      </c>
      <c r="AL1020" s="9" t="s">
        <v>102</v>
      </c>
      <c r="AN1020" s="12" t="s">
        <v>101</v>
      </c>
      <c r="AO1020" s="12" t="s">
        <v>149</v>
      </c>
      <c r="AP1020" s="94">
        <v>328</v>
      </c>
      <c r="AQ1020" s="157" t="s">
        <v>100</v>
      </c>
      <c r="AR1020" s="93">
        <v>328</v>
      </c>
    </row>
    <row r="1021" spans="1:44" ht="16.5">
      <c r="A1021" s="111">
        <v>329</v>
      </c>
      <c r="B1021" s="93" t="s">
        <v>101</v>
      </c>
      <c r="C1021" s="111">
        <v>92</v>
      </c>
      <c r="D1021" s="93">
        <v>4</v>
      </c>
      <c r="E1021" s="111">
        <v>0</v>
      </c>
      <c r="F1021" s="111">
        <v>1</v>
      </c>
      <c r="G1021" s="93">
        <v>2</v>
      </c>
      <c r="H1021" s="111">
        <v>0</v>
      </c>
      <c r="I1021" s="111">
        <v>0</v>
      </c>
      <c r="J1021" s="93">
        <v>0</v>
      </c>
      <c r="K1021" s="93">
        <v>1</v>
      </c>
      <c r="L1021" s="111">
        <v>0</v>
      </c>
      <c r="M1021" s="74" t="str">
        <f t="array" ref="M1021">_xlfn.TEXTJOIN("-", TRUE, IF(C1021:L1021&gt;0, $C$2:$L$2, ""))</f>
        <v xml:space="preserve"> Ti-Al-Mo-V-Fe</v>
      </c>
      <c r="N1021" s="90">
        <f t="shared" si="30"/>
        <v>1009</v>
      </c>
      <c r="O1021" s="91">
        <f t="shared" si="31"/>
        <v>5</v>
      </c>
      <c r="P1021" s="93">
        <v>1</v>
      </c>
      <c r="Q1021" s="93">
        <v>0</v>
      </c>
      <c r="R1021" s="93">
        <v>0</v>
      </c>
      <c r="S1021" s="93">
        <v>0</v>
      </c>
      <c r="T1021" s="94">
        <v>800</v>
      </c>
      <c r="U1021" s="94">
        <v>3</v>
      </c>
      <c r="V1021" s="8">
        <v>2</v>
      </c>
      <c r="W1021" s="94">
        <v>0</v>
      </c>
      <c r="X1021" s="94">
        <v>0</v>
      </c>
      <c r="Y1021" s="103">
        <v>0</v>
      </c>
      <c r="Z1021" s="18" t="s">
        <v>102</v>
      </c>
      <c r="AA1021" s="9" t="s">
        <v>102</v>
      </c>
      <c r="AB1021" s="9" t="s">
        <v>101</v>
      </c>
      <c r="AC1021" s="93">
        <v>872.68399999999997</v>
      </c>
      <c r="AD1021" s="9" t="s">
        <v>101</v>
      </c>
      <c r="AE1021" s="9" t="s">
        <v>101</v>
      </c>
      <c r="AF1021" s="9" t="s">
        <v>102</v>
      </c>
      <c r="AG1021" s="9" t="s">
        <v>102</v>
      </c>
      <c r="AH1021" s="9" t="s">
        <v>102</v>
      </c>
      <c r="AI1021" s="9" t="s">
        <v>102</v>
      </c>
      <c r="AJ1021" s="9" t="s">
        <v>102</v>
      </c>
      <c r="AK1021" s="9" t="s">
        <v>102</v>
      </c>
      <c r="AL1021" s="9" t="s">
        <v>102</v>
      </c>
      <c r="AN1021" s="12" t="s">
        <v>101</v>
      </c>
      <c r="AO1021" s="12" t="s">
        <v>149</v>
      </c>
      <c r="AP1021" s="94">
        <v>329</v>
      </c>
      <c r="AQ1021" s="157" t="s">
        <v>100</v>
      </c>
      <c r="AR1021" s="93">
        <v>329</v>
      </c>
    </row>
    <row r="1022" spans="1:44" ht="16.5">
      <c r="A1022" s="111">
        <v>330</v>
      </c>
      <c r="B1022" s="93" t="s">
        <v>101</v>
      </c>
      <c r="C1022" s="111">
        <v>92</v>
      </c>
      <c r="D1022" s="93">
        <v>4</v>
      </c>
      <c r="E1022" s="111">
        <v>0</v>
      </c>
      <c r="F1022" s="111">
        <v>1</v>
      </c>
      <c r="G1022" s="93">
        <v>2</v>
      </c>
      <c r="H1022" s="111">
        <v>0</v>
      </c>
      <c r="I1022" s="111">
        <v>0</v>
      </c>
      <c r="J1022" s="93">
        <v>0</v>
      </c>
      <c r="K1022" s="93">
        <v>1</v>
      </c>
      <c r="L1022" s="111">
        <v>0</v>
      </c>
      <c r="M1022" s="74" t="str">
        <f t="array" ref="M1022">_xlfn.TEXTJOIN("-", TRUE, IF(C1022:L1022&gt;0, $C$2:$L$2, ""))</f>
        <v xml:space="preserve"> Ti-Al-Mo-V-Fe</v>
      </c>
      <c r="N1022" s="90">
        <f t="shared" si="30"/>
        <v>1009</v>
      </c>
      <c r="O1022" s="91">
        <f t="shared" si="31"/>
        <v>5</v>
      </c>
      <c r="P1022" s="93">
        <v>1</v>
      </c>
      <c r="Q1022" s="93">
        <v>0</v>
      </c>
      <c r="R1022" s="93">
        <v>0</v>
      </c>
      <c r="S1022" s="93">
        <v>0</v>
      </c>
      <c r="T1022" s="94">
        <v>850</v>
      </c>
      <c r="U1022" s="94">
        <v>3</v>
      </c>
      <c r="V1022" s="8">
        <v>2</v>
      </c>
      <c r="W1022" s="94">
        <v>0</v>
      </c>
      <c r="X1022" s="94">
        <v>0</v>
      </c>
      <c r="Y1022" s="103">
        <v>0</v>
      </c>
      <c r="Z1022" s="18" t="s">
        <v>102</v>
      </c>
      <c r="AA1022" s="9" t="s">
        <v>102</v>
      </c>
      <c r="AB1022" s="9" t="s">
        <v>101</v>
      </c>
      <c r="AC1022" s="93">
        <v>862.91300000000001</v>
      </c>
      <c r="AD1022" s="9" t="s">
        <v>101</v>
      </c>
      <c r="AE1022" s="9" t="s">
        <v>101</v>
      </c>
      <c r="AF1022" s="9" t="s">
        <v>102</v>
      </c>
      <c r="AG1022" s="9" t="s">
        <v>102</v>
      </c>
      <c r="AH1022" s="9" t="s">
        <v>102</v>
      </c>
      <c r="AI1022" s="9" t="s">
        <v>102</v>
      </c>
      <c r="AJ1022" s="9" t="s">
        <v>102</v>
      </c>
      <c r="AK1022" s="9" t="s">
        <v>102</v>
      </c>
      <c r="AL1022" s="9" t="s">
        <v>102</v>
      </c>
      <c r="AN1022" s="12" t="s">
        <v>101</v>
      </c>
      <c r="AO1022" s="12" t="s">
        <v>149</v>
      </c>
      <c r="AP1022" s="94">
        <v>330</v>
      </c>
      <c r="AQ1022" s="157" t="s">
        <v>100</v>
      </c>
      <c r="AR1022" s="93">
        <v>330</v>
      </c>
    </row>
    <row r="1023" spans="1:44" ht="16.5">
      <c r="A1023" s="18">
        <v>46</v>
      </c>
      <c r="C1023" s="18">
        <v>84.5</v>
      </c>
      <c r="D1023">
        <v>0</v>
      </c>
      <c r="E1023" s="18">
        <v>0</v>
      </c>
      <c r="F1023" s="18">
        <v>2</v>
      </c>
      <c r="G1023" s="9">
        <v>0</v>
      </c>
      <c r="H1023" s="18">
        <v>2.5</v>
      </c>
      <c r="I1023" s="18">
        <v>10</v>
      </c>
      <c r="J1023" s="9">
        <v>0</v>
      </c>
      <c r="K1023" s="9">
        <v>0</v>
      </c>
      <c r="L1023" s="18">
        <v>1</v>
      </c>
      <c r="M1023" s="74" t="str">
        <f t="array" ref="M1023">_xlfn.TEXTJOIN("-", TRUE, IF(C1023:L1023&gt;0, $C$2:$L$2, ""))</f>
        <v xml:space="preserve"> Ti-Mo-Ta-Nb-Sn</v>
      </c>
      <c r="N1023" s="90">
        <f t="shared" si="30"/>
        <v>1023</v>
      </c>
      <c r="O1023" s="91">
        <f t="shared" si="31"/>
        <v>5</v>
      </c>
      <c r="Z1023" s="18">
        <v>76</v>
      </c>
      <c r="AQ1023" s="157" t="s">
        <v>382</v>
      </c>
    </row>
    <row r="1024" spans="1:44" ht="16.5">
      <c r="A1024" s="18">
        <v>47</v>
      </c>
      <c r="C1024" s="18">
        <v>82.5</v>
      </c>
      <c r="D1024">
        <v>0</v>
      </c>
      <c r="E1024" s="18">
        <v>0</v>
      </c>
      <c r="F1024" s="18">
        <v>3</v>
      </c>
      <c r="G1024" s="9">
        <v>0</v>
      </c>
      <c r="H1024" s="18">
        <v>3</v>
      </c>
      <c r="I1024" s="18">
        <v>10.5</v>
      </c>
      <c r="J1024" s="9">
        <v>0</v>
      </c>
      <c r="K1024" s="9">
        <v>0</v>
      </c>
      <c r="L1024" s="18">
        <v>1</v>
      </c>
      <c r="M1024" s="74" t="str">
        <f t="array" ref="M1024">_xlfn.TEXTJOIN("-", TRUE, IF(C1024:L1024&gt;0, $C$2:$L$2, ""))</f>
        <v xml:space="preserve"> Ti-Mo-Ta-Nb-Sn</v>
      </c>
      <c r="N1024" s="90">
        <f t="shared" si="30"/>
        <v>1023</v>
      </c>
      <c r="O1024" s="91">
        <f t="shared" si="31"/>
        <v>5</v>
      </c>
      <c r="Z1024" s="18">
        <v>73</v>
      </c>
      <c r="AQ1024" s="157" t="s">
        <v>382</v>
      </c>
    </row>
    <row r="1025" spans="1:61" ht="16.5">
      <c r="A1025" s="18">
        <v>50</v>
      </c>
      <c r="C1025" s="18">
        <v>77.8</v>
      </c>
      <c r="D1025">
        <v>0</v>
      </c>
      <c r="E1025" s="18">
        <v>2.8</v>
      </c>
      <c r="F1025" s="18">
        <v>0</v>
      </c>
      <c r="G1025" s="9">
        <v>0</v>
      </c>
      <c r="H1025" s="18">
        <v>2.8</v>
      </c>
      <c r="I1025" s="18">
        <v>13.8</v>
      </c>
      <c r="J1025" s="9">
        <v>0</v>
      </c>
      <c r="K1025" s="9">
        <v>0</v>
      </c>
      <c r="L1025" s="18">
        <v>2.8</v>
      </c>
      <c r="M1025" s="74" t="str">
        <f t="array" ref="M1025">_xlfn.TEXTJOIN("-", TRUE, IF(C1025:L1025&gt;0, $C$2:$L$2, ""))</f>
        <v xml:space="preserve"> Ti-Zr-Ta-Nb-Sn</v>
      </c>
      <c r="N1025" s="90">
        <f t="shared" si="30"/>
        <v>1025</v>
      </c>
      <c r="O1025" s="91">
        <f t="shared" si="31"/>
        <v>5</v>
      </c>
      <c r="Z1025" s="18">
        <v>47</v>
      </c>
      <c r="AQ1025" s="157" t="s">
        <v>382</v>
      </c>
    </row>
    <row r="1026" spans="1:61" ht="16.5">
      <c r="A1026" s="18">
        <v>218</v>
      </c>
      <c r="C1026" s="18">
        <v>80.099999999999994</v>
      </c>
      <c r="D1026">
        <v>0</v>
      </c>
      <c r="E1026" s="18">
        <v>1.3</v>
      </c>
      <c r="F1026" s="18">
        <v>0</v>
      </c>
      <c r="G1026" s="9">
        <v>0</v>
      </c>
      <c r="H1026" s="18">
        <v>0.3</v>
      </c>
      <c r="I1026" s="18">
        <v>14.4</v>
      </c>
      <c r="J1026" s="9">
        <v>0</v>
      </c>
      <c r="K1026" s="9">
        <v>0</v>
      </c>
      <c r="L1026" s="18">
        <v>3.9</v>
      </c>
      <c r="M1026" s="74" t="str">
        <f t="array" ref="M1026">_xlfn.TEXTJOIN("-", TRUE, IF(C1026:L1026&gt;0, $C$2:$L$2, ""))</f>
        <v xml:space="preserve"> Ti-Zr-Ta-Nb-Sn</v>
      </c>
      <c r="N1026" s="90">
        <f t="shared" si="30"/>
        <v>1025</v>
      </c>
      <c r="O1026" s="91">
        <f t="shared" si="31"/>
        <v>5</v>
      </c>
      <c r="Z1026" s="18">
        <v>48.1</v>
      </c>
      <c r="AQ1026" s="157" t="s">
        <v>382</v>
      </c>
    </row>
    <row r="1027" spans="1:61" ht="16.5">
      <c r="A1027" s="18">
        <v>222</v>
      </c>
      <c r="C1027" s="18">
        <v>77.8</v>
      </c>
      <c r="D1027">
        <v>0</v>
      </c>
      <c r="E1027" s="18">
        <v>2.8</v>
      </c>
      <c r="F1027" s="18">
        <v>0</v>
      </c>
      <c r="G1027" s="9">
        <v>0</v>
      </c>
      <c r="H1027" s="18">
        <v>2.8</v>
      </c>
      <c r="I1027" s="18">
        <v>13.9</v>
      </c>
      <c r="J1027" s="9">
        <v>0</v>
      </c>
      <c r="K1027" s="9">
        <v>0</v>
      </c>
      <c r="L1027" s="18">
        <v>2.8</v>
      </c>
      <c r="M1027" s="74" t="str">
        <f t="array" ref="M1027">_xlfn.TEXTJOIN("-", TRUE, IF(C1027:L1027&gt;0, $C$2:$L$2, ""))</f>
        <v xml:space="preserve"> Ti-Zr-Ta-Nb-Sn</v>
      </c>
      <c r="N1027" s="90">
        <f t="shared" ref="N1027:N1090" si="32">IF(COUNTIF(M$3:M$1206, M1027)&gt;1, MATCH(M1027, M:M, 0), "")</f>
        <v>1025</v>
      </c>
      <c r="O1027" s="91">
        <f t="shared" ref="O1027:O1090" si="33">COUNTIF(C1027:L1027, "&lt;&gt;0")</f>
        <v>5</v>
      </c>
      <c r="Z1027" s="18">
        <v>47</v>
      </c>
      <c r="AQ1027" s="157" t="s">
        <v>382</v>
      </c>
    </row>
    <row r="1028" spans="1:61" ht="16.5">
      <c r="A1028" s="111">
        <v>203</v>
      </c>
      <c r="B1028" s="93" t="s">
        <v>101</v>
      </c>
      <c r="C1028" s="111">
        <v>86.51</v>
      </c>
      <c r="D1028" s="93">
        <v>6</v>
      </c>
      <c r="E1028" s="111">
        <v>3.6</v>
      </c>
      <c r="F1028" s="111">
        <v>0</v>
      </c>
      <c r="G1028" s="93">
        <v>0</v>
      </c>
      <c r="H1028" s="111">
        <v>0.72</v>
      </c>
      <c r="I1028" s="111">
        <v>0</v>
      </c>
      <c r="J1028" s="93">
        <v>0</v>
      </c>
      <c r="K1028" s="93">
        <v>0</v>
      </c>
      <c r="L1028" s="111">
        <v>2.8</v>
      </c>
      <c r="M1028" s="74" t="str">
        <f t="array" ref="M1028">_xlfn.TEXTJOIN("-", TRUE, IF(C1028:L1028&gt;0, $C$2:$L$2, ""))</f>
        <v xml:space="preserve"> Ti-Al-Zr-Ta-Sn</v>
      </c>
      <c r="N1028" s="90" t="str">
        <f t="shared" si="32"/>
        <v/>
      </c>
      <c r="O1028" s="91">
        <f t="shared" si="33"/>
        <v>5</v>
      </c>
      <c r="P1028" s="93">
        <v>1</v>
      </c>
      <c r="Q1028" s="93">
        <v>0</v>
      </c>
      <c r="R1028" s="93">
        <v>0</v>
      </c>
      <c r="S1028" s="93">
        <v>0</v>
      </c>
      <c r="T1028" s="94">
        <v>950</v>
      </c>
      <c r="U1028" s="94">
        <v>1</v>
      </c>
      <c r="V1028" s="8">
        <v>1</v>
      </c>
      <c r="W1028" s="94">
        <v>650</v>
      </c>
      <c r="X1028" s="94">
        <v>6</v>
      </c>
      <c r="Y1028" s="103">
        <v>2</v>
      </c>
      <c r="Z1028" s="18" t="s">
        <v>102</v>
      </c>
      <c r="AA1028" s="9" t="s">
        <v>102</v>
      </c>
      <c r="AB1028" s="93">
        <v>990</v>
      </c>
      <c r="AC1028" s="93">
        <v>899</v>
      </c>
      <c r="AD1028" s="93">
        <v>3.9</v>
      </c>
      <c r="AE1028" s="9" t="s">
        <v>101</v>
      </c>
      <c r="AF1028" s="9" t="s">
        <v>102</v>
      </c>
      <c r="AG1028" s="9" t="s">
        <v>102</v>
      </c>
      <c r="AH1028" s="9" t="s">
        <v>102</v>
      </c>
      <c r="AI1028" s="9" t="s">
        <v>102</v>
      </c>
      <c r="AJ1028" s="9" t="s">
        <v>102</v>
      </c>
      <c r="AK1028" s="9" t="s">
        <v>102</v>
      </c>
      <c r="AL1028" s="9" t="s">
        <v>102</v>
      </c>
      <c r="AN1028" s="12" t="s">
        <v>101</v>
      </c>
      <c r="AO1028" s="12" t="s">
        <v>103</v>
      </c>
      <c r="AP1028" s="94">
        <v>203</v>
      </c>
      <c r="AQ1028" s="157" t="s">
        <v>100</v>
      </c>
      <c r="AR1028" s="93">
        <v>203</v>
      </c>
    </row>
    <row r="1029" spans="1:61" ht="16.5">
      <c r="A1029" s="111">
        <v>204</v>
      </c>
      <c r="B1029" s="93" t="s">
        <v>101</v>
      </c>
      <c r="C1029" s="111">
        <v>86.86</v>
      </c>
      <c r="D1029" s="93">
        <v>6</v>
      </c>
      <c r="E1029" s="111">
        <v>3.6</v>
      </c>
      <c r="F1029" s="111">
        <v>0</v>
      </c>
      <c r="G1029" s="93">
        <v>0</v>
      </c>
      <c r="H1029" s="111">
        <v>0</v>
      </c>
      <c r="I1029" s="111">
        <v>0.37</v>
      </c>
      <c r="J1029" s="93">
        <v>0</v>
      </c>
      <c r="K1029" s="93">
        <v>0</v>
      </c>
      <c r="L1029" s="111">
        <v>2.8</v>
      </c>
      <c r="M1029" s="74" t="str">
        <f t="array" ref="M1029">_xlfn.TEXTJOIN("-", TRUE, IF(C1029:L1029&gt;0, $C$2:$L$2, ""))</f>
        <v xml:space="preserve"> Ti-Al-Zr-Nb-Sn</v>
      </c>
      <c r="N1029" s="90" t="str">
        <f t="shared" si="32"/>
        <v/>
      </c>
      <c r="O1029" s="91">
        <f t="shared" si="33"/>
        <v>5</v>
      </c>
      <c r="P1029" s="93">
        <v>1</v>
      </c>
      <c r="Q1029" s="93">
        <v>0</v>
      </c>
      <c r="R1029" s="93">
        <v>0</v>
      </c>
      <c r="S1029" s="93">
        <v>0</v>
      </c>
      <c r="T1029" s="94">
        <v>950</v>
      </c>
      <c r="U1029" s="94">
        <v>1</v>
      </c>
      <c r="V1029" s="8">
        <v>1</v>
      </c>
      <c r="W1029" s="94">
        <v>650</v>
      </c>
      <c r="X1029" s="94">
        <v>6</v>
      </c>
      <c r="Y1029" s="103">
        <v>2</v>
      </c>
      <c r="Z1029" s="18" t="s">
        <v>102</v>
      </c>
      <c r="AA1029" s="9" t="s">
        <v>102</v>
      </c>
      <c r="AB1029" s="93">
        <v>990</v>
      </c>
      <c r="AC1029" s="93">
        <v>898</v>
      </c>
      <c r="AD1029" s="93">
        <v>4.0999999999999996</v>
      </c>
      <c r="AE1029" s="9" t="s">
        <v>101</v>
      </c>
      <c r="AF1029" s="9" t="s">
        <v>102</v>
      </c>
      <c r="AG1029" s="9" t="s">
        <v>102</v>
      </c>
      <c r="AH1029" s="9" t="s">
        <v>102</v>
      </c>
      <c r="AI1029" s="9" t="s">
        <v>102</v>
      </c>
      <c r="AJ1029" s="9" t="s">
        <v>102</v>
      </c>
      <c r="AK1029" s="9" t="s">
        <v>102</v>
      </c>
      <c r="AL1029" s="9" t="s">
        <v>102</v>
      </c>
      <c r="AN1029" s="12" t="s">
        <v>101</v>
      </c>
      <c r="AO1029" s="12" t="s">
        <v>103</v>
      </c>
      <c r="AP1029" s="94">
        <v>204</v>
      </c>
      <c r="AQ1029" s="157" t="s">
        <v>100</v>
      </c>
      <c r="AR1029" s="93">
        <v>204</v>
      </c>
    </row>
    <row r="1030" spans="1:61" ht="16.5">
      <c r="A1030" s="111">
        <v>479</v>
      </c>
      <c r="B1030" s="93" t="s">
        <v>113</v>
      </c>
      <c r="C1030" s="109">
        <v>67.33</v>
      </c>
      <c r="D1030" s="94">
        <v>0</v>
      </c>
      <c r="E1030" s="109">
        <v>4.8500000000000005</v>
      </c>
      <c r="F1030" s="109">
        <v>0</v>
      </c>
      <c r="G1030" s="94">
        <v>0</v>
      </c>
      <c r="H1030" s="109">
        <v>1.7500000000000002</v>
      </c>
      <c r="I1030" s="109">
        <v>23.810000000000002</v>
      </c>
      <c r="J1030" s="94">
        <v>0</v>
      </c>
      <c r="K1030" s="94">
        <v>2.2599999999999998</v>
      </c>
      <c r="L1030" s="109">
        <v>0</v>
      </c>
      <c r="M1030" s="74" t="str">
        <f t="array" ref="M1030">_xlfn.TEXTJOIN("-", TRUE, IF(C1030:L1030&gt;0, $C$2:$L$2, ""))</f>
        <v xml:space="preserve"> Ti-Zr-Ta-Nb-Fe</v>
      </c>
      <c r="N1030" s="90" t="str">
        <f t="shared" si="32"/>
        <v/>
      </c>
      <c r="O1030" s="91">
        <f t="shared" si="33"/>
        <v>5</v>
      </c>
      <c r="P1030" s="94">
        <v>1</v>
      </c>
      <c r="Q1030" s="94">
        <v>1</v>
      </c>
      <c r="R1030" s="93" t="s">
        <v>113</v>
      </c>
      <c r="S1030" s="93" t="s">
        <v>113</v>
      </c>
      <c r="T1030" s="93" t="s">
        <v>113</v>
      </c>
      <c r="U1030" s="93" t="s">
        <v>113</v>
      </c>
      <c r="V1030" s="94">
        <v>1</v>
      </c>
      <c r="W1030" s="93" t="s">
        <v>113</v>
      </c>
      <c r="X1030" s="93" t="s">
        <v>113</v>
      </c>
      <c r="Y1030" s="93" t="s">
        <v>113</v>
      </c>
      <c r="Z1030" s="109">
        <v>81</v>
      </c>
      <c r="AA1030" s="93" t="s">
        <v>113</v>
      </c>
      <c r="AB1030" s="93" t="s">
        <v>113</v>
      </c>
      <c r="AC1030" s="94">
        <v>588</v>
      </c>
      <c r="AD1030" s="93" t="s">
        <v>113</v>
      </c>
      <c r="AE1030" s="93" t="s">
        <v>113</v>
      </c>
      <c r="AF1030" s="93" t="s">
        <v>113</v>
      </c>
      <c r="AG1030" s="93" t="s">
        <v>113</v>
      </c>
      <c r="AH1030" s="93" t="s">
        <v>113</v>
      </c>
      <c r="AI1030" s="93" t="s">
        <v>113</v>
      </c>
      <c r="AJ1030" s="93" t="s">
        <v>113</v>
      </c>
      <c r="AK1030" s="93" t="s">
        <v>113</v>
      </c>
      <c r="AL1030" s="93" t="s">
        <v>113</v>
      </c>
      <c r="AM1030" s="93"/>
      <c r="AN1030" s="93" t="s">
        <v>113</v>
      </c>
      <c r="AO1030" s="93" t="s">
        <v>174</v>
      </c>
      <c r="AP1030" s="94">
        <v>479</v>
      </c>
      <c r="AQ1030" s="157" t="s">
        <v>100</v>
      </c>
      <c r="AR1030" s="93">
        <v>479</v>
      </c>
    </row>
    <row r="1031" spans="1:61" ht="16.5">
      <c r="A1031" s="111">
        <v>484</v>
      </c>
      <c r="B1031" s="93" t="s">
        <v>113</v>
      </c>
      <c r="C1031" s="109">
        <v>19</v>
      </c>
      <c r="D1031" s="94">
        <v>0</v>
      </c>
      <c r="E1031" s="109">
        <v>21</v>
      </c>
      <c r="F1031" s="109">
        <v>20</v>
      </c>
      <c r="G1031" s="94">
        <v>0</v>
      </c>
      <c r="H1031" s="109">
        <v>21</v>
      </c>
      <c r="I1031" s="109">
        <v>19</v>
      </c>
      <c r="J1031" s="94">
        <v>0</v>
      </c>
      <c r="K1031" s="94">
        <v>0</v>
      </c>
      <c r="L1031" s="109">
        <v>0</v>
      </c>
      <c r="M1031" s="74" t="str">
        <f t="array" ref="M1031">_xlfn.TEXTJOIN("-", TRUE, IF(C1031:L1031&gt;0, $C$2:$L$2, ""))</f>
        <v xml:space="preserve"> Ti-Zr-Mo-Ta-Nb</v>
      </c>
      <c r="N1031" s="90" t="str">
        <f t="shared" si="32"/>
        <v/>
      </c>
      <c r="O1031" s="91">
        <f t="shared" si="33"/>
        <v>5</v>
      </c>
      <c r="P1031" s="94">
        <v>1</v>
      </c>
      <c r="Q1031" s="95" t="s">
        <v>173</v>
      </c>
      <c r="R1031" s="93">
        <v>0</v>
      </c>
      <c r="S1031" s="93">
        <v>0</v>
      </c>
      <c r="T1031" s="93">
        <v>0</v>
      </c>
      <c r="U1031" s="93">
        <v>0</v>
      </c>
      <c r="V1031" s="93">
        <v>0</v>
      </c>
      <c r="W1031" s="93">
        <v>0</v>
      </c>
      <c r="X1031" s="93">
        <v>0</v>
      </c>
      <c r="Y1031" s="93">
        <v>0</v>
      </c>
      <c r="Z1031" s="109">
        <v>153</v>
      </c>
      <c r="AA1031" s="93" t="s">
        <v>113</v>
      </c>
      <c r="AB1031" s="93" t="s">
        <v>113</v>
      </c>
      <c r="AC1031" s="94">
        <v>1390</v>
      </c>
      <c r="AD1031" s="93" t="s">
        <v>113</v>
      </c>
      <c r="AE1031" s="93" t="s">
        <v>113</v>
      </c>
      <c r="AF1031" s="93" t="s">
        <v>113</v>
      </c>
      <c r="AG1031" s="93" t="s">
        <v>113</v>
      </c>
      <c r="AH1031" s="93" t="s">
        <v>113</v>
      </c>
      <c r="AI1031" s="93" t="s">
        <v>113</v>
      </c>
      <c r="AJ1031" s="93" t="s">
        <v>113</v>
      </c>
      <c r="AK1031" s="93" t="s">
        <v>113</v>
      </c>
      <c r="AL1031" s="93" t="s">
        <v>113</v>
      </c>
      <c r="AM1031" s="93"/>
      <c r="AN1031" s="93" t="s">
        <v>113</v>
      </c>
      <c r="AO1031" s="93" t="s">
        <v>174</v>
      </c>
      <c r="AP1031" s="94">
        <v>484</v>
      </c>
      <c r="AQ1031" s="157" t="s">
        <v>100</v>
      </c>
      <c r="AR1031" s="93">
        <v>484</v>
      </c>
    </row>
    <row r="1032" spans="1:61" ht="16.5">
      <c r="A1032" s="111">
        <v>499</v>
      </c>
      <c r="B1032" s="93" t="s">
        <v>113</v>
      </c>
      <c r="C1032" s="109">
        <v>70</v>
      </c>
      <c r="D1032" s="94">
        <v>0</v>
      </c>
      <c r="E1032" s="109">
        <v>6</v>
      </c>
      <c r="F1032" s="109">
        <v>0</v>
      </c>
      <c r="G1032" s="94">
        <v>3</v>
      </c>
      <c r="H1032" s="109">
        <v>12</v>
      </c>
      <c r="I1032" s="109">
        <v>9</v>
      </c>
      <c r="J1032" s="94">
        <v>0</v>
      </c>
      <c r="K1032" s="94">
        <v>0</v>
      </c>
      <c r="L1032" s="109">
        <v>0</v>
      </c>
      <c r="M1032" s="74" t="str">
        <f t="array" ref="M1032">_xlfn.TEXTJOIN("-", TRUE, IF(C1032:L1032&gt;0, $C$2:$L$2, ""))</f>
        <v xml:space="preserve"> Ti-Zr-V-Ta-Nb</v>
      </c>
      <c r="N1032" s="90" t="str">
        <f t="shared" si="32"/>
        <v/>
      </c>
      <c r="O1032" s="91">
        <f t="shared" si="33"/>
        <v>5</v>
      </c>
      <c r="P1032" s="94">
        <v>1</v>
      </c>
      <c r="Q1032" s="94">
        <v>1</v>
      </c>
      <c r="R1032" s="93" t="s">
        <v>113</v>
      </c>
      <c r="S1032" s="93" t="s">
        <v>113</v>
      </c>
      <c r="T1032" s="93" t="s">
        <v>113</v>
      </c>
      <c r="U1032" s="93" t="s">
        <v>113</v>
      </c>
      <c r="V1032" s="94">
        <v>1</v>
      </c>
      <c r="W1032" s="93" t="s">
        <v>113</v>
      </c>
      <c r="X1032" s="93" t="s">
        <v>113</v>
      </c>
      <c r="Y1032" s="93" t="s">
        <v>113</v>
      </c>
      <c r="Z1032" s="109">
        <v>71.2</v>
      </c>
      <c r="AA1032" s="93" t="s">
        <v>113</v>
      </c>
      <c r="AB1032" s="93" t="s">
        <v>113</v>
      </c>
      <c r="AC1032" s="94">
        <v>849</v>
      </c>
      <c r="AD1032" s="93" t="s">
        <v>113</v>
      </c>
      <c r="AE1032" s="93" t="s">
        <v>113</v>
      </c>
      <c r="AF1032" s="93" t="s">
        <v>113</v>
      </c>
      <c r="AG1032" s="93" t="s">
        <v>113</v>
      </c>
      <c r="AH1032" s="93" t="s">
        <v>113</v>
      </c>
      <c r="AI1032" s="93" t="s">
        <v>113</v>
      </c>
      <c r="AJ1032" s="93" t="s">
        <v>113</v>
      </c>
      <c r="AK1032" s="93" t="s">
        <v>113</v>
      </c>
      <c r="AL1032" s="93" t="s">
        <v>113</v>
      </c>
      <c r="AM1032" s="93"/>
      <c r="AN1032" s="93" t="s">
        <v>113</v>
      </c>
      <c r="AO1032" s="93" t="s">
        <v>174</v>
      </c>
      <c r="AP1032" s="94">
        <v>499</v>
      </c>
      <c r="AQ1032" s="157" t="s">
        <v>100</v>
      </c>
      <c r="AR1032" s="93">
        <v>499</v>
      </c>
    </row>
    <row r="1033" spans="1:61" ht="16.5">
      <c r="A1033" s="158">
        <v>1</v>
      </c>
      <c r="B1033" s="7" t="s">
        <v>50</v>
      </c>
      <c r="C1033" s="159">
        <f>100-SUM(D1033:L1033)</f>
        <v>82.67</v>
      </c>
      <c r="D1033" s="160">
        <v>5.47</v>
      </c>
      <c r="E1033" s="159">
        <v>0</v>
      </c>
      <c r="F1033" s="159">
        <v>4.5199999999999996</v>
      </c>
      <c r="G1033" s="160">
        <v>4.8099999999999996</v>
      </c>
      <c r="H1033" s="159">
        <v>0</v>
      </c>
      <c r="I1033" s="159">
        <v>0</v>
      </c>
      <c r="J1033" s="160">
        <v>1.03</v>
      </c>
      <c r="K1033" s="160">
        <v>1.5</v>
      </c>
      <c r="L1033" s="112">
        <v>0</v>
      </c>
      <c r="M1033" s="74" t="str">
        <f t="array" ref="M1033">_xlfn.TEXTJOIN("-", TRUE, IF(C1033:L1033&gt;0, $C$2:$L$2, ""))</f>
        <v xml:space="preserve"> Ti-Al-Mo-V-Cr-Fe</v>
      </c>
      <c r="N1033" s="90">
        <f t="shared" si="32"/>
        <v>1033</v>
      </c>
      <c r="O1033" s="91">
        <f t="shared" si="33"/>
        <v>6</v>
      </c>
      <c r="P1033" s="7">
        <v>2</v>
      </c>
      <c r="Q1033" s="160">
        <v>2</v>
      </c>
      <c r="R1033" s="8">
        <v>0</v>
      </c>
      <c r="S1033" s="8">
        <v>0</v>
      </c>
      <c r="T1033" s="8">
        <v>710</v>
      </c>
      <c r="U1033" s="8">
        <v>2</v>
      </c>
      <c r="V1033" s="8">
        <v>2</v>
      </c>
      <c r="W1033" s="8">
        <v>500</v>
      </c>
      <c r="X1033" s="8">
        <v>3</v>
      </c>
      <c r="Y1033" s="8">
        <v>2</v>
      </c>
      <c r="Z1033" s="158"/>
      <c r="AA1033" s="7"/>
      <c r="AB1033" s="8">
        <v>1219.1500000000001</v>
      </c>
      <c r="AC1033" s="7"/>
      <c r="AD1033" s="8">
        <v>12.67</v>
      </c>
      <c r="AE1033" s="7"/>
      <c r="AF1033" s="7"/>
      <c r="AG1033" s="7"/>
      <c r="AH1033" s="7"/>
      <c r="AI1033" s="7"/>
      <c r="AJ1033" s="7"/>
      <c r="AK1033" s="7"/>
      <c r="AL1033" s="7"/>
      <c r="AM1033" s="7"/>
      <c r="AN1033" s="6" t="s">
        <v>52</v>
      </c>
      <c r="AO1033" s="104" t="s">
        <v>53</v>
      </c>
      <c r="AP1033" s="6">
        <v>1</v>
      </c>
      <c r="AQ1033" s="161" t="s">
        <v>54</v>
      </c>
      <c r="AR1033" s="7">
        <v>1</v>
      </c>
      <c r="AS1033" s="162" t="s">
        <v>151</v>
      </c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</row>
    <row r="1034" spans="1:61" ht="16.5">
      <c r="A1034" s="158">
        <v>2</v>
      </c>
      <c r="B1034" s="7" t="s">
        <v>50</v>
      </c>
      <c r="C1034" s="159">
        <f t="shared" ref="C1034:C1064" si="34">100-SUM(D1034:L1034)</f>
        <v>82.67</v>
      </c>
      <c r="D1034" s="160">
        <v>5.47</v>
      </c>
      <c r="E1034" s="159">
        <v>0</v>
      </c>
      <c r="F1034" s="159">
        <v>4.5199999999999996</v>
      </c>
      <c r="G1034" s="160">
        <v>4.8099999999999996</v>
      </c>
      <c r="H1034" s="159">
        <v>0</v>
      </c>
      <c r="I1034" s="159">
        <v>0</v>
      </c>
      <c r="J1034" s="160">
        <v>1.03</v>
      </c>
      <c r="K1034" s="160">
        <v>1.5</v>
      </c>
      <c r="L1034" s="112">
        <v>0</v>
      </c>
      <c r="M1034" s="74" t="str">
        <f t="array" ref="M1034">_xlfn.TEXTJOIN("-", TRUE, IF(C1034:L1034&gt;0, $C$2:$L$2, ""))</f>
        <v xml:space="preserve"> Ti-Al-Mo-V-Cr-Fe</v>
      </c>
      <c r="N1034" s="90">
        <f t="shared" si="32"/>
        <v>1033</v>
      </c>
      <c r="O1034" s="91">
        <f t="shared" si="33"/>
        <v>6</v>
      </c>
      <c r="P1034" s="7">
        <v>2</v>
      </c>
      <c r="Q1034" s="160">
        <v>2</v>
      </c>
      <c r="R1034" s="8">
        <v>0</v>
      </c>
      <c r="S1034" s="8">
        <v>0</v>
      </c>
      <c r="T1034" s="8">
        <v>720</v>
      </c>
      <c r="U1034" s="8">
        <v>2</v>
      </c>
      <c r="V1034" s="8">
        <v>2</v>
      </c>
      <c r="W1034" s="8">
        <v>500</v>
      </c>
      <c r="X1034" s="8">
        <v>3</v>
      </c>
      <c r="Y1034" s="8">
        <v>2</v>
      </c>
      <c r="Z1034" s="158"/>
      <c r="AA1034" s="7"/>
      <c r="AB1034" s="8">
        <v>1234.01</v>
      </c>
      <c r="AC1034" s="7"/>
      <c r="AD1034" s="8">
        <v>10.44</v>
      </c>
      <c r="AE1034" s="7"/>
      <c r="AF1034" s="7"/>
      <c r="AG1034" s="7"/>
      <c r="AH1034" s="7"/>
      <c r="AI1034" s="7"/>
      <c r="AJ1034" s="7"/>
      <c r="AK1034" s="7"/>
      <c r="AL1034" s="7"/>
      <c r="AM1034" s="7"/>
      <c r="AN1034" s="6" t="s">
        <v>52</v>
      </c>
      <c r="AO1034" s="6" t="s">
        <v>55</v>
      </c>
      <c r="AP1034" s="6">
        <v>1</v>
      </c>
      <c r="AQ1034" s="161" t="s">
        <v>54</v>
      </c>
      <c r="AR1034" s="7">
        <v>2</v>
      </c>
      <c r="AS1034" s="162" t="s">
        <v>151</v>
      </c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</row>
    <row r="1035" spans="1:61" ht="16.5">
      <c r="A1035" s="158">
        <v>3</v>
      </c>
      <c r="B1035" s="7" t="s">
        <v>50</v>
      </c>
      <c r="C1035" s="159">
        <f t="shared" si="34"/>
        <v>82.67</v>
      </c>
      <c r="D1035" s="160">
        <v>5.47</v>
      </c>
      <c r="E1035" s="159">
        <v>0</v>
      </c>
      <c r="F1035" s="159">
        <v>4.5199999999999996</v>
      </c>
      <c r="G1035" s="160">
        <v>4.8099999999999996</v>
      </c>
      <c r="H1035" s="159">
        <v>0</v>
      </c>
      <c r="I1035" s="159">
        <v>0</v>
      </c>
      <c r="J1035" s="160">
        <v>1.03</v>
      </c>
      <c r="K1035" s="160">
        <v>1.5</v>
      </c>
      <c r="L1035" s="112">
        <v>0</v>
      </c>
      <c r="M1035" s="74" t="str">
        <f t="array" ref="M1035">_xlfn.TEXTJOIN("-", TRUE, IF(C1035:L1035&gt;0, $C$2:$L$2, ""))</f>
        <v xml:space="preserve"> Ti-Al-Mo-V-Cr-Fe</v>
      </c>
      <c r="N1035" s="90">
        <f t="shared" si="32"/>
        <v>1033</v>
      </c>
      <c r="O1035" s="91">
        <f t="shared" si="33"/>
        <v>6</v>
      </c>
      <c r="P1035" s="7">
        <v>2</v>
      </c>
      <c r="Q1035" s="160">
        <v>2</v>
      </c>
      <c r="R1035" s="8">
        <v>0</v>
      </c>
      <c r="S1035" s="8">
        <v>0</v>
      </c>
      <c r="T1035" s="8">
        <v>730</v>
      </c>
      <c r="U1035" s="8">
        <v>2</v>
      </c>
      <c r="V1035" s="8">
        <v>2</v>
      </c>
      <c r="W1035" s="8">
        <v>500</v>
      </c>
      <c r="X1035" s="8">
        <v>3</v>
      </c>
      <c r="Y1035" s="8">
        <v>2</v>
      </c>
      <c r="Z1035" s="158"/>
      <c r="AA1035" s="7"/>
      <c r="AB1035" s="8">
        <v>1241.76</v>
      </c>
      <c r="AC1035" s="7"/>
      <c r="AD1035" s="8">
        <v>9.75</v>
      </c>
      <c r="AE1035" s="7"/>
      <c r="AF1035" s="7"/>
      <c r="AG1035" s="7"/>
      <c r="AH1035" s="7"/>
      <c r="AI1035" s="7"/>
      <c r="AJ1035" s="7"/>
      <c r="AK1035" s="7"/>
      <c r="AL1035" s="7"/>
      <c r="AM1035" s="7"/>
      <c r="AN1035" s="6" t="s">
        <v>52</v>
      </c>
      <c r="AO1035" s="6" t="s">
        <v>55</v>
      </c>
      <c r="AP1035" s="6">
        <v>1</v>
      </c>
      <c r="AQ1035" s="161" t="s">
        <v>54</v>
      </c>
      <c r="AR1035" s="7">
        <v>3</v>
      </c>
      <c r="AS1035" s="162" t="s">
        <v>151</v>
      </c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</row>
    <row r="1036" spans="1:61" ht="16.5">
      <c r="A1036" s="158">
        <v>4</v>
      </c>
      <c r="B1036" s="7" t="s">
        <v>50</v>
      </c>
      <c r="C1036" s="159">
        <f t="shared" si="34"/>
        <v>82.67</v>
      </c>
      <c r="D1036" s="160">
        <v>5.47</v>
      </c>
      <c r="E1036" s="159">
        <v>0</v>
      </c>
      <c r="F1036" s="159">
        <v>4.5199999999999996</v>
      </c>
      <c r="G1036" s="160">
        <v>4.8099999999999996</v>
      </c>
      <c r="H1036" s="159">
        <v>0</v>
      </c>
      <c r="I1036" s="159">
        <v>0</v>
      </c>
      <c r="J1036" s="160">
        <v>1.03</v>
      </c>
      <c r="K1036" s="160">
        <v>1.5</v>
      </c>
      <c r="L1036" s="112">
        <v>0</v>
      </c>
      <c r="M1036" s="74" t="str">
        <f t="array" ref="M1036">_xlfn.TEXTJOIN("-", TRUE, IF(C1036:L1036&gt;0, $C$2:$L$2, ""))</f>
        <v xml:space="preserve"> Ti-Al-Mo-V-Cr-Fe</v>
      </c>
      <c r="N1036" s="90">
        <f t="shared" si="32"/>
        <v>1033</v>
      </c>
      <c r="O1036" s="91">
        <f t="shared" si="33"/>
        <v>6</v>
      </c>
      <c r="P1036" s="8">
        <v>2</v>
      </c>
      <c r="Q1036" s="160">
        <v>2</v>
      </c>
      <c r="R1036" s="8">
        <v>0</v>
      </c>
      <c r="S1036" s="8">
        <v>0</v>
      </c>
      <c r="T1036" s="8">
        <v>740</v>
      </c>
      <c r="U1036" s="8">
        <v>2</v>
      </c>
      <c r="V1036" s="8">
        <v>2</v>
      </c>
      <c r="W1036" s="8">
        <v>500</v>
      </c>
      <c r="X1036" s="8">
        <v>3</v>
      </c>
      <c r="Y1036" s="8">
        <v>2</v>
      </c>
      <c r="Z1036" s="126"/>
      <c r="AA1036" s="6"/>
      <c r="AB1036" s="8">
        <v>1276.29</v>
      </c>
      <c r="AC1036" s="6"/>
      <c r="AD1036" s="8">
        <v>9</v>
      </c>
      <c r="AE1036" s="6"/>
      <c r="AF1036" s="6"/>
      <c r="AG1036" s="6"/>
      <c r="AH1036" s="6"/>
      <c r="AI1036" s="6"/>
      <c r="AJ1036" s="6"/>
      <c r="AK1036" s="6"/>
      <c r="AL1036" s="6"/>
      <c r="AM1036" s="6"/>
      <c r="AN1036" s="6" t="s">
        <v>52</v>
      </c>
      <c r="AO1036" s="6" t="s">
        <v>55</v>
      </c>
      <c r="AP1036" s="6">
        <v>1</v>
      </c>
      <c r="AQ1036" s="161" t="s">
        <v>54</v>
      </c>
      <c r="AR1036" s="7">
        <v>4</v>
      </c>
      <c r="AS1036" s="162" t="s">
        <v>151</v>
      </c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</row>
    <row r="1037" spans="1:61" ht="16.5">
      <c r="A1037" s="158">
        <v>5</v>
      </c>
      <c r="B1037" s="7" t="s">
        <v>50</v>
      </c>
      <c r="C1037" s="159">
        <f t="shared" si="34"/>
        <v>82.67</v>
      </c>
      <c r="D1037" s="160">
        <v>5.47</v>
      </c>
      <c r="E1037" s="159">
        <v>0</v>
      </c>
      <c r="F1037" s="159">
        <v>4.5199999999999996</v>
      </c>
      <c r="G1037" s="160">
        <v>4.8099999999999996</v>
      </c>
      <c r="H1037" s="159">
        <v>0</v>
      </c>
      <c r="I1037" s="159">
        <v>0</v>
      </c>
      <c r="J1037" s="160">
        <v>1.03</v>
      </c>
      <c r="K1037" s="160">
        <v>1.5</v>
      </c>
      <c r="L1037" s="112">
        <v>0</v>
      </c>
      <c r="M1037" s="74" t="str">
        <f t="array" ref="M1037">_xlfn.TEXTJOIN("-", TRUE, IF(C1037:L1037&gt;0, $C$2:$L$2, ""))</f>
        <v xml:space="preserve"> Ti-Al-Mo-V-Cr-Fe</v>
      </c>
      <c r="N1037" s="90">
        <f t="shared" si="32"/>
        <v>1033</v>
      </c>
      <c r="O1037" s="91">
        <f t="shared" si="33"/>
        <v>6</v>
      </c>
      <c r="P1037" s="8">
        <v>2</v>
      </c>
      <c r="Q1037" s="160">
        <v>2</v>
      </c>
      <c r="R1037" s="8">
        <v>0</v>
      </c>
      <c r="S1037" s="8">
        <v>0</v>
      </c>
      <c r="T1037" s="8">
        <v>750</v>
      </c>
      <c r="U1037" s="8">
        <v>2</v>
      </c>
      <c r="V1037" s="8">
        <v>2</v>
      </c>
      <c r="W1037" s="8">
        <v>500</v>
      </c>
      <c r="X1037" s="8">
        <v>3</v>
      </c>
      <c r="Y1037" s="8">
        <v>2</v>
      </c>
      <c r="Z1037" s="126"/>
      <c r="AA1037" s="6"/>
      <c r="AB1037" s="8">
        <v>1309.5899999999999</v>
      </c>
      <c r="AC1037" s="6"/>
      <c r="AD1037" s="8">
        <v>6.75</v>
      </c>
      <c r="AE1037" s="6"/>
      <c r="AF1037" s="6"/>
      <c r="AG1037" s="6"/>
      <c r="AH1037" s="6"/>
      <c r="AI1037" s="6"/>
      <c r="AJ1037" s="6"/>
      <c r="AK1037" s="6"/>
      <c r="AL1037" s="6"/>
      <c r="AM1037" s="6"/>
      <c r="AN1037" s="6" t="s">
        <v>52</v>
      </c>
      <c r="AO1037" s="6" t="s">
        <v>55</v>
      </c>
      <c r="AP1037" s="6">
        <v>1</v>
      </c>
      <c r="AQ1037" s="161" t="s">
        <v>54</v>
      </c>
      <c r="AR1037" s="7">
        <v>5</v>
      </c>
      <c r="AS1037" s="162" t="s">
        <v>151</v>
      </c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</row>
    <row r="1038" spans="1:61" ht="16.5">
      <c r="A1038" s="158">
        <v>6</v>
      </c>
      <c r="B1038" s="7" t="s">
        <v>50</v>
      </c>
      <c r="C1038" s="159">
        <f t="shared" si="34"/>
        <v>82.67</v>
      </c>
      <c r="D1038" s="160">
        <v>5.47</v>
      </c>
      <c r="E1038" s="159">
        <v>0</v>
      </c>
      <c r="F1038" s="159">
        <v>4.5199999999999996</v>
      </c>
      <c r="G1038" s="160">
        <v>4.8099999999999996</v>
      </c>
      <c r="H1038" s="159">
        <v>0</v>
      </c>
      <c r="I1038" s="159">
        <v>0</v>
      </c>
      <c r="J1038" s="160">
        <v>1.03</v>
      </c>
      <c r="K1038" s="160">
        <v>1.5</v>
      </c>
      <c r="L1038" s="112">
        <v>0</v>
      </c>
      <c r="M1038" s="74" t="str">
        <f t="array" ref="M1038">_xlfn.TEXTJOIN("-", TRUE, IF(C1038:L1038&gt;0, $C$2:$L$2, ""))</f>
        <v xml:space="preserve"> Ti-Al-Mo-V-Cr-Fe</v>
      </c>
      <c r="N1038" s="90">
        <f t="shared" si="32"/>
        <v>1033</v>
      </c>
      <c r="O1038" s="91">
        <f t="shared" si="33"/>
        <v>6</v>
      </c>
      <c r="P1038" s="8">
        <v>2</v>
      </c>
      <c r="Q1038" s="160">
        <v>2</v>
      </c>
      <c r="R1038" s="8">
        <v>0</v>
      </c>
      <c r="S1038" s="8">
        <v>0</v>
      </c>
      <c r="T1038" s="8">
        <v>760</v>
      </c>
      <c r="U1038" s="8">
        <v>2</v>
      </c>
      <c r="V1038" s="8">
        <v>2</v>
      </c>
      <c r="W1038" s="8">
        <v>500</v>
      </c>
      <c r="X1038" s="8">
        <v>3</v>
      </c>
      <c r="Y1038" s="8">
        <v>2</v>
      </c>
      <c r="Z1038" s="126"/>
      <c r="AA1038" s="6"/>
      <c r="AB1038" s="8">
        <v>1362.37</v>
      </c>
      <c r="AC1038" s="6"/>
      <c r="AD1038" s="8">
        <v>4.97</v>
      </c>
      <c r="AE1038" s="6"/>
      <c r="AF1038" s="6"/>
      <c r="AG1038" s="6"/>
      <c r="AH1038" s="6"/>
      <c r="AI1038" s="6"/>
      <c r="AJ1038" s="6"/>
      <c r="AK1038" s="6"/>
      <c r="AL1038" s="6"/>
      <c r="AM1038" s="6"/>
      <c r="AN1038" s="6" t="s">
        <v>52</v>
      </c>
      <c r="AO1038" s="6" t="s">
        <v>55</v>
      </c>
      <c r="AP1038" s="6">
        <v>1</v>
      </c>
      <c r="AQ1038" s="161" t="s">
        <v>54</v>
      </c>
      <c r="AR1038" s="7">
        <v>6</v>
      </c>
      <c r="AS1038" s="162" t="s">
        <v>151</v>
      </c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</row>
    <row r="1039" spans="1:61" ht="16.5">
      <c r="A1039" s="158">
        <v>7</v>
      </c>
      <c r="B1039" s="7" t="s">
        <v>50</v>
      </c>
      <c r="C1039" s="159">
        <f t="shared" si="34"/>
        <v>82.67</v>
      </c>
      <c r="D1039" s="160">
        <v>5.47</v>
      </c>
      <c r="E1039" s="159">
        <v>0</v>
      </c>
      <c r="F1039" s="159">
        <v>4.5199999999999996</v>
      </c>
      <c r="G1039" s="160">
        <v>4.8099999999999996</v>
      </c>
      <c r="H1039" s="159">
        <v>0</v>
      </c>
      <c r="I1039" s="159">
        <v>0</v>
      </c>
      <c r="J1039" s="160">
        <v>1.03</v>
      </c>
      <c r="K1039" s="160">
        <v>1.5</v>
      </c>
      <c r="L1039" s="112">
        <v>0</v>
      </c>
      <c r="M1039" s="74" t="str">
        <f t="array" ref="M1039">_xlfn.TEXTJOIN("-", TRUE, IF(C1039:L1039&gt;0, $C$2:$L$2, ""))</f>
        <v xml:space="preserve"> Ti-Al-Mo-V-Cr-Fe</v>
      </c>
      <c r="N1039" s="90">
        <f t="shared" si="32"/>
        <v>1033</v>
      </c>
      <c r="O1039" s="91">
        <f t="shared" si="33"/>
        <v>6</v>
      </c>
      <c r="P1039" s="8">
        <v>2</v>
      </c>
      <c r="Q1039" s="160">
        <v>2</v>
      </c>
      <c r="R1039" s="8">
        <v>0</v>
      </c>
      <c r="S1039" s="8">
        <v>0</v>
      </c>
      <c r="T1039" s="8">
        <v>770</v>
      </c>
      <c r="U1039" s="8">
        <v>2</v>
      </c>
      <c r="V1039" s="8">
        <v>2</v>
      </c>
      <c r="W1039" s="8">
        <v>500</v>
      </c>
      <c r="X1039" s="8">
        <v>3</v>
      </c>
      <c r="Y1039" s="8">
        <v>2</v>
      </c>
      <c r="Z1039" s="126"/>
      <c r="AA1039" s="6"/>
      <c r="AB1039" s="8">
        <v>1415.95</v>
      </c>
      <c r="AC1039" s="6"/>
      <c r="AD1039" s="8">
        <v>4.38</v>
      </c>
      <c r="AE1039" s="6"/>
      <c r="AF1039" s="6"/>
      <c r="AG1039" s="6"/>
      <c r="AH1039" s="6"/>
      <c r="AI1039" s="6"/>
      <c r="AJ1039" s="6"/>
      <c r="AK1039" s="6"/>
      <c r="AL1039" s="6"/>
      <c r="AM1039" s="6"/>
      <c r="AN1039" s="6" t="s">
        <v>52</v>
      </c>
      <c r="AO1039" s="6" t="s">
        <v>55</v>
      </c>
      <c r="AP1039" s="6">
        <v>1</v>
      </c>
      <c r="AQ1039" s="161" t="s">
        <v>54</v>
      </c>
      <c r="AR1039" s="7">
        <v>7</v>
      </c>
      <c r="AS1039" s="162" t="s">
        <v>151</v>
      </c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</row>
    <row r="1040" spans="1:61" ht="16.5">
      <c r="A1040" s="158">
        <v>8</v>
      </c>
      <c r="B1040" s="7" t="s">
        <v>50</v>
      </c>
      <c r="C1040" s="159">
        <f t="shared" si="34"/>
        <v>82.67</v>
      </c>
      <c r="D1040" s="160">
        <v>5.47</v>
      </c>
      <c r="E1040" s="159">
        <v>0</v>
      </c>
      <c r="F1040" s="159">
        <v>4.5199999999999996</v>
      </c>
      <c r="G1040" s="160">
        <v>4.8099999999999996</v>
      </c>
      <c r="H1040" s="159">
        <v>0</v>
      </c>
      <c r="I1040" s="159">
        <v>0</v>
      </c>
      <c r="J1040" s="160">
        <v>1.03</v>
      </c>
      <c r="K1040" s="160">
        <v>1.5</v>
      </c>
      <c r="L1040" s="112">
        <v>0</v>
      </c>
      <c r="M1040" s="74" t="str">
        <f t="array" ref="M1040">_xlfn.TEXTJOIN("-", TRUE, IF(C1040:L1040&gt;0, $C$2:$L$2, ""))</f>
        <v xml:space="preserve"> Ti-Al-Mo-V-Cr-Fe</v>
      </c>
      <c r="N1040" s="90">
        <f t="shared" si="32"/>
        <v>1033</v>
      </c>
      <c r="O1040" s="91">
        <f t="shared" si="33"/>
        <v>6</v>
      </c>
      <c r="P1040" s="8">
        <v>2</v>
      </c>
      <c r="Q1040" s="160">
        <v>2</v>
      </c>
      <c r="R1040" s="8">
        <v>0</v>
      </c>
      <c r="S1040" s="8">
        <v>0</v>
      </c>
      <c r="T1040" s="8">
        <v>780</v>
      </c>
      <c r="U1040" s="8">
        <v>2</v>
      </c>
      <c r="V1040" s="8">
        <v>2</v>
      </c>
      <c r="W1040" s="8">
        <v>500</v>
      </c>
      <c r="X1040" s="8">
        <v>3</v>
      </c>
      <c r="Y1040" s="8">
        <v>2</v>
      </c>
      <c r="Z1040" s="126"/>
      <c r="AA1040" s="6"/>
      <c r="AB1040" s="8">
        <v>1436.27</v>
      </c>
      <c r="AC1040" s="6"/>
      <c r="AD1040" s="8">
        <v>3.46</v>
      </c>
      <c r="AE1040" s="6"/>
      <c r="AF1040" s="6"/>
      <c r="AG1040" s="6"/>
      <c r="AH1040" s="6"/>
      <c r="AI1040" s="6"/>
      <c r="AJ1040" s="6"/>
      <c r="AK1040" s="6"/>
      <c r="AL1040" s="6"/>
      <c r="AM1040" s="6"/>
      <c r="AN1040" s="6" t="s">
        <v>52</v>
      </c>
      <c r="AO1040" s="6" t="s">
        <v>55</v>
      </c>
      <c r="AP1040" s="6">
        <v>1</v>
      </c>
      <c r="AQ1040" s="161" t="s">
        <v>54</v>
      </c>
      <c r="AR1040" s="7">
        <v>8</v>
      </c>
      <c r="AS1040" s="162" t="s">
        <v>151</v>
      </c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</row>
    <row r="1041" spans="1:61" ht="16.5">
      <c r="A1041" s="158">
        <v>9</v>
      </c>
      <c r="B1041" s="7" t="s">
        <v>50</v>
      </c>
      <c r="C1041" s="159">
        <f t="shared" si="34"/>
        <v>82.67</v>
      </c>
      <c r="D1041" s="160">
        <v>5.47</v>
      </c>
      <c r="E1041" s="159">
        <v>0</v>
      </c>
      <c r="F1041" s="159">
        <v>4.5199999999999996</v>
      </c>
      <c r="G1041" s="160">
        <v>4.8099999999999996</v>
      </c>
      <c r="H1041" s="159">
        <v>0</v>
      </c>
      <c r="I1041" s="159">
        <v>0</v>
      </c>
      <c r="J1041" s="160">
        <v>1.03</v>
      </c>
      <c r="K1041" s="160">
        <v>1.5</v>
      </c>
      <c r="L1041" s="112">
        <v>0</v>
      </c>
      <c r="M1041" s="74" t="str">
        <f t="array" ref="M1041">_xlfn.TEXTJOIN("-", TRUE, IF(C1041:L1041&gt;0, $C$2:$L$2, ""))</f>
        <v xml:space="preserve"> Ti-Al-Mo-V-Cr-Fe</v>
      </c>
      <c r="N1041" s="90">
        <f t="shared" si="32"/>
        <v>1033</v>
      </c>
      <c r="O1041" s="91">
        <f t="shared" si="33"/>
        <v>6</v>
      </c>
      <c r="P1041" s="8">
        <v>2</v>
      </c>
      <c r="Q1041" s="160">
        <v>2</v>
      </c>
      <c r="R1041" s="8">
        <v>0</v>
      </c>
      <c r="S1041" s="8">
        <v>0</v>
      </c>
      <c r="T1041" s="8">
        <v>790</v>
      </c>
      <c r="U1041" s="8">
        <v>2</v>
      </c>
      <c r="V1041" s="8">
        <v>2</v>
      </c>
      <c r="W1041" s="8">
        <v>500</v>
      </c>
      <c r="X1041" s="8">
        <v>3</v>
      </c>
      <c r="Y1041" s="8">
        <v>2</v>
      </c>
      <c r="Z1041" s="126"/>
      <c r="AA1041" s="6"/>
      <c r="AB1041" s="8">
        <v>1446.05</v>
      </c>
      <c r="AC1041" s="6"/>
      <c r="AD1041" s="8">
        <v>3.27</v>
      </c>
      <c r="AE1041" s="6"/>
      <c r="AF1041" s="6"/>
      <c r="AG1041" s="6"/>
      <c r="AH1041" s="6"/>
      <c r="AI1041" s="6"/>
      <c r="AJ1041" s="6"/>
      <c r="AK1041" s="6"/>
      <c r="AL1041" s="6"/>
      <c r="AM1041" s="6"/>
      <c r="AN1041" s="6" t="s">
        <v>52</v>
      </c>
      <c r="AO1041" s="6" t="s">
        <v>55</v>
      </c>
      <c r="AP1041" s="6">
        <v>1</v>
      </c>
      <c r="AQ1041" s="161" t="s">
        <v>54</v>
      </c>
      <c r="AR1041" s="7">
        <v>9</v>
      </c>
      <c r="AS1041" s="162" t="s">
        <v>151</v>
      </c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</row>
    <row r="1042" spans="1:61" ht="16.5">
      <c r="A1042" s="158">
        <v>10</v>
      </c>
      <c r="B1042" s="7" t="s">
        <v>50</v>
      </c>
      <c r="C1042" s="159">
        <f t="shared" si="34"/>
        <v>82.67</v>
      </c>
      <c r="D1042" s="160">
        <v>5.47</v>
      </c>
      <c r="E1042" s="159">
        <v>0</v>
      </c>
      <c r="F1042" s="159">
        <v>4.5199999999999996</v>
      </c>
      <c r="G1042" s="160">
        <v>4.8099999999999996</v>
      </c>
      <c r="H1042" s="159">
        <v>0</v>
      </c>
      <c r="I1042" s="159">
        <v>0</v>
      </c>
      <c r="J1042" s="160">
        <v>1.03</v>
      </c>
      <c r="K1042" s="160">
        <v>1.5</v>
      </c>
      <c r="L1042" s="112">
        <v>0</v>
      </c>
      <c r="M1042" s="74" t="str">
        <f t="array" ref="M1042">_xlfn.TEXTJOIN("-", TRUE, IF(C1042:L1042&gt;0, $C$2:$L$2, ""))</f>
        <v xml:space="preserve"> Ti-Al-Mo-V-Cr-Fe</v>
      </c>
      <c r="N1042" s="90">
        <f t="shared" si="32"/>
        <v>1033</v>
      </c>
      <c r="O1042" s="91">
        <f t="shared" si="33"/>
        <v>6</v>
      </c>
      <c r="P1042" s="8">
        <v>2</v>
      </c>
      <c r="Q1042" s="160">
        <v>2</v>
      </c>
      <c r="R1042" s="8">
        <v>0</v>
      </c>
      <c r="S1042" s="8">
        <v>0</v>
      </c>
      <c r="T1042" s="8">
        <v>800</v>
      </c>
      <c r="U1042" s="8">
        <v>2</v>
      </c>
      <c r="V1042" s="8">
        <v>2</v>
      </c>
      <c r="W1042" s="8">
        <v>500</v>
      </c>
      <c r="X1042" s="8">
        <v>3</v>
      </c>
      <c r="Y1042" s="8">
        <v>2</v>
      </c>
      <c r="Z1042" s="126"/>
      <c r="AA1042" s="6"/>
      <c r="AB1042" s="8">
        <v>1454.21</v>
      </c>
      <c r="AC1042" s="6"/>
      <c r="AD1042" s="8">
        <v>3.54</v>
      </c>
      <c r="AE1042" s="6"/>
      <c r="AF1042" s="6"/>
      <c r="AG1042" s="6"/>
      <c r="AH1042" s="6"/>
      <c r="AI1042" s="6"/>
      <c r="AJ1042" s="6"/>
      <c r="AK1042" s="6"/>
      <c r="AL1042" s="6"/>
      <c r="AM1042" s="6"/>
      <c r="AN1042" s="6" t="s">
        <v>52</v>
      </c>
      <c r="AO1042" s="6" t="s">
        <v>55</v>
      </c>
      <c r="AP1042" s="6">
        <v>1</v>
      </c>
      <c r="AQ1042" s="161" t="s">
        <v>54</v>
      </c>
      <c r="AR1042" s="7">
        <v>10</v>
      </c>
      <c r="AS1042" s="162" t="s">
        <v>151</v>
      </c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</row>
    <row r="1043" spans="1:61" ht="16.5">
      <c r="A1043" s="158">
        <v>11</v>
      </c>
      <c r="B1043" s="7" t="s">
        <v>50</v>
      </c>
      <c r="C1043" s="159">
        <f t="shared" si="34"/>
        <v>82.67</v>
      </c>
      <c r="D1043" s="160">
        <v>5.47</v>
      </c>
      <c r="E1043" s="159">
        <v>0</v>
      </c>
      <c r="F1043" s="159">
        <v>4.5199999999999996</v>
      </c>
      <c r="G1043" s="160">
        <v>4.8099999999999996</v>
      </c>
      <c r="H1043" s="159">
        <v>0</v>
      </c>
      <c r="I1043" s="159">
        <v>0</v>
      </c>
      <c r="J1043" s="160">
        <v>1.03</v>
      </c>
      <c r="K1043" s="160">
        <v>1.5</v>
      </c>
      <c r="L1043" s="112">
        <v>0</v>
      </c>
      <c r="M1043" s="74" t="str">
        <f t="array" ref="M1043">_xlfn.TEXTJOIN("-", TRUE, IF(C1043:L1043&gt;0, $C$2:$L$2, ""))</f>
        <v xml:space="preserve"> Ti-Al-Mo-V-Cr-Fe</v>
      </c>
      <c r="N1043" s="90">
        <f t="shared" si="32"/>
        <v>1033</v>
      </c>
      <c r="O1043" s="91">
        <f t="shared" si="33"/>
        <v>6</v>
      </c>
      <c r="P1043" s="8">
        <v>2</v>
      </c>
      <c r="Q1043" s="160">
        <v>2</v>
      </c>
      <c r="R1043" s="8">
        <v>0</v>
      </c>
      <c r="S1043" s="8">
        <v>0</v>
      </c>
      <c r="T1043" s="8">
        <v>810</v>
      </c>
      <c r="U1043" s="8">
        <v>2</v>
      </c>
      <c r="V1043" s="8">
        <v>2</v>
      </c>
      <c r="W1043" s="8">
        <v>500</v>
      </c>
      <c r="X1043" s="8">
        <v>3</v>
      </c>
      <c r="Y1043" s="8">
        <v>2</v>
      </c>
      <c r="Z1043" s="126"/>
      <c r="AA1043" s="6"/>
      <c r="AB1043" s="8">
        <v>1460.74</v>
      </c>
      <c r="AC1043" s="6"/>
      <c r="AD1043" s="8">
        <v>3.58</v>
      </c>
      <c r="AE1043" s="6"/>
      <c r="AF1043" s="6"/>
      <c r="AG1043" s="6"/>
      <c r="AH1043" s="6"/>
      <c r="AI1043" s="6"/>
      <c r="AJ1043" s="6"/>
      <c r="AK1043" s="6"/>
      <c r="AL1043" s="6"/>
      <c r="AM1043" s="6"/>
      <c r="AN1043" s="6" t="s">
        <v>52</v>
      </c>
      <c r="AO1043" s="6" t="s">
        <v>55</v>
      </c>
      <c r="AP1043" s="6">
        <v>1</v>
      </c>
      <c r="AQ1043" s="161" t="s">
        <v>54</v>
      </c>
      <c r="AR1043" s="7">
        <v>11</v>
      </c>
      <c r="AS1043" s="162" t="s">
        <v>151</v>
      </c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</row>
    <row r="1044" spans="1:61" ht="16.5">
      <c r="A1044" s="158">
        <v>12</v>
      </c>
      <c r="B1044" s="7" t="s">
        <v>50</v>
      </c>
      <c r="C1044" s="159">
        <f t="shared" si="34"/>
        <v>82.67</v>
      </c>
      <c r="D1044" s="160">
        <v>5.47</v>
      </c>
      <c r="E1044" s="159">
        <v>0</v>
      </c>
      <c r="F1044" s="159">
        <v>4.5199999999999996</v>
      </c>
      <c r="G1044" s="160">
        <v>4.8099999999999996</v>
      </c>
      <c r="H1044" s="159">
        <v>0</v>
      </c>
      <c r="I1044" s="159">
        <v>0</v>
      </c>
      <c r="J1044" s="160">
        <v>1.03</v>
      </c>
      <c r="K1044" s="160">
        <v>1.5</v>
      </c>
      <c r="L1044" s="112">
        <v>0</v>
      </c>
      <c r="M1044" s="74" t="str">
        <f t="array" ref="M1044">_xlfn.TEXTJOIN("-", TRUE, IF(C1044:L1044&gt;0, $C$2:$L$2, ""))</f>
        <v xml:space="preserve"> Ti-Al-Mo-V-Cr-Fe</v>
      </c>
      <c r="N1044" s="90">
        <f t="shared" si="32"/>
        <v>1033</v>
      </c>
      <c r="O1044" s="91">
        <f t="shared" si="33"/>
        <v>6</v>
      </c>
      <c r="P1044" s="8">
        <v>2</v>
      </c>
      <c r="Q1044" s="160">
        <v>2</v>
      </c>
      <c r="R1044" s="8">
        <v>0</v>
      </c>
      <c r="S1044" s="8">
        <v>0</v>
      </c>
      <c r="T1044" s="8">
        <v>820</v>
      </c>
      <c r="U1044" s="8">
        <v>2</v>
      </c>
      <c r="V1044" s="8">
        <v>2</v>
      </c>
      <c r="W1044" s="8">
        <v>500</v>
      </c>
      <c r="X1044" s="8">
        <v>3</v>
      </c>
      <c r="Y1044" s="8">
        <v>2</v>
      </c>
      <c r="Z1044" s="126"/>
      <c r="AA1044" s="6"/>
      <c r="AB1044" s="8">
        <v>1460.8</v>
      </c>
      <c r="AC1044" s="6"/>
      <c r="AD1044" s="8">
        <v>3.31</v>
      </c>
      <c r="AE1044" s="6"/>
      <c r="AF1044" s="6"/>
      <c r="AG1044" s="6"/>
      <c r="AH1044" s="6"/>
      <c r="AI1044" s="6"/>
      <c r="AJ1044" s="6"/>
      <c r="AK1044" s="6"/>
      <c r="AL1044" s="6"/>
      <c r="AM1044" s="6"/>
      <c r="AN1044" s="6" t="s">
        <v>52</v>
      </c>
      <c r="AO1044" s="6" t="s">
        <v>55</v>
      </c>
      <c r="AP1044" s="6">
        <v>1</v>
      </c>
      <c r="AQ1044" s="161" t="s">
        <v>54</v>
      </c>
      <c r="AR1044" s="7">
        <v>12</v>
      </c>
      <c r="AS1044" s="162" t="s">
        <v>151</v>
      </c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</row>
    <row r="1045" spans="1:61" ht="16.5">
      <c r="A1045" s="158">
        <v>13</v>
      </c>
      <c r="B1045" s="7" t="s">
        <v>50</v>
      </c>
      <c r="C1045" s="159">
        <f t="shared" si="34"/>
        <v>82.67</v>
      </c>
      <c r="D1045" s="160">
        <v>5.47</v>
      </c>
      <c r="E1045" s="159">
        <v>0</v>
      </c>
      <c r="F1045" s="159">
        <v>4.5199999999999996</v>
      </c>
      <c r="G1045" s="160">
        <v>4.8099999999999996</v>
      </c>
      <c r="H1045" s="159">
        <v>0</v>
      </c>
      <c r="I1045" s="159">
        <v>0</v>
      </c>
      <c r="J1045" s="160">
        <v>1.03</v>
      </c>
      <c r="K1045" s="160">
        <v>1.5</v>
      </c>
      <c r="L1045" s="112">
        <v>0</v>
      </c>
      <c r="M1045" s="74" t="str">
        <f t="array" ref="M1045">_xlfn.TEXTJOIN("-", TRUE, IF(C1045:L1045&gt;0, $C$2:$L$2, ""))</f>
        <v xml:space="preserve"> Ti-Al-Mo-V-Cr-Fe</v>
      </c>
      <c r="N1045" s="90">
        <f t="shared" si="32"/>
        <v>1033</v>
      </c>
      <c r="O1045" s="91">
        <f t="shared" si="33"/>
        <v>6</v>
      </c>
      <c r="P1045" s="8">
        <v>2</v>
      </c>
      <c r="Q1045" s="160">
        <v>2</v>
      </c>
      <c r="R1045" s="8">
        <v>0</v>
      </c>
      <c r="S1045" s="8">
        <v>0</v>
      </c>
      <c r="T1045" s="8">
        <v>830</v>
      </c>
      <c r="U1045" s="8">
        <v>2</v>
      </c>
      <c r="V1045" s="8">
        <v>2</v>
      </c>
      <c r="W1045" s="8">
        <v>500</v>
      </c>
      <c r="X1045" s="8">
        <v>3</v>
      </c>
      <c r="Y1045" s="8">
        <v>2</v>
      </c>
      <c r="Z1045" s="126"/>
      <c r="AA1045" s="6"/>
      <c r="AB1045" s="8">
        <v>1469.76</v>
      </c>
      <c r="AC1045" s="6"/>
      <c r="AD1045" s="8">
        <v>3.53</v>
      </c>
      <c r="AE1045" s="6"/>
      <c r="AF1045" s="6"/>
      <c r="AG1045" s="6"/>
      <c r="AH1045" s="6"/>
      <c r="AI1045" s="6"/>
      <c r="AJ1045" s="6"/>
      <c r="AK1045" s="6"/>
      <c r="AL1045" s="6"/>
      <c r="AM1045" s="6"/>
      <c r="AN1045" s="6" t="s">
        <v>52</v>
      </c>
      <c r="AO1045" s="6" t="s">
        <v>55</v>
      </c>
      <c r="AP1045" s="6">
        <v>1</v>
      </c>
      <c r="AQ1045" s="161" t="s">
        <v>54</v>
      </c>
      <c r="AR1045" s="7">
        <v>13</v>
      </c>
      <c r="AS1045" s="162" t="s">
        <v>151</v>
      </c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</row>
    <row r="1046" spans="1:61" ht="16.5">
      <c r="A1046" s="158">
        <v>14</v>
      </c>
      <c r="B1046" s="7" t="s">
        <v>50</v>
      </c>
      <c r="C1046" s="159">
        <f t="shared" si="34"/>
        <v>82.67</v>
      </c>
      <c r="D1046" s="160">
        <v>5.47</v>
      </c>
      <c r="E1046" s="159">
        <v>0</v>
      </c>
      <c r="F1046" s="159">
        <v>4.5199999999999996</v>
      </c>
      <c r="G1046" s="160">
        <v>4.8099999999999996</v>
      </c>
      <c r="H1046" s="159">
        <v>0</v>
      </c>
      <c r="I1046" s="159">
        <v>0</v>
      </c>
      <c r="J1046" s="160">
        <v>1.03</v>
      </c>
      <c r="K1046" s="160">
        <v>1.5</v>
      </c>
      <c r="L1046" s="112">
        <v>0</v>
      </c>
      <c r="M1046" s="74" t="str">
        <f t="array" ref="M1046">_xlfn.TEXTJOIN("-", TRUE, IF(C1046:L1046&gt;0, $C$2:$L$2, ""))</f>
        <v xml:space="preserve"> Ti-Al-Mo-V-Cr-Fe</v>
      </c>
      <c r="N1046" s="90">
        <f t="shared" si="32"/>
        <v>1033</v>
      </c>
      <c r="O1046" s="91">
        <f t="shared" si="33"/>
        <v>6</v>
      </c>
      <c r="P1046" s="8">
        <v>2</v>
      </c>
      <c r="Q1046" s="160">
        <v>2</v>
      </c>
      <c r="R1046" s="8">
        <v>0</v>
      </c>
      <c r="S1046" s="8">
        <v>0</v>
      </c>
      <c r="T1046" s="8">
        <v>840</v>
      </c>
      <c r="U1046" s="8">
        <v>2</v>
      </c>
      <c r="V1046" s="8">
        <v>2</v>
      </c>
      <c r="W1046" s="8">
        <v>500</v>
      </c>
      <c r="X1046" s="8">
        <v>3</v>
      </c>
      <c r="Y1046" s="8">
        <v>2</v>
      </c>
      <c r="Z1046" s="126"/>
      <c r="AA1046" s="6"/>
      <c r="AB1046" s="8">
        <v>1473.05</v>
      </c>
      <c r="AC1046" s="6"/>
      <c r="AD1046" s="8">
        <v>3.41</v>
      </c>
      <c r="AE1046" s="6"/>
      <c r="AF1046" s="6"/>
      <c r="AG1046" s="6"/>
      <c r="AH1046" s="6"/>
      <c r="AI1046" s="6"/>
      <c r="AJ1046" s="6"/>
      <c r="AK1046" s="6"/>
      <c r="AL1046" s="6"/>
      <c r="AM1046" s="6"/>
      <c r="AN1046" s="6" t="s">
        <v>52</v>
      </c>
      <c r="AO1046" s="6" t="s">
        <v>55</v>
      </c>
      <c r="AP1046" s="6">
        <v>1</v>
      </c>
      <c r="AQ1046" s="161" t="s">
        <v>54</v>
      </c>
      <c r="AR1046" s="7">
        <v>14</v>
      </c>
      <c r="AS1046" s="162" t="s">
        <v>151</v>
      </c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</row>
    <row r="1047" spans="1:61" ht="16.5">
      <c r="A1047" s="158">
        <v>15</v>
      </c>
      <c r="B1047" s="7" t="s">
        <v>50</v>
      </c>
      <c r="C1047" s="159">
        <f t="shared" si="34"/>
        <v>82.67</v>
      </c>
      <c r="D1047" s="160">
        <v>5.47</v>
      </c>
      <c r="E1047" s="159">
        <v>0</v>
      </c>
      <c r="F1047" s="159">
        <v>4.5199999999999996</v>
      </c>
      <c r="G1047" s="160">
        <v>4.8099999999999996</v>
      </c>
      <c r="H1047" s="159">
        <v>0</v>
      </c>
      <c r="I1047" s="159">
        <v>0</v>
      </c>
      <c r="J1047" s="160">
        <v>1.03</v>
      </c>
      <c r="K1047" s="160">
        <v>1.5</v>
      </c>
      <c r="L1047" s="112">
        <v>0</v>
      </c>
      <c r="M1047" s="74" t="str">
        <f t="array" ref="M1047">_xlfn.TEXTJOIN("-", TRUE, IF(C1047:L1047&gt;0, $C$2:$L$2, ""))</f>
        <v xml:space="preserve"> Ti-Al-Mo-V-Cr-Fe</v>
      </c>
      <c r="N1047" s="90">
        <f t="shared" si="32"/>
        <v>1033</v>
      </c>
      <c r="O1047" s="91">
        <f t="shared" si="33"/>
        <v>6</v>
      </c>
      <c r="P1047" s="8">
        <v>2</v>
      </c>
      <c r="Q1047" s="160">
        <v>2</v>
      </c>
      <c r="R1047" s="8">
        <v>0</v>
      </c>
      <c r="S1047" s="8">
        <v>0</v>
      </c>
      <c r="T1047" s="8">
        <v>850</v>
      </c>
      <c r="U1047" s="8">
        <v>2</v>
      </c>
      <c r="V1047" s="8">
        <v>2</v>
      </c>
      <c r="W1047" s="8">
        <v>500</v>
      </c>
      <c r="X1047" s="8">
        <v>3</v>
      </c>
      <c r="Y1047" s="8">
        <v>2</v>
      </c>
      <c r="Z1047" s="126"/>
      <c r="AA1047" s="6"/>
      <c r="AB1047" s="8">
        <v>1482.83</v>
      </c>
      <c r="AC1047" s="6"/>
      <c r="AD1047" s="8">
        <v>3.3</v>
      </c>
      <c r="AE1047" s="6"/>
      <c r="AF1047" s="6"/>
      <c r="AG1047" s="6"/>
      <c r="AH1047" s="6"/>
      <c r="AI1047" s="6"/>
      <c r="AJ1047" s="6"/>
      <c r="AK1047" s="6"/>
      <c r="AL1047" s="6"/>
      <c r="AM1047" s="6"/>
      <c r="AN1047" s="6" t="s">
        <v>52</v>
      </c>
      <c r="AO1047" s="6" t="s">
        <v>55</v>
      </c>
      <c r="AP1047" s="6">
        <v>1</v>
      </c>
      <c r="AQ1047" s="161" t="s">
        <v>54</v>
      </c>
      <c r="AR1047" s="7">
        <v>15</v>
      </c>
      <c r="AS1047" s="162" t="s">
        <v>151</v>
      </c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</row>
    <row r="1048" spans="1:61" ht="16.5">
      <c r="A1048" s="158">
        <v>16</v>
      </c>
      <c r="B1048" s="7" t="s">
        <v>50</v>
      </c>
      <c r="C1048" s="159">
        <f t="shared" si="34"/>
        <v>82.67</v>
      </c>
      <c r="D1048" s="160">
        <v>5.47</v>
      </c>
      <c r="E1048" s="159">
        <v>0</v>
      </c>
      <c r="F1048" s="159">
        <v>4.5199999999999996</v>
      </c>
      <c r="G1048" s="160">
        <v>4.8099999999999996</v>
      </c>
      <c r="H1048" s="159">
        <v>0</v>
      </c>
      <c r="I1048" s="159">
        <v>0</v>
      </c>
      <c r="J1048" s="160">
        <v>1.03</v>
      </c>
      <c r="K1048" s="160">
        <v>1.5</v>
      </c>
      <c r="L1048" s="112">
        <v>0</v>
      </c>
      <c r="M1048" s="74" t="str">
        <f t="array" ref="M1048">_xlfn.TEXTJOIN("-", TRUE, IF(C1048:L1048&gt;0, $C$2:$L$2, ""))</f>
        <v xml:space="preserve"> Ti-Al-Mo-V-Cr-Fe</v>
      </c>
      <c r="N1048" s="90">
        <f t="shared" si="32"/>
        <v>1033</v>
      </c>
      <c r="O1048" s="91">
        <f t="shared" si="33"/>
        <v>6</v>
      </c>
      <c r="P1048" s="8">
        <v>2</v>
      </c>
      <c r="Q1048" s="160">
        <v>2</v>
      </c>
      <c r="R1048" s="8">
        <v>0</v>
      </c>
      <c r="S1048" s="8">
        <v>0</v>
      </c>
      <c r="T1048" s="8">
        <v>860</v>
      </c>
      <c r="U1048" s="8">
        <v>2</v>
      </c>
      <c r="V1048" s="8">
        <v>2</v>
      </c>
      <c r="W1048" s="8">
        <v>500</v>
      </c>
      <c r="X1048" s="8">
        <v>3</v>
      </c>
      <c r="Y1048" s="8">
        <v>2</v>
      </c>
      <c r="Z1048" s="126"/>
      <c r="AA1048" s="6"/>
      <c r="AB1048" s="8">
        <v>1492.81</v>
      </c>
      <c r="AC1048" s="6"/>
      <c r="AD1048" s="8">
        <v>3.32</v>
      </c>
      <c r="AE1048" s="6"/>
      <c r="AF1048" s="6"/>
      <c r="AG1048" s="6"/>
      <c r="AH1048" s="6"/>
      <c r="AI1048" s="6"/>
      <c r="AJ1048" s="6"/>
      <c r="AK1048" s="6"/>
      <c r="AL1048" s="6"/>
      <c r="AM1048" s="6"/>
      <c r="AN1048" s="6" t="s">
        <v>52</v>
      </c>
      <c r="AO1048" s="6" t="s">
        <v>55</v>
      </c>
      <c r="AP1048" s="6">
        <v>1</v>
      </c>
      <c r="AQ1048" s="161" t="s">
        <v>54</v>
      </c>
      <c r="AR1048" s="7">
        <v>16</v>
      </c>
      <c r="AS1048" s="162" t="s">
        <v>151</v>
      </c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</row>
    <row r="1049" spans="1:61" ht="16.5">
      <c r="A1049" s="158">
        <v>17</v>
      </c>
      <c r="B1049" s="7" t="s">
        <v>50</v>
      </c>
      <c r="C1049" s="159">
        <f t="shared" si="34"/>
        <v>82.67</v>
      </c>
      <c r="D1049" s="160">
        <v>5.47</v>
      </c>
      <c r="E1049" s="159">
        <v>0</v>
      </c>
      <c r="F1049" s="159">
        <v>4.5199999999999996</v>
      </c>
      <c r="G1049" s="160">
        <v>4.8099999999999996</v>
      </c>
      <c r="H1049" s="159">
        <v>0</v>
      </c>
      <c r="I1049" s="159">
        <v>0</v>
      </c>
      <c r="J1049" s="160">
        <v>1.03</v>
      </c>
      <c r="K1049" s="160">
        <v>1.5</v>
      </c>
      <c r="L1049" s="112">
        <v>0</v>
      </c>
      <c r="M1049" s="74" t="str">
        <f t="array" ref="M1049">_xlfn.TEXTJOIN("-", TRUE, IF(C1049:L1049&gt;0, $C$2:$L$2, ""))</f>
        <v xml:space="preserve"> Ti-Al-Mo-V-Cr-Fe</v>
      </c>
      <c r="N1049" s="90">
        <f t="shared" si="32"/>
        <v>1033</v>
      </c>
      <c r="O1049" s="91">
        <f t="shared" si="33"/>
        <v>6</v>
      </c>
      <c r="P1049" s="8">
        <v>2</v>
      </c>
      <c r="Q1049" s="160">
        <v>2</v>
      </c>
      <c r="R1049" s="8">
        <v>0</v>
      </c>
      <c r="S1049" s="8">
        <v>0</v>
      </c>
      <c r="T1049" s="8">
        <v>710</v>
      </c>
      <c r="U1049" s="8">
        <v>2</v>
      </c>
      <c r="V1049" s="8">
        <v>2</v>
      </c>
      <c r="W1049" s="8">
        <v>550</v>
      </c>
      <c r="X1049" s="8">
        <v>3</v>
      </c>
      <c r="Y1049" s="8">
        <v>2</v>
      </c>
      <c r="Z1049" s="126"/>
      <c r="AA1049" s="6"/>
      <c r="AB1049" s="8">
        <v>1056.45</v>
      </c>
      <c r="AC1049" s="6"/>
      <c r="AD1049" s="8">
        <v>13.14</v>
      </c>
      <c r="AE1049" s="6"/>
      <c r="AF1049" s="6"/>
      <c r="AG1049" s="6"/>
      <c r="AH1049" s="6"/>
      <c r="AI1049" s="6"/>
      <c r="AJ1049" s="6"/>
      <c r="AK1049" s="6"/>
      <c r="AL1049" s="6"/>
      <c r="AM1049" s="6"/>
      <c r="AN1049" s="6" t="s">
        <v>52</v>
      </c>
      <c r="AO1049" s="104" t="s">
        <v>53</v>
      </c>
      <c r="AP1049" s="6">
        <v>1</v>
      </c>
      <c r="AQ1049" s="161" t="s">
        <v>54</v>
      </c>
      <c r="AR1049" s="7">
        <v>17</v>
      </c>
      <c r="AS1049" s="162" t="s">
        <v>151</v>
      </c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</row>
    <row r="1050" spans="1:61" ht="16.5">
      <c r="A1050" s="158">
        <v>18</v>
      </c>
      <c r="B1050" s="7" t="s">
        <v>50</v>
      </c>
      <c r="C1050" s="159">
        <f t="shared" si="34"/>
        <v>82.67</v>
      </c>
      <c r="D1050" s="160">
        <v>5.47</v>
      </c>
      <c r="E1050" s="159">
        <v>0</v>
      </c>
      <c r="F1050" s="159">
        <v>4.5199999999999996</v>
      </c>
      <c r="G1050" s="160">
        <v>4.8099999999999996</v>
      </c>
      <c r="H1050" s="159">
        <v>0</v>
      </c>
      <c r="I1050" s="159">
        <v>0</v>
      </c>
      <c r="J1050" s="160">
        <v>1.03</v>
      </c>
      <c r="K1050" s="160">
        <v>1.5</v>
      </c>
      <c r="L1050" s="112">
        <v>0</v>
      </c>
      <c r="M1050" s="74" t="str">
        <f t="array" ref="M1050">_xlfn.TEXTJOIN("-", TRUE, IF(C1050:L1050&gt;0, $C$2:$L$2, ""))</f>
        <v xml:space="preserve"> Ti-Al-Mo-V-Cr-Fe</v>
      </c>
      <c r="N1050" s="90">
        <f t="shared" si="32"/>
        <v>1033</v>
      </c>
      <c r="O1050" s="91">
        <f t="shared" si="33"/>
        <v>6</v>
      </c>
      <c r="P1050" s="8">
        <v>2</v>
      </c>
      <c r="Q1050" s="160">
        <v>2</v>
      </c>
      <c r="R1050" s="8">
        <v>0</v>
      </c>
      <c r="S1050" s="8">
        <v>0</v>
      </c>
      <c r="T1050" s="8">
        <v>720</v>
      </c>
      <c r="U1050" s="8">
        <v>2</v>
      </c>
      <c r="V1050" s="8">
        <v>2</v>
      </c>
      <c r="W1050" s="8">
        <v>550</v>
      </c>
      <c r="X1050" s="8">
        <v>3</v>
      </c>
      <c r="Y1050" s="8">
        <v>2</v>
      </c>
      <c r="Z1050" s="126"/>
      <c r="AA1050" s="6"/>
      <c r="AB1050" s="8">
        <v>1113</v>
      </c>
      <c r="AC1050" s="6"/>
      <c r="AD1050" s="8">
        <v>12.59</v>
      </c>
      <c r="AE1050" s="6"/>
      <c r="AF1050" s="6"/>
      <c r="AG1050" s="6"/>
      <c r="AH1050" s="6"/>
      <c r="AI1050" s="6"/>
      <c r="AJ1050" s="6"/>
      <c r="AK1050" s="6"/>
      <c r="AL1050" s="6"/>
      <c r="AM1050" s="6"/>
      <c r="AN1050" s="6" t="s">
        <v>52</v>
      </c>
      <c r="AO1050" s="6" t="s">
        <v>55</v>
      </c>
      <c r="AP1050" s="6">
        <v>1</v>
      </c>
      <c r="AQ1050" s="161" t="s">
        <v>54</v>
      </c>
      <c r="AR1050" s="7">
        <v>18</v>
      </c>
      <c r="AS1050" s="162" t="s">
        <v>151</v>
      </c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</row>
    <row r="1051" spans="1:61" ht="16.5">
      <c r="A1051" s="158">
        <v>19</v>
      </c>
      <c r="B1051" s="7" t="s">
        <v>50</v>
      </c>
      <c r="C1051" s="159">
        <f t="shared" si="34"/>
        <v>82.67</v>
      </c>
      <c r="D1051" s="160">
        <v>5.47</v>
      </c>
      <c r="E1051" s="159">
        <v>0</v>
      </c>
      <c r="F1051" s="159">
        <v>4.5199999999999996</v>
      </c>
      <c r="G1051" s="160">
        <v>4.8099999999999996</v>
      </c>
      <c r="H1051" s="159">
        <v>0</v>
      </c>
      <c r="I1051" s="159">
        <v>0</v>
      </c>
      <c r="J1051" s="160">
        <v>1.03</v>
      </c>
      <c r="K1051" s="160">
        <v>1.5</v>
      </c>
      <c r="L1051" s="112">
        <v>0</v>
      </c>
      <c r="M1051" s="74" t="str">
        <f t="array" ref="M1051">_xlfn.TEXTJOIN("-", TRUE, IF(C1051:L1051&gt;0, $C$2:$L$2, ""))</f>
        <v xml:space="preserve"> Ti-Al-Mo-V-Cr-Fe</v>
      </c>
      <c r="N1051" s="90">
        <f t="shared" si="32"/>
        <v>1033</v>
      </c>
      <c r="O1051" s="91">
        <f t="shared" si="33"/>
        <v>6</v>
      </c>
      <c r="P1051" s="8">
        <v>2</v>
      </c>
      <c r="Q1051" s="160">
        <v>2</v>
      </c>
      <c r="R1051" s="8">
        <v>0</v>
      </c>
      <c r="S1051" s="8">
        <v>0</v>
      </c>
      <c r="T1051" s="8">
        <v>730</v>
      </c>
      <c r="U1051" s="8">
        <v>2</v>
      </c>
      <c r="V1051" s="8">
        <v>2</v>
      </c>
      <c r="W1051" s="8">
        <v>550</v>
      </c>
      <c r="X1051" s="8">
        <v>3</v>
      </c>
      <c r="Y1051" s="8">
        <v>2</v>
      </c>
      <c r="Z1051" s="126"/>
      <c r="AA1051" s="6"/>
      <c r="AB1051" s="8">
        <v>1160.26</v>
      </c>
      <c r="AC1051" s="6"/>
      <c r="AD1051" s="8">
        <v>11.55</v>
      </c>
      <c r="AE1051" s="6"/>
      <c r="AF1051" s="6"/>
      <c r="AG1051" s="6"/>
      <c r="AH1051" s="6"/>
      <c r="AI1051" s="6"/>
      <c r="AJ1051" s="6"/>
      <c r="AK1051" s="6"/>
      <c r="AL1051" s="6"/>
      <c r="AM1051" s="6"/>
      <c r="AN1051" s="6" t="s">
        <v>52</v>
      </c>
      <c r="AO1051" s="6" t="s">
        <v>55</v>
      </c>
      <c r="AP1051" s="6">
        <v>1</v>
      </c>
      <c r="AQ1051" s="161" t="s">
        <v>54</v>
      </c>
      <c r="AR1051" s="7">
        <v>19</v>
      </c>
      <c r="AS1051" s="162" t="s">
        <v>151</v>
      </c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</row>
    <row r="1052" spans="1:61" ht="16.5">
      <c r="A1052" s="158">
        <v>20</v>
      </c>
      <c r="B1052" s="7" t="s">
        <v>50</v>
      </c>
      <c r="C1052" s="159">
        <f t="shared" si="34"/>
        <v>82.67</v>
      </c>
      <c r="D1052" s="160">
        <v>5.47</v>
      </c>
      <c r="E1052" s="159">
        <v>0</v>
      </c>
      <c r="F1052" s="159">
        <v>4.5199999999999996</v>
      </c>
      <c r="G1052" s="160">
        <v>4.8099999999999996</v>
      </c>
      <c r="H1052" s="159">
        <v>0</v>
      </c>
      <c r="I1052" s="159">
        <v>0</v>
      </c>
      <c r="J1052" s="160">
        <v>1.03</v>
      </c>
      <c r="K1052" s="160">
        <v>1.5</v>
      </c>
      <c r="L1052" s="112">
        <v>0</v>
      </c>
      <c r="M1052" s="74" t="str">
        <f t="array" ref="M1052">_xlfn.TEXTJOIN("-", TRUE, IF(C1052:L1052&gt;0, $C$2:$L$2, ""))</f>
        <v xml:space="preserve"> Ti-Al-Mo-V-Cr-Fe</v>
      </c>
      <c r="N1052" s="90">
        <f t="shared" si="32"/>
        <v>1033</v>
      </c>
      <c r="O1052" s="91">
        <f t="shared" si="33"/>
        <v>6</v>
      </c>
      <c r="P1052" s="8">
        <v>2</v>
      </c>
      <c r="Q1052" s="160">
        <v>2</v>
      </c>
      <c r="R1052" s="8">
        <v>0</v>
      </c>
      <c r="S1052" s="8">
        <v>0</v>
      </c>
      <c r="T1052" s="8">
        <v>740</v>
      </c>
      <c r="U1052" s="8">
        <v>2</v>
      </c>
      <c r="V1052" s="8">
        <v>2</v>
      </c>
      <c r="W1052" s="8">
        <v>550</v>
      </c>
      <c r="X1052" s="8">
        <v>3</v>
      </c>
      <c r="Y1052" s="8">
        <v>2</v>
      </c>
      <c r="Z1052" s="126"/>
      <c r="AA1052" s="6"/>
      <c r="AB1052" s="8">
        <v>1200.71</v>
      </c>
      <c r="AC1052" s="6"/>
      <c r="AD1052" s="8">
        <v>10.38</v>
      </c>
      <c r="AE1052" s="6"/>
      <c r="AF1052" s="6"/>
      <c r="AG1052" s="6"/>
      <c r="AH1052" s="6"/>
      <c r="AI1052" s="6"/>
      <c r="AJ1052" s="6"/>
      <c r="AK1052" s="6"/>
      <c r="AL1052" s="6"/>
      <c r="AM1052" s="6"/>
      <c r="AN1052" s="6" t="s">
        <v>52</v>
      </c>
      <c r="AO1052" s="6" t="s">
        <v>55</v>
      </c>
      <c r="AP1052" s="6">
        <v>1</v>
      </c>
      <c r="AQ1052" s="161" t="s">
        <v>54</v>
      </c>
      <c r="AR1052" s="7">
        <v>20</v>
      </c>
      <c r="AS1052" s="162" t="s">
        <v>151</v>
      </c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</row>
    <row r="1053" spans="1:61" ht="16.5">
      <c r="A1053" s="158">
        <v>21</v>
      </c>
      <c r="B1053" s="7" t="s">
        <v>50</v>
      </c>
      <c r="C1053" s="159">
        <f t="shared" si="34"/>
        <v>82.67</v>
      </c>
      <c r="D1053" s="160">
        <v>5.47</v>
      </c>
      <c r="E1053" s="159">
        <v>0</v>
      </c>
      <c r="F1053" s="159">
        <v>4.5199999999999996</v>
      </c>
      <c r="G1053" s="160">
        <v>4.8099999999999996</v>
      </c>
      <c r="H1053" s="159">
        <v>0</v>
      </c>
      <c r="I1053" s="159">
        <v>0</v>
      </c>
      <c r="J1053" s="160">
        <v>1.03</v>
      </c>
      <c r="K1053" s="160">
        <v>1.5</v>
      </c>
      <c r="L1053" s="112">
        <v>0</v>
      </c>
      <c r="M1053" s="74" t="str">
        <f t="array" ref="M1053">_xlfn.TEXTJOIN("-", TRUE, IF(C1053:L1053&gt;0, $C$2:$L$2, ""))</f>
        <v xml:space="preserve"> Ti-Al-Mo-V-Cr-Fe</v>
      </c>
      <c r="N1053" s="90">
        <f t="shared" si="32"/>
        <v>1033</v>
      </c>
      <c r="O1053" s="91">
        <f t="shared" si="33"/>
        <v>6</v>
      </c>
      <c r="P1053" s="8">
        <v>2</v>
      </c>
      <c r="Q1053" s="160">
        <v>2</v>
      </c>
      <c r="R1053" s="8">
        <v>0</v>
      </c>
      <c r="S1053" s="8">
        <v>0</v>
      </c>
      <c r="T1053" s="8">
        <v>750</v>
      </c>
      <c r="U1053" s="8">
        <v>2</v>
      </c>
      <c r="V1053" s="8">
        <v>2</v>
      </c>
      <c r="W1053" s="8">
        <v>550</v>
      </c>
      <c r="X1053" s="8">
        <v>3</v>
      </c>
      <c r="Y1053" s="8">
        <v>2</v>
      </c>
      <c r="Z1053" s="126"/>
      <c r="AA1053" s="6"/>
      <c r="AB1053" s="8">
        <v>1251.8499999999999</v>
      </c>
      <c r="AC1053" s="6"/>
      <c r="AD1053" s="8">
        <v>8.42</v>
      </c>
      <c r="AE1053" s="6"/>
      <c r="AF1053" s="6"/>
      <c r="AG1053" s="6"/>
      <c r="AH1053" s="6"/>
      <c r="AI1053" s="6"/>
      <c r="AJ1053" s="6"/>
      <c r="AK1053" s="6"/>
      <c r="AL1053" s="6"/>
      <c r="AM1053" s="6"/>
      <c r="AN1053" s="6" t="s">
        <v>52</v>
      </c>
      <c r="AO1053" s="6" t="s">
        <v>55</v>
      </c>
      <c r="AP1053" s="6">
        <v>1</v>
      </c>
      <c r="AQ1053" s="161" t="s">
        <v>54</v>
      </c>
      <c r="AR1053" s="7">
        <v>21</v>
      </c>
      <c r="AS1053" s="162" t="s">
        <v>151</v>
      </c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</row>
    <row r="1054" spans="1:61" ht="16.5">
      <c r="A1054" s="158">
        <v>22</v>
      </c>
      <c r="B1054" s="7" t="s">
        <v>50</v>
      </c>
      <c r="C1054" s="159">
        <f t="shared" si="34"/>
        <v>82.67</v>
      </c>
      <c r="D1054" s="160">
        <v>5.47</v>
      </c>
      <c r="E1054" s="159">
        <v>0</v>
      </c>
      <c r="F1054" s="159">
        <v>4.5199999999999996</v>
      </c>
      <c r="G1054" s="160">
        <v>4.8099999999999996</v>
      </c>
      <c r="H1054" s="159">
        <v>0</v>
      </c>
      <c r="I1054" s="159">
        <v>0</v>
      </c>
      <c r="J1054" s="160">
        <v>1.03</v>
      </c>
      <c r="K1054" s="160">
        <v>1.5</v>
      </c>
      <c r="L1054" s="112">
        <v>0</v>
      </c>
      <c r="M1054" s="74" t="str">
        <f t="array" ref="M1054">_xlfn.TEXTJOIN("-", TRUE, IF(C1054:L1054&gt;0, $C$2:$L$2, ""))</f>
        <v xml:space="preserve"> Ti-Al-Mo-V-Cr-Fe</v>
      </c>
      <c r="N1054" s="90">
        <f t="shared" si="32"/>
        <v>1033</v>
      </c>
      <c r="O1054" s="91">
        <f t="shared" si="33"/>
        <v>6</v>
      </c>
      <c r="P1054" s="8">
        <v>2</v>
      </c>
      <c r="Q1054" s="160">
        <v>2</v>
      </c>
      <c r="R1054" s="8">
        <v>0</v>
      </c>
      <c r="S1054" s="8">
        <v>0</v>
      </c>
      <c r="T1054" s="8">
        <v>760</v>
      </c>
      <c r="U1054" s="8">
        <v>2</v>
      </c>
      <c r="V1054" s="8">
        <v>2</v>
      </c>
      <c r="W1054" s="8">
        <v>550</v>
      </c>
      <c r="X1054" s="8">
        <v>3</v>
      </c>
      <c r="Y1054" s="8">
        <v>2</v>
      </c>
      <c r="Z1054" s="126"/>
      <c r="AA1054" s="6"/>
      <c r="AB1054" s="8">
        <v>1253.9000000000001</v>
      </c>
      <c r="AC1054" s="6"/>
      <c r="AD1054" s="8">
        <v>5.91</v>
      </c>
      <c r="AE1054" s="6"/>
      <c r="AF1054" s="6"/>
      <c r="AG1054" s="6"/>
      <c r="AH1054" s="6"/>
      <c r="AI1054" s="6"/>
      <c r="AJ1054" s="6"/>
      <c r="AK1054" s="6"/>
      <c r="AL1054" s="6"/>
      <c r="AM1054" s="6"/>
      <c r="AN1054" s="6" t="s">
        <v>52</v>
      </c>
      <c r="AO1054" s="6" t="s">
        <v>55</v>
      </c>
      <c r="AP1054" s="6">
        <v>1</v>
      </c>
      <c r="AQ1054" s="161" t="s">
        <v>54</v>
      </c>
      <c r="AR1054" s="7">
        <v>22</v>
      </c>
      <c r="AS1054" s="162" t="s">
        <v>151</v>
      </c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</row>
    <row r="1055" spans="1:61" ht="16.5">
      <c r="A1055" s="158">
        <v>23</v>
      </c>
      <c r="B1055" s="7" t="s">
        <v>50</v>
      </c>
      <c r="C1055" s="159">
        <f t="shared" si="34"/>
        <v>82.67</v>
      </c>
      <c r="D1055" s="160">
        <v>5.47</v>
      </c>
      <c r="E1055" s="159">
        <v>0</v>
      </c>
      <c r="F1055" s="159">
        <v>4.5199999999999996</v>
      </c>
      <c r="G1055" s="160">
        <v>4.8099999999999996</v>
      </c>
      <c r="H1055" s="159">
        <v>0</v>
      </c>
      <c r="I1055" s="159">
        <v>0</v>
      </c>
      <c r="J1055" s="160">
        <v>1.03</v>
      </c>
      <c r="K1055" s="160">
        <v>1.5</v>
      </c>
      <c r="L1055" s="112">
        <v>0</v>
      </c>
      <c r="M1055" s="74" t="str">
        <f t="array" ref="M1055">_xlfn.TEXTJOIN("-", TRUE, IF(C1055:L1055&gt;0, $C$2:$L$2, ""))</f>
        <v xml:space="preserve"> Ti-Al-Mo-V-Cr-Fe</v>
      </c>
      <c r="N1055" s="90">
        <f t="shared" si="32"/>
        <v>1033</v>
      </c>
      <c r="O1055" s="91">
        <f t="shared" si="33"/>
        <v>6</v>
      </c>
      <c r="P1055" s="8">
        <v>2</v>
      </c>
      <c r="Q1055" s="160">
        <v>2</v>
      </c>
      <c r="R1055" s="8">
        <v>0</v>
      </c>
      <c r="S1055" s="8">
        <v>0</v>
      </c>
      <c r="T1055" s="8">
        <v>770</v>
      </c>
      <c r="U1055" s="8">
        <v>2</v>
      </c>
      <c r="V1055" s="8">
        <v>2</v>
      </c>
      <c r="W1055" s="8">
        <v>550</v>
      </c>
      <c r="X1055" s="8">
        <v>3</v>
      </c>
      <c r="Y1055" s="8">
        <v>2</v>
      </c>
      <c r="Z1055" s="126"/>
      <c r="AA1055" s="6"/>
      <c r="AB1055" s="8">
        <v>1284.99</v>
      </c>
      <c r="AC1055" s="6"/>
      <c r="AD1055" s="8">
        <v>5.1100000000000003</v>
      </c>
      <c r="AE1055" s="6"/>
      <c r="AF1055" s="6"/>
      <c r="AG1055" s="6"/>
      <c r="AH1055" s="6"/>
      <c r="AI1055" s="6"/>
      <c r="AJ1055" s="6"/>
      <c r="AK1055" s="6"/>
      <c r="AL1055" s="6"/>
      <c r="AM1055" s="6"/>
      <c r="AN1055" s="6" t="s">
        <v>52</v>
      </c>
      <c r="AO1055" s="6" t="s">
        <v>55</v>
      </c>
      <c r="AP1055" s="6">
        <v>1</v>
      </c>
      <c r="AQ1055" s="161" t="s">
        <v>54</v>
      </c>
      <c r="AR1055" s="7">
        <v>23</v>
      </c>
      <c r="AS1055" s="162" t="s">
        <v>151</v>
      </c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</row>
    <row r="1056" spans="1:61" ht="16.5">
      <c r="A1056" s="158">
        <v>24</v>
      </c>
      <c r="B1056" s="7" t="s">
        <v>50</v>
      </c>
      <c r="C1056" s="159">
        <f t="shared" si="34"/>
        <v>82.67</v>
      </c>
      <c r="D1056" s="160">
        <v>5.47</v>
      </c>
      <c r="E1056" s="159">
        <v>0</v>
      </c>
      <c r="F1056" s="159">
        <v>4.5199999999999996</v>
      </c>
      <c r="G1056" s="160">
        <v>4.8099999999999996</v>
      </c>
      <c r="H1056" s="159">
        <v>0</v>
      </c>
      <c r="I1056" s="159">
        <v>0</v>
      </c>
      <c r="J1056" s="160">
        <v>1.03</v>
      </c>
      <c r="K1056" s="160">
        <v>1.5</v>
      </c>
      <c r="L1056" s="112">
        <v>0</v>
      </c>
      <c r="M1056" s="74" t="str">
        <f t="array" ref="M1056">_xlfn.TEXTJOIN("-", TRUE, IF(C1056:L1056&gt;0, $C$2:$L$2, ""))</f>
        <v xml:space="preserve"> Ti-Al-Mo-V-Cr-Fe</v>
      </c>
      <c r="N1056" s="90">
        <f t="shared" si="32"/>
        <v>1033</v>
      </c>
      <c r="O1056" s="91">
        <f t="shared" si="33"/>
        <v>6</v>
      </c>
      <c r="P1056" s="8">
        <v>2</v>
      </c>
      <c r="Q1056" s="160">
        <v>2</v>
      </c>
      <c r="R1056" s="8">
        <v>0</v>
      </c>
      <c r="S1056" s="8">
        <v>0</v>
      </c>
      <c r="T1056" s="8">
        <v>780</v>
      </c>
      <c r="U1056" s="8">
        <v>2</v>
      </c>
      <c r="V1056" s="8">
        <v>2</v>
      </c>
      <c r="W1056" s="8">
        <v>550</v>
      </c>
      <c r="X1056" s="8">
        <v>3</v>
      </c>
      <c r="Y1056" s="8">
        <v>2</v>
      </c>
      <c r="Z1056" s="126"/>
      <c r="AA1056" s="6"/>
      <c r="AB1056" s="8">
        <v>1300.6099999999999</v>
      </c>
      <c r="AC1056" s="6"/>
      <c r="AD1056" s="8">
        <v>4.05</v>
      </c>
      <c r="AE1056" s="6"/>
      <c r="AF1056" s="6"/>
      <c r="AG1056" s="6"/>
      <c r="AH1056" s="6"/>
      <c r="AI1056" s="6"/>
      <c r="AJ1056" s="6"/>
      <c r="AK1056" s="6"/>
      <c r="AL1056" s="6"/>
      <c r="AM1056" s="6"/>
      <c r="AN1056" s="6" t="s">
        <v>52</v>
      </c>
      <c r="AO1056" s="6" t="s">
        <v>55</v>
      </c>
      <c r="AP1056" s="6">
        <v>1</v>
      </c>
      <c r="AQ1056" s="161" t="s">
        <v>54</v>
      </c>
      <c r="AR1056" s="7">
        <v>24</v>
      </c>
      <c r="AS1056" s="162" t="s">
        <v>151</v>
      </c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</row>
    <row r="1057" spans="1:61" ht="16.5">
      <c r="A1057" s="158">
        <v>25</v>
      </c>
      <c r="B1057" s="7" t="s">
        <v>50</v>
      </c>
      <c r="C1057" s="159">
        <f t="shared" si="34"/>
        <v>82.67</v>
      </c>
      <c r="D1057" s="160">
        <v>5.47</v>
      </c>
      <c r="E1057" s="159">
        <v>0</v>
      </c>
      <c r="F1057" s="159">
        <v>4.5199999999999996</v>
      </c>
      <c r="G1057" s="160">
        <v>4.8099999999999996</v>
      </c>
      <c r="H1057" s="159">
        <v>0</v>
      </c>
      <c r="I1057" s="159">
        <v>0</v>
      </c>
      <c r="J1057" s="160">
        <v>1.03</v>
      </c>
      <c r="K1057" s="160">
        <v>1.5</v>
      </c>
      <c r="L1057" s="112">
        <v>0</v>
      </c>
      <c r="M1057" s="74" t="str">
        <f t="array" ref="M1057">_xlfn.TEXTJOIN("-", TRUE, IF(C1057:L1057&gt;0, $C$2:$L$2, ""))</f>
        <v xml:space="preserve"> Ti-Al-Mo-V-Cr-Fe</v>
      </c>
      <c r="N1057" s="90">
        <f t="shared" si="32"/>
        <v>1033</v>
      </c>
      <c r="O1057" s="91">
        <f t="shared" si="33"/>
        <v>6</v>
      </c>
      <c r="P1057" s="8">
        <v>2</v>
      </c>
      <c r="Q1057" s="160">
        <v>2</v>
      </c>
      <c r="R1057" s="8">
        <v>0</v>
      </c>
      <c r="S1057" s="8">
        <v>0</v>
      </c>
      <c r="T1057" s="8">
        <v>790</v>
      </c>
      <c r="U1057" s="8">
        <v>2</v>
      </c>
      <c r="V1057" s="8">
        <v>2</v>
      </c>
      <c r="W1057" s="8">
        <v>550</v>
      </c>
      <c r="X1057" s="8">
        <v>3</v>
      </c>
      <c r="Y1057" s="8">
        <v>2</v>
      </c>
      <c r="Z1057" s="126"/>
      <c r="AA1057" s="6"/>
      <c r="AB1057" s="8">
        <v>1336.48</v>
      </c>
      <c r="AC1057" s="6"/>
      <c r="AD1057" s="8">
        <v>3.76</v>
      </c>
      <c r="AE1057" s="6"/>
      <c r="AF1057" s="6"/>
      <c r="AG1057" s="6"/>
      <c r="AH1057" s="6"/>
      <c r="AI1057" s="6"/>
      <c r="AJ1057" s="6"/>
      <c r="AK1057" s="6"/>
      <c r="AL1057" s="6"/>
      <c r="AM1057" s="6"/>
      <c r="AN1057" s="6" t="s">
        <v>52</v>
      </c>
      <c r="AO1057" s="6" t="s">
        <v>55</v>
      </c>
      <c r="AP1057" s="6">
        <v>1</v>
      </c>
      <c r="AQ1057" s="161" t="s">
        <v>54</v>
      </c>
      <c r="AR1057" s="7">
        <v>25</v>
      </c>
      <c r="AS1057" s="162" t="s">
        <v>151</v>
      </c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</row>
    <row r="1058" spans="1:61" ht="16.5">
      <c r="A1058" s="158">
        <v>26</v>
      </c>
      <c r="B1058" s="7" t="s">
        <v>50</v>
      </c>
      <c r="C1058" s="159">
        <f t="shared" si="34"/>
        <v>82.67</v>
      </c>
      <c r="D1058" s="160">
        <v>5.47</v>
      </c>
      <c r="E1058" s="159">
        <v>0</v>
      </c>
      <c r="F1058" s="159">
        <v>4.5199999999999996</v>
      </c>
      <c r="G1058" s="160">
        <v>4.8099999999999996</v>
      </c>
      <c r="H1058" s="159">
        <v>0</v>
      </c>
      <c r="I1058" s="159">
        <v>0</v>
      </c>
      <c r="J1058" s="160">
        <v>1.03</v>
      </c>
      <c r="K1058" s="160">
        <v>1.5</v>
      </c>
      <c r="L1058" s="112">
        <v>0</v>
      </c>
      <c r="M1058" s="74" t="str">
        <f t="array" ref="M1058">_xlfn.TEXTJOIN("-", TRUE, IF(C1058:L1058&gt;0, $C$2:$L$2, ""))</f>
        <v xml:space="preserve"> Ti-Al-Mo-V-Cr-Fe</v>
      </c>
      <c r="N1058" s="90">
        <f t="shared" si="32"/>
        <v>1033</v>
      </c>
      <c r="O1058" s="91">
        <f t="shared" si="33"/>
        <v>6</v>
      </c>
      <c r="P1058" s="8">
        <v>2</v>
      </c>
      <c r="Q1058" s="160">
        <v>2</v>
      </c>
      <c r="R1058" s="8">
        <v>0</v>
      </c>
      <c r="S1058" s="8">
        <v>0</v>
      </c>
      <c r="T1058" s="8">
        <v>800</v>
      </c>
      <c r="U1058" s="8">
        <v>2</v>
      </c>
      <c r="V1058" s="8">
        <v>2</v>
      </c>
      <c r="W1058" s="8">
        <v>550</v>
      </c>
      <c r="X1058" s="8">
        <v>3</v>
      </c>
      <c r="Y1058" s="8">
        <v>2</v>
      </c>
      <c r="Z1058" s="126"/>
      <c r="AA1058" s="6"/>
      <c r="AB1058" s="8">
        <v>1377.68</v>
      </c>
      <c r="AC1058" s="6"/>
      <c r="AD1058" s="8">
        <v>3.7</v>
      </c>
      <c r="AE1058" s="6"/>
      <c r="AF1058" s="6"/>
      <c r="AG1058" s="6"/>
      <c r="AH1058" s="6"/>
      <c r="AI1058" s="6"/>
      <c r="AJ1058" s="6"/>
      <c r="AK1058" s="6"/>
      <c r="AL1058" s="6"/>
      <c r="AM1058" s="6"/>
      <c r="AN1058" s="6" t="s">
        <v>52</v>
      </c>
      <c r="AO1058" s="6" t="s">
        <v>55</v>
      </c>
      <c r="AP1058" s="6">
        <v>1</v>
      </c>
      <c r="AQ1058" s="161" t="s">
        <v>54</v>
      </c>
      <c r="AR1058" s="7">
        <v>26</v>
      </c>
      <c r="AS1058" s="162" t="s">
        <v>151</v>
      </c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</row>
    <row r="1059" spans="1:61" ht="16.5">
      <c r="A1059" s="158">
        <v>27</v>
      </c>
      <c r="B1059" s="7" t="s">
        <v>50</v>
      </c>
      <c r="C1059" s="159">
        <f t="shared" si="34"/>
        <v>82.67</v>
      </c>
      <c r="D1059" s="160">
        <v>5.47</v>
      </c>
      <c r="E1059" s="159">
        <v>0</v>
      </c>
      <c r="F1059" s="159">
        <v>4.5199999999999996</v>
      </c>
      <c r="G1059" s="160">
        <v>4.8099999999999996</v>
      </c>
      <c r="H1059" s="159">
        <v>0</v>
      </c>
      <c r="I1059" s="159">
        <v>0</v>
      </c>
      <c r="J1059" s="160">
        <v>1.03</v>
      </c>
      <c r="K1059" s="160">
        <v>1.5</v>
      </c>
      <c r="L1059" s="112">
        <v>0</v>
      </c>
      <c r="M1059" s="74" t="str">
        <f t="array" ref="M1059">_xlfn.TEXTJOIN("-", TRUE, IF(C1059:L1059&gt;0, $C$2:$L$2, ""))</f>
        <v xml:space="preserve"> Ti-Al-Mo-V-Cr-Fe</v>
      </c>
      <c r="N1059" s="90">
        <f t="shared" si="32"/>
        <v>1033</v>
      </c>
      <c r="O1059" s="91">
        <f t="shared" si="33"/>
        <v>6</v>
      </c>
      <c r="P1059" s="8">
        <v>2</v>
      </c>
      <c r="Q1059" s="160">
        <v>2</v>
      </c>
      <c r="R1059" s="8">
        <v>0</v>
      </c>
      <c r="S1059" s="8">
        <v>0</v>
      </c>
      <c r="T1059" s="8">
        <v>810</v>
      </c>
      <c r="U1059" s="8">
        <v>2</v>
      </c>
      <c r="V1059" s="8">
        <v>2</v>
      </c>
      <c r="W1059" s="8">
        <v>550</v>
      </c>
      <c r="X1059" s="8">
        <v>3</v>
      </c>
      <c r="Y1059" s="8">
        <v>2</v>
      </c>
      <c r="Z1059" s="126"/>
      <c r="AA1059" s="6"/>
      <c r="AB1059" s="8">
        <v>1354.34</v>
      </c>
      <c r="AC1059" s="6"/>
      <c r="AD1059" s="8">
        <v>3.61</v>
      </c>
      <c r="AE1059" s="6"/>
      <c r="AF1059" s="6"/>
      <c r="AG1059" s="6"/>
      <c r="AH1059" s="6"/>
      <c r="AI1059" s="6"/>
      <c r="AJ1059" s="6"/>
      <c r="AK1059" s="6"/>
      <c r="AL1059" s="6"/>
      <c r="AM1059" s="6"/>
      <c r="AN1059" s="6" t="s">
        <v>52</v>
      </c>
      <c r="AO1059" s="6" t="s">
        <v>55</v>
      </c>
      <c r="AP1059" s="6">
        <v>1</v>
      </c>
      <c r="AQ1059" s="161" t="s">
        <v>54</v>
      </c>
      <c r="AR1059" s="7">
        <v>27</v>
      </c>
      <c r="AS1059" s="162" t="s">
        <v>151</v>
      </c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</row>
    <row r="1060" spans="1:61" ht="16.5">
      <c r="A1060" s="158">
        <v>28</v>
      </c>
      <c r="B1060" s="7" t="s">
        <v>50</v>
      </c>
      <c r="C1060" s="159">
        <f t="shared" si="34"/>
        <v>82.67</v>
      </c>
      <c r="D1060" s="160">
        <v>5.47</v>
      </c>
      <c r="E1060" s="159">
        <v>0</v>
      </c>
      <c r="F1060" s="159">
        <v>4.5199999999999996</v>
      </c>
      <c r="G1060" s="160">
        <v>4.8099999999999996</v>
      </c>
      <c r="H1060" s="159">
        <v>0</v>
      </c>
      <c r="I1060" s="159">
        <v>0</v>
      </c>
      <c r="J1060" s="160">
        <v>1.03</v>
      </c>
      <c r="K1060" s="160">
        <v>1.5</v>
      </c>
      <c r="L1060" s="112">
        <v>0</v>
      </c>
      <c r="M1060" s="74" t="str">
        <f t="array" ref="M1060">_xlfn.TEXTJOIN("-", TRUE, IF(C1060:L1060&gt;0, $C$2:$L$2, ""))</f>
        <v xml:space="preserve"> Ti-Al-Mo-V-Cr-Fe</v>
      </c>
      <c r="N1060" s="90">
        <f t="shared" si="32"/>
        <v>1033</v>
      </c>
      <c r="O1060" s="91">
        <f t="shared" si="33"/>
        <v>6</v>
      </c>
      <c r="P1060" s="8">
        <v>2</v>
      </c>
      <c r="Q1060" s="160">
        <v>2</v>
      </c>
      <c r="R1060" s="8">
        <v>0</v>
      </c>
      <c r="S1060" s="8">
        <v>0</v>
      </c>
      <c r="T1060" s="8">
        <v>820</v>
      </c>
      <c r="U1060" s="8">
        <v>2</v>
      </c>
      <c r="V1060" s="8">
        <v>2</v>
      </c>
      <c r="W1060" s="8">
        <v>550</v>
      </c>
      <c r="X1060" s="8">
        <v>3</v>
      </c>
      <c r="Y1060" s="8">
        <v>2</v>
      </c>
      <c r="Z1060" s="126"/>
      <c r="AA1060" s="6"/>
      <c r="AB1060" s="8">
        <v>1361.94</v>
      </c>
      <c r="AC1060" s="6"/>
      <c r="AD1060" s="8">
        <v>3.52</v>
      </c>
      <c r="AE1060" s="6"/>
      <c r="AF1060" s="6"/>
      <c r="AG1060" s="6"/>
      <c r="AH1060" s="6"/>
      <c r="AI1060" s="6"/>
      <c r="AJ1060" s="6"/>
      <c r="AK1060" s="6"/>
      <c r="AL1060" s="6"/>
      <c r="AM1060" s="6"/>
      <c r="AN1060" s="6" t="s">
        <v>52</v>
      </c>
      <c r="AO1060" s="6" t="s">
        <v>55</v>
      </c>
      <c r="AP1060" s="6">
        <v>1</v>
      </c>
      <c r="AQ1060" s="161" t="s">
        <v>54</v>
      </c>
      <c r="AR1060" s="7">
        <v>28</v>
      </c>
      <c r="AS1060" s="162" t="s">
        <v>151</v>
      </c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</row>
    <row r="1061" spans="1:61" ht="16.5">
      <c r="A1061" s="158">
        <v>29</v>
      </c>
      <c r="B1061" s="7" t="s">
        <v>50</v>
      </c>
      <c r="C1061" s="159">
        <f t="shared" si="34"/>
        <v>82.67</v>
      </c>
      <c r="D1061" s="160">
        <v>5.47</v>
      </c>
      <c r="E1061" s="159">
        <v>0</v>
      </c>
      <c r="F1061" s="159">
        <v>4.5199999999999996</v>
      </c>
      <c r="G1061" s="160">
        <v>4.8099999999999996</v>
      </c>
      <c r="H1061" s="159">
        <v>0</v>
      </c>
      <c r="I1061" s="159">
        <v>0</v>
      </c>
      <c r="J1061" s="160">
        <v>1.03</v>
      </c>
      <c r="K1061" s="160">
        <v>1.5</v>
      </c>
      <c r="L1061" s="112">
        <v>0</v>
      </c>
      <c r="M1061" s="74" t="str">
        <f t="array" ref="M1061">_xlfn.TEXTJOIN("-", TRUE, IF(C1061:L1061&gt;0, $C$2:$L$2, ""))</f>
        <v xml:space="preserve"> Ti-Al-Mo-V-Cr-Fe</v>
      </c>
      <c r="N1061" s="90">
        <f t="shared" si="32"/>
        <v>1033</v>
      </c>
      <c r="O1061" s="91">
        <f t="shared" si="33"/>
        <v>6</v>
      </c>
      <c r="P1061" s="8">
        <v>2</v>
      </c>
      <c r="Q1061" s="160">
        <v>2</v>
      </c>
      <c r="R1061" s="8">
        <v>0</v>
      </c>
      <c r="S1061" s="8">
        <v>0</v>
      </c>
      <c r="T1061" s="8">
        <v>830</v>
      </c>
      <c r="U1061" s="8">
        <v>2</v>
      </c>
      <c r="V1061" s="8">
        <v>2</v>
      </c>
      <c r="W1061" s="8">
        <v>550</v>
      </c>
      <c r="X1061" s="8">
        <v>3</v>
      </c>
      <c r="Y1061" s="8">
        <v>2</v>
      </c>
      <c r="Z1061" s="126"/>
      <c r="AA1061" s="6"/>
      <c r="AB1061" s="8">
        <v>1370.3</v>
      </c>
      <c r="AC1061" s="6"/>
      <c r="AD1061" s="8">
        <v>3.44</v>
      </c>
      <c r="AE1061" s="6"/>
      <c r="AF1061" s="6"/>
      <c r="AG1061" s="6"/>
      <c r="AH1061" s="6"/>
      <c r="AI1061" s="6"/>
      <c r="AJ1061" s="6"/>
      <c r="AK1061" s="6"/>
      <c r="AL1061" s="6"/>
      <c r="AM1061" s="6"/>
      <c r="AN1061" s="6" t="s">
        <v>52</v>
      </c>
      <c r="AO1061" s="6" t="s">
        <v>55</v>
      </c>
      <c r="AP1061" s="6">
        <v>1</v>
      </c>
      <c r="AQ1061" s="161" t="s">
        <v>54</v>
      </c>
      <c r="AR1061" s="7">
        <v>29</v>
      </c>
      <c r="AS1061" s="162" t="s">
        <v>151</v>
      </c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</row>
    <row r="1062" spans="1:61" ht="16.5">
      <c r="A1062" s="158">
        <v>30</v>
      </c>
      <c r="B1062" s="7" t="s">
        <v>50</v>
      </c>
      <c r="C1062" s="159">
        <f t="shared" si="34"/>
        <v>82.67</v>
      </c>
      <c r="D1062" s="160">
        <v>5.47</v>
      </c>
      <c r="E1062" s="159">
        <v>0</v>
      </c>
      <c r="F1062" s="159">
        <v>4.5199999999999996</v>
      </c>
      <c r="G1062" s="160">
        <v>4.8099999999999996</v>
      </c>
      <c r="H1062" s="159">
        <v>0</v>
      </c>
      <c r="I1062" s="159">
        <v>0</v>
      </c>
      <c r="J1062" s="160">
        <v>1.03</v>
      </c>
      <c r="K1062" s="160">
        <v>1.5</v>
      </c>
      <c r="L1062" s="112">
        <v>0</v>
      </c>
      <c r="M1062" s="74" t="str">
        <f t="array" ref="M1062">_xlfn.TEXTJOIN("-", TRUE, IF(C1062:L1062&gt;0, $C$2:$L$2, ""))</f>
        <v xml:space="preserve"> Ti-Al-Mo-V-Cr-Fe</v>
      </c>
      <c r="N1062" s="90">
        <f t="shared" si="32"/>
        <v>1033</v>
      </c>
      <c r="O1062" s="91">
        <f t="shared" si="33"/>
        <v>6</v>
      </c>
      <c r="P1062" s="8">
        <v>2</v>
      </c>
      <c r="Q1062" s="160">
        <v>2</v>
      </c>
      <c r="R1062" s="8">
        <v>0</v>
      </c>
      <c r="S1062" s="8">
        <v>0</v>
      </c>
      <c r="T1062" s="8">
        <v>840</v>
      </c>
      <c r="U1062" s="8">
        <v>2</v>
      </c>
      <c r="V1062" s="8">
        <v>2</v>
      </c>
      <c r="W1062" s="8">
        <v>550</v>
      </c>
      <c r="X1062" s="8">
        <v>3</v>
      </c>
      <c r="Y1062" s="8">
        <v>2</v>
      </c>
      <c r="Z1062" s="126"/>
      <c r="AA1062" s="6"/>
      <c r="AB1062" s="8">
        <v>1390.12</v>
      </c>
      <c r="AC1062" s="6"/>
      <c r="AD1062" s="8">
        <v>3.4</v>
      </c>
      <c r="AE1062" s="6"/>
      <c r="AF1062" s="6"/>
      <c r="AG1062" s="6"/>
      <c r="AH1062" s="6"/>
      <c r="AI1062" s="6"/>
      <c r="AJ1062" s="6"/>
      <c r="AK1062" s="6"/>
      <c r="AL1062" s="6"/>
      <c r="AM1062" s="6"/>
      <c r="AN1062" s="6" t="s">
        <v>52</v>
      </c>
      <c r="AO1062" s="6" t="s">
        <v>55</v>
      </c>
      <c r="AP1062" s="6">
        <v>1</v>
      </c>
      <c r="AQ1062" s="161" t="s">
        <v>54</v>
      </c>
      <c r="AR1062" s="7">
        <v>30</v>
      </c>
      <c r="AS1062" s="162" t="s">
        <v>151</v>
      </c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</row>
    <row r="1063" spans="1:61" ht="16.5">
      <c r="A1063" s="158">
        <v>31</v>
      </c>
      <c r="B1063" s="7" t="s">
        <v>50</v>
      </c>
      <c r="C1063" s="159">
        <f t="shared" si="34"/>
        <v>82.67</v>
      </c>
      <c r="D1063" s="160">
        <v>5.47</v>
      </c>
      <c r="E1063" s="159">
        <v>0</v>
      </c>
      <c r="F1063" s="159">
        <v>4.5199999999999996</v>
      </c>
      <c r="G1063" s="160">
        <v>4.8099999999999996</v>
      </c>
      <c r="H1063" s="159">
        <v>0</v>
      </c>
      <c r="I1063" s="159">
        <v>0</v>
      </c>
      <c r="J1063" s="160">
        <v>1.03</v>
      </c>
      <c r="K1063" s="160">
        <v>1.5</v>
      </c>
      <c r="L1063" s="112">
        <v>0</v>
      </c>
      <c r="M1063" s="74" t="str">
        <f t="array" ref="M1063">_xlfn.TEXTJOIN("-", TRUE, IF(C1063:L1063&gt;0, $C$2:$L$2, ""))</f>
        <v xml:space="preserve"> Ti-Al-Mo-V-Cr-Fe</v>
      </c>
      <c r="N1063" s="90">
        <f t="shared" si="32"/>
        <v>1033</v>
      </c>
      <c r="O1063" s="91">
        <f t="shared" si="33"/>
        <v>6</v>
      </c>
      <c r="P1063" s="8">
        <v>2</v>
      </c>
      <c r="Q1063" s="160">
        <v>2</v>
      </c>
      <c r="R1063" s="8">
        <v>0</v>
      </c>
      <c r="S1063" s="8">
        <v>0</v>
      </c>
      <c r="T1063" s="8">
        <v>850</v>
      </c>
      <c r="U1063" s="8">
        <v>2</v>
      </c>
      <c r="V1063" s="8">
        <v>2</v>
      </c>
      <c r="W1063" s="8">
        <v>550</v>
      </c>
      <c r="X1063" s="8">
        <v>3</v>
      </c>
      <c r="Y1063" s="8">
        <v>2</v>
      </c>
      <c r="Z1063" s="126"/>
      <c r="AA1063" s="6"/>
      <c r="AB1063" s="8">
        <v>1409.56</v>
      </c>
      <c r="AC1063" s="6"/>
      <c r="AD1063" s="8">
        <v>3.39</v>
      </c>
      <c r="AE1063" s="6"/>
      <c r="AF1063" s="6"/>
      <c r="AG1063" s="6"/>
      <c r="AH1063" s="6"/>
      <c r="AI1063" s="6"/>
      <c r="AJ1063" s="6"/>
      <c r="AK1063" s="6"/>
      <c r="AL1063" s="6"/>
      <c r="AM1063" s="6"/>
      <c r="AN1063" s="6" t="s">
        <v>52</v>
      </c>
      <c r="AO1063" s="6" t="s">
        <v>55</v>
      </c>
      <c r="AP1063" s="6">
        <v>1</v>
      </c>
      <c r="AQ1063" s="161" t="s">
        <v>54</v>
      </c>
      <c r="AR1063" s="7">
        <v>31</v>
      </c>
      <c r="AS1063" s="162" t="s">
        <v>151</v>
      </c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</row>
    <row r="1064" spans="1:61" ht="16.5">
      <c r="A1064" s="158">
        <v>32</v>
      </c>
      <c r="B1064" s="7" t="s">
        <v>50</v>
      </c>
      <c r="C1064" s="159">
        <f t="shared" si="34"/>
        <v>82.67</v>
      </c>
      <c r="D1064" s="160">
        <v>5.47</v>
      </c>
      <c r="E1064" s="159">
        <v>0</v>
      </c>
      <c r="F1064" s="159">
        <v>4.5199999999999996</v>
      </c>
      <c r="G1064" s="160">
        <v>4.8099999999999996</v>
      </c>
      <c r="H1064" s="159">
        <v>0</v>
      </c>
      <c r="I1064" s="159">
        <v>0</v>
      </c>
      <c r="J1064" s="160">
        <v>1.03</v>
      </c>
      <c r="K1064" s="160">
        <v>1.5</v>
      </c>
      <c r="L1064" s="112">
        <v>0</v>
      </c>
      <c r="M1064" s="74" t="str">
        <f t="array" ref="M1064">_xlfn.TEXTJOIN("-", TRUE, IF(C1064:L1064&gt;0, $C$2:$L$2, ""))</f>
        <v xml:space="preserve"> Ti-Al-Mo-V-Cr-Fe</v>
      </c>
      <c r="N1064" s="90">
        <f t="shared" si="32"/>
        <v>1033</v>
      </c>
      <c r="O1064" s="91">
        <f t="shared" si="33"/>
        <v>6</v>
      </c>
      <c r="P1064" s="8">
        <v>2</v>
      </c>
      <c r="Q1064" s="160">
        <v>2</v>
      </c>
      <c r="R1064" s="8">
        <v>0</v>
      </c>
      <c r="S1064" s="8">
        <v>0</v>
      </c>
      <c r="T1064" s="8">
        <v>860</v>
      </c>
      <c r="U1064" s="8">
        <v>2</v>
      </c>
      <c r="V1064" s="8">
        <v>2</v>
      </c>
      <c r="W1064" s="8">
        <v>550</v>
      </c>
      <c r="X1064" s="8">
        <v>3</v>
      </c>
      <c r="Y1064" s="8">
        <v>2</v>
      </c>
      <c r="Z1064" s="126"/>
      <c r="AA1064" s="6"/>
      <c r="AB1064" s="8">
        <v>1423.7</v>
      </c>
      <c r="AC1064" s="6"/>
      <c r="AD1064" s="8">
        <v>3.33</v>
      </c>
      <c r="AE1064" s="6"/>
      <c r="AF1064" s="6"/>
      <c r="AG1064" s="6"/>
      <c r="AH1064" s="6"/>
      <c r="AI1064" s="6"/>
      <c r="AJ1064" s="6"/>
      <c r="AK1064" s="6"/>
      <c r="AL1064" s="6"/>
      <c r="AM1064" s="6"/>
      <c r="AN1064" s="6" t="s">
        <v>52</v>
      </c>
      <c r="AO1064" s="6" t="s">
        <v>55</v>
      </c>
      <c r="AP1064" s="6">
        <v>1</v>
      </c>
      <c r="AQ1064" s="161" t="s">
        <v>54</v>
      </c>
      <c r="AR1064" s="7">
        <v>32</v>
      </c>
      <c r="AS1064" s="162" t="s">
        <v>151</v>
      </c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</row>
    <row r="1065" spans="1:61" ht="16.5">
      <c r="A1065" s="111">
        <v>393</v>
      </c>
      <c r="B1065" s="93" t="s">
        <v>113</v>
      </c>
      <c r="C1065" s="109">
        <v>80.62</v>
      </c>
      <c r="D1065" s="94">
        <v>10.14</v>
      </c>
      <c r="E1065" s="109">
        <v>0</v>
      </c>
      <c r="F1065" s="109">
        <v>2.4699999999999998</v>
      </c>
      <c r="G1065" s="94">
        <v>4.45</v>
      </c>
      <c r="H1065" s="109">
        <v>0</v>
      </c>
      <c r="I1065" s="109">
        <v>0</v>
      </c>
      <c r="J1065" s="94">
        <v>2.2399999999999998</v>
      </c>
      <c r="K1065" s="94">
        <v>0.08</v>
      </c>
      <c r="L1065" s="109">
        <v>0</v>
      </c>
      <c r="M1065" s="74" t="str">
        <f t="array" ref="M1065">_xlfn.TEXTJOIN("-", TRUE, IF(C1065:L1065&gt;0, $C$2:$L$2, ""))</f>
        <v xml:space="preserve"> Ti-Al-Mo-V-Cr-Fe</v>
      </c>
      <c r="N1065" s="90">
        <f t="shared" si="32"/>
        <v>1033</v>
      </c>
      <c r="O1065" s="91">
        <f t="shared" si="33"/>
        <v>6</v>
      </c>
      <c r="P1065" s="94">
        <v>1</v>
      </c>
      <c r="Q1065" s="94">
        <v>1</v>
      </c>
      <c r="R1065" s="93" t="s">
        <v>113</v>
      </c>
      <c r="S1065" s="93" t="s">
        <v>113</v>
      </c>
      <c r="T1065" s="93" t="s">
        <v>113</v>
      </c>
      <c r="U1065" s="93" t="s">
        <v>113</v>
      </c>
      <c r="V1065" s="93">
        <v>1</v>
      </c>
      <c r="W1065" s="93" t="s">
        <v>113</v>
      </c>
      <c r="X1065" s="93" t="s">
        <v>113</v>
      </c>
      <c r="Y1065" s="93" t="s">
        <v>113</v>
      </c>
      <c r="Z1065" s="109">
        <v>115</v>
      </c>
      <c r="AA1065" s="93" t="s">
        <v>113</v>
      </c>
      <c r="AB1065" s="93" t="s">
        <v>113</v>
      </c>
      <c r="AC1065" s="94">
        <v>636</v>
      </c>
      <c r="AD1065" s="93" t="s">
        <v>113</v>
      </c>
      <c r="AE1065" s="93" t="s">
        <v>113</v>
      </c>
      <c r="AF1065" s="93" t="s">
        <v>113</v>
      </c>
      <c r="AG1065" s="93" t="s">
        <v>113</v>
      </c>
      <c r="AH1065" s="93" t="s">
        <v>113</v>
      </c>
      <c r="AI1065" s="93" t="s">
        <v>113</v>
      </c>
      <c r="AJ1065" s="93" t="s">
        <v>113</v>
      </c>
      <c r="AK1065" s="93" t="s">
        <v>113</v>
      </c>
      <c r="AL1065" s="93" t="s">
        <v>113</v>
      </c>
      <c r="AM1065" s="93"/>
      <c r="AN1065" s="93" t="s">
        <v>113</v>
      </c>
      <c r="AO1065" s="93" t="s">
        <v>114</v>
      </c>
      <c r="AP1065" s="94">
        <v>393</v>
      </c>
      <c r="AQ1065" s="157" t="s">
        <v>100</v>
      </c>
      <c r="AR1065" s="93">
        <v>393</v>
      </c>
    </row>
    <row r="1066" spans="1:61" ht="16.5">
      <c r="A1066" s="158">
        <v>52</v>
      </c>
      <c r="B1066" s="6"/>
      <c r="C1066" s="112">
        <v>80.5</v>
      </c>
      <c r="D1066" s="8">
        <v>5</v>
      </c>
      <c r="E1066" s="112">
        <v>2</v>
      </c>
      <c r="F1066" s="112">
        <v>4</v>
      </c>
      <c r="G1066" s="8">
        <v>0</v>
      </c>
      <c r="H1066" s="112">
        <v>0</v>
      </c>
      <c r="I1066" s="112">
        <v>3</v>
      </c>
      <c r="J1066" s="8">
        <v>5.5</v>
      </c>
      <c r="K1066" s="8">
        <v>0</v>
      </c>
      <c r="L1066" s="112">
        <v>0</v>
      </c>
      <c r="M1066" s="74" t="str">
        <f t="array" ref="M1066">_xlfn.TEXTJOIN("-", TRUE, IF(C1066:L1066&gt;0, $C$2:$L$2, ""))</f>
        <v xml:space="preserve"> Ti-Al-Zr-Mo-Nb-Cr</v>
      </c>
      <c r="N1066" s="90">
        <f t="shared" si="32"/>
        <v>1066</v>
      </c>
      <c r="O1066" s="91">
        <f t="shared" si="33"/>
        <v>6</v>
      </c>
      <c r="P1066" s="8">
        <v>2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600</v>
      </c>
      <c r="X1066" s="8">
        <v>6</v>
      </c>
      <c r="Y1066" s="8">
        <v>2</v>
      </c>
      <c r="Z1066" s="126"/>
      <c r="AA1066" s="6"/>
      <c r="AB1066" s="8">
        <v>1224.3</v>
      </c>
      <c r="AC1066" s="6"/>
      <c r="AD1066" s="8">
        <v>5.2</v>
      </c>
      <c r="AE1066" s="6"/>
      <c r="AF1066" s="6"/>
      <c r="AG1066" s="6"/>
      <c r="AH1066" s="6"/>
      <c r="AI1066" s="6"/>
      <c r="AJ1066" s="6"/>
      <c r="AK1066" s="6"/>
      <c r="AL1066" s="6"/>
      <c r="AM1066" s="6"/>
      <c r="AN1066" s="6" t="s">
        <v>97</v>
      </c>
      <c r="AO1066" s="104" t="s">
        <v>98</v>
      </c>
      <c r="AP1066" s="6">
        <v>6</v>
      </c>
      <c r="AQ1066" s="161" t="s">
        <v>54</v>
      </c>
      <c r="AR1066" s="7">
        <v>52</v>
      </c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</row>
    <row r="1067" spans="1:61" ht="16.5">
      <c r="A1067" s="158">
        <v>53</v>
      </c>
      <c r="B1067" s="6"/>
      <c r="C1067" s="112">
        <v>80.5</v>
      </c>
      <c r="D1067" s="8">
        <v>5</v>
      </c>
      <c r="E1067" s="112">
        <v>2</v>
      </c>
      <c r="F1067" s="112">
        <v>4</v>
      </c>
      <c r="G1067" s="8">
        <v>0</v>
      </c>
      <c r="H1067" s="112">
        <v>0</v>
      </c>
      <c r="I1067" s="112">
        <v>3</v>
      </c>
      <c r="J1067" s="8">
        <v>5.5</v>
      </c>
      <c r="K1067" s="8">
        <v>0</v>
      </c>
      <c r="L1067" s="112">
        <v>0</v>
      </c>
      <c r="M1067" s="74" t="str">
        <f t="array" ref="M1067">_xlfn.TEXTJOIN("-", TRUE, IF(C1067:L1067&gt;0, $C$2:$L$2, ""))</f>
        <v xml:space="preserve"> Ti-Al-Zr-Mo-Nb-Cr</v>
      </c>
      <c r="N1067" s="90">
        <f t="shared" si="32"/>
        <v>1066</v>
      </c>
      <c r="O1067" s="91">
        <f t="shared" si="33"/>
        <v>6</v>
      </c>
      <c r="P1067" s="8">
        <v>2</v>
      </c>
      <c r="Q1067" s="8">
        <v>0</v>
      </c>
      <c r="R1067" s="8">
        <v>0</v>
      </c>
      <c r="S1067" s="8">
        <v>0</v>
      </c>
      <c r="T1067" s="8">
        <v>800</v>
      </c>
      <c r="U1067" s="8">
        <v>0.5</v>
      </c>
      <c r="V1067" s="8">
        <v>3</v>
      </c>
      <c r="W1067" s="8">
        <v>600</v>
      </c>
      <c r="X1067" s="8">
        <v>6</v>
      </c>
      <c r="Y1067" s="8">
        <v>2</v>
      </c>
      <c r="Z1067" s="126"/>
      <c r="AA1067" s="6"/>
      <c r="AB1067" s="8">
        <v>1125.4000000000001</v>
      </c>
      <c r="AC1067" s="6"/>
      <c r="AD1067" s="8">
        <v>18.3</v>
      </c>
      <c r="AE1067" s="6"/>
      <c r="AF1067" s="6"/>
      <c r="AG1067" s="6"/>
      <c r="AH1067" s="6"/>
      <c r="AI1067" s="6"/>
      <c r="AJ1067" s="6"/>
      <c r="AK1067" s="6"/>
      <c r="AL1067" s="6"/>
      <c r="AM1067" s="6"/>
      <c r="AN1067" s="6" t="s">
        <v>97</v>
      </c>
      <c r="AO1067" s="6" t="s">
        <v>98</v>
      </c>
      <c r="AP1067" s="6">
        <v>6</v>
      </c>
      <c r="AQ1067" s="161" t="s">
        <v>54</v>
      </c>
      <c r="AR1067" s="7">
        <v>53</v>
      </c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</row>
    <row r="1068" spans="1:61" ht="16.5">
      <c r="A1068" s="158">
        <v>54</v>
      </c>
      <c r="B1068" s="6"/>
      <c r="C1068" s="112">
        <v>80.5</v>
      </c>
      <c r="D1068" s="8">
        <v>5</v>
      </c>
      <c r="E1068" s="112">
        <v>2</v>
      </c>
      <c r="F1068" s="112">
        <v>4</v>
      </c>
      <c r="G1068" s="8">
        <v>0</v>
      </c>
      <c r="H1068" s="112">
        <v>0</v>
      </c>
      <c r="I1068" s="112">
        <v>3</v>
      </c>
      <c r="J1068" s="8">
        <v>5.5</v>
      </c>
      <c r="K1068" s="8">
        <v>0</v>
      </c>
      <c r="L1068" s="112">
        <v>0</v>
      </c>
      <c r="M1068" s="74" t="str">
        <f t="array" ref="M1068">_xlfn.TEXTJOIN("-", TRUE, IF(C1068:L1068&gt;0, $C$2:$L$2, ""))</f>
        <v xml:space="preserve"> Ti-Al-Zr-Mo-Nb-Cr</v>
      </c>
      <c r="N1068" s="90">
        <f t="shared" si="32"/>
        <v>1066</v>
      </c>
      <c r="O1068" s="91">
        <f t="shared" si="33"/>
        <v>6</v>
      </c>
      <c r="P1068" s="8">
        <v>2</v>
      </c>
      <c r="Q1068" s="8">
        <v>0</v>
      </c>
      <c r="R1068" s="8">
        <v>0</v>
      </c>
      <c r="S1068" s="8">
        <v>0</v>
      </c>
      <c r="T1068" s="8">
        <v>800</v>
      </c>
      <c r="U1068" s="8">
        <v>0.5</v>
      </c>
      <c r="V1068" s="8">
        <v>1</v>
      </c>
      <c r="W1068" s="8">
        <v>0</v>
      </c>
      <c r="X1068" s="8">
        <v>0</v>
      </c>
      <c r="Y1068" s="8">
        <v>0</v>
      </c>
      <c r="Z1068" s="126"/>
      <c r="AA1068" s="6"/>
      <c r="AB1068" s="8">
        <v>886.9</v>
      </c>
      <c r="AC1068" s="6"/>
      <c r="AD1068" s="8">
        <v>19.2</v>
      </c>
      <c r="AE1068" s="6"/>
      <c r="AF1068" s="6"/>
      <c r="AG1068" s="6"/>
      <c r="AH1068" s="6"/>
      <c r="AI1068" s="6"/>
      <c r="AJ1068" s="6"/>
      <c r="AK1068" s="6"/>
      <c r="AL1068" s="6"/>
      <c r="AM1068" s="6"/>
      <c r="AN1068" s="6" t="s">
        <v>97</v>
      </c>
      <c r="AO1068" s="6" t="s">
        <v>98</v>
      </c>
      <c r="AP1068" s="6">
        <v>6</v>
      </c>
      <c r="AQ1068" s="161" t="s">
        <v>54</v>
      </c>
      <c r="AR1068" s="7">
        <v>54</v>
      </c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</row>
    <row r="1069" spans="1:61" ht="16.5">
      <c r="A1069" s="44">
        <v>116</v>
      </c>
      <c r="B1069" s="10"/>
      <c r="C1069" s="44">
        <v>82.8</v>
      </c>
      <c r="D1069" s="10">
        <v>6.2</v>
      </c>
      <c r="E1069" s="44">
        <v>2.6</v>
      </c>
      <c r="F1069" s="44">
        <v>4.2</v>
      </c>
      <c r="G1069" s="10">
        <v>0</v>
      </c>
      <c r="H1069" s="44">
        <v>0</v>
      </c>
      <c r="I1069" s="44">
        <v>2.7</v>
      </c>
      <c r="J1069" s="10">
        <v>1.5</v>
      </c>
      <c r="K1069" s="10">
        <v>0</v>
      </c>
      <c r="L1069" s="44">
        <v>0</v>
      </c>
      <c r="M1069" s="74" t="str">
        <f t="array" ref="M1069">_xlfn.TEXTJOIN("-", TRUE, IF(C1069:L1069&gt;0, $C$2:$L$2, ""))</f>
        <v xml:space="preserve"> Ti-Al-Zr-Mo-Nb-Cr</v>
      </c>
      <c r="N1069" s="90">
        <f t="shared" si="32"/>
        <v>1066</v>
      </c>
      <c r="O1069" s="91">
        <f t="shared" si="33"/>
        <v>6</v>
      </c>
      <c r="P1069" s="10">
        <v>2</v>
      </c>
      <c r="Q1069" s="10">
        <v>2</v>
      </c>
      <c r="R1069" s="10" t="s">
        <v>430</v>
      </c>
      <c r="S1069" s="10" t="s">
        <v>430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44"/>
      <c r="AA1069" s="10"/>
      <c r="AB1069" s="10">
        <v>1097</v>
      </c>
      <c r="AC1069" s="10">
        <v>1073</v>
      </c>
      <c r="AD1069" s="10">
        <v>14</v>
      </c>
      <c r="AE1069" s="10">
        <v>45</v>
      </c>
      <c r="AF1069" s="10"/>
      <c r="AG1069" s="10"/>
      <c r="AH1069" s="10"/>
      <c r="AI1069" s="10"/>
      <c r="AJ1069" s="10"/>
      <c r="AK1069" s="10"/>
      <c r="AL1069" s="10">
        <v>36</v>
      </c>
      <c r="AM1069" s="10"/>
      <c r="AN1069" s="11"/>
      <c r="AO1069" s="11" t="s">
        <v>99</v>
      </c>
      <c r="AP1069" s="10">
        <v>29</v>
      </c>
      <c r="AQ1069" s="163" t="s">
        <v>83</v>
      </c>
      <c r="AR1069" s="10" t="s">
        <v>99</v>
      </c>
      <c r="AS1069" s="10" t="s">
        <v>151</v>
      </c>
    </row>
    <row r="1070" spans="1:61" ht="16.5">
      <c r="A1070" s="44">
        <v>116</v>
      </c>
      <c r="B1070" s="10"/>
      <c r="C1070" s="44">
        <v>82.8</v>
      </c>
      <c r="D1070" s="10">
        <v>6.2</v>
      </c>
      <c r="E1070" s="44">
        <v>2.6</v>
      </c>
      <c r="F1070" s="44">
        <v>4.2</v>
      </c>
      <c r="G1070" s="10">
        <v>0</v>
      </c>
      <c r="H1070" s="44">
        <v>0</v>
      </c>
      <c r="I1070" s="44">
        <v>2.7</v>
      </c>
      <c r="J1070" s="10">
        <v>1.5</v>
      </c>
      <c r="K1070" s="10">
        <v>0</v>
      </c>
      <c r="L1070" s="44">
        <v>0</v>
      </c>
      <c r="M1070" s="74" t="str">
        <f t="array" ref="M1070">_xlfn.TEXTJOIN("-", TRUE, IF(C1070:L1070&gt;0, $C$2:$L$2, ""))</f>
        <v xml:space="preserve"> Ti-Al-Zr-Mo-Nb-Cr</v>
      </c>
      <c r="N1070" s="90">
        <f t="shared" si="32"/>
        <v>1066</v>
      </c>
      <c r="O1070" s="91">
        <f t="shared" si="33"/>
        <v>6</v>
      </c>
      <c r="P1070" s="10">
        <v>2</v>
      </c>
      <c r="Q1070" s="10">
        <v>2</v>
      </c>
      <c r="R1070" s="10" t="s">
        <v>430</v>
      </c>
      <c r="S1070" s="10" t="s">
        <v>430</v>
      </c>
      <c r="T1070" s="10">
        <v>910</v>
      </c>
      <c r="U1070" s="10">
        <v>1</v>
      </c>
      <c r="V1070" s="10">
        <v>2</v>
      </c>
      <c r="W1070" s="10">
        <v>590</v>
      </c>
      <c r="X1070" s="10">
        <v>4</v>
      </c>
      <c r="Y1070" s="10">
        <v>2</v>
      </c>
      <c r="Z1070" s="44"/>
      <c r="AA1070" s="10"/>
      <c r="AB1070" s="10">
        <v>1331</v>
      </c>
      <c r="AC1070" s="10">
        <v>1258</v>
      </c>
      <c r="AD1070" s="10">
        <v>9.8000000000000007</v>
      </c>
      <c r="AE1070" s="10">
        <v>39.5</v>
      </c>
      <c r="AF1070" s="10"/>
      <c r="AG1070" s="10"/>
      <c r="AH1070" s="10"/>
      <c r="AI1070" s="10"/>
      <c r="AJ1070" s="10"/>
      <c r="AK1070" s="10"/>
      <c r="AL1070" s="10">
        <v>29.2</v>
      </c>
      <c r="AM1070" s="10"/>
      <c r="AN1070" s="11"/>
      <c r="AO1070" s="11" t="s">
        <v>99</v>
      </c>
      <c r="AP1070" s="10">
        <v>29</v>
      </c>
      <c r="AQ1070" s="163" t="s">
        <v>83</v>
      </c>
      <c r="AR1070" s="10" t="s">
        <v>99</v>
      </c>
      <c r="AS1070" s="10" t="s">
        <v>151</v>
      </c>
    </row>
    <row r="1071" spans="1:61" ht="16.5">
      <c r="A1071" s="44">
        <v>117</v>
      </c>
      <c r="B1071" s="10"/>
      <c r="C1071" s="44">
        <v>82.8</v>
      </c>
      <c r="D1071" s="10">
        <v>6.2</v>
      </c>
      <c r="E1071" s="44">
        <v>2.6</v>
      </c>
      <c r="F1071" s="44">
        <v>4.2</v>
      </c>
      <c r="G1071" s="10">
        <v>0</v>
      </c>
      <c r="H1071" s="44">
        <v>0</v>
      </c>
      <c r="I1071" s="44">
        <v>2.7</v>
      </c>
      <c r="J1071" s="10">
        <v>1.5</v>
      </c>
      <c r="K1071" s="10">
        <v>0</v>
      </c>
      <c r="L1071" s="44">
        <v>0</v>
      </c>
      <c r="M1071" s="74" t="str">
        <f t="array" ref="M1071">_xlfn.TEXTJOIN("-", TRUE, IF(C1071:L1071&gt;0, $C$2:$L$2, ""))</f>
        <v xml:space="preserve"> Ti-Al-Zr-Mo-Nb-Cr</v>
      </c>
      <c r="N1071" s="90">
        <f t="shared" si="32"/>
        <v>1066</v>
      </c>
      <c r="O1071" s="91">
        <f t="shared" si="33"/>
        <v>6</v>
      </c>
      <c r="P1071" s="10">
        <v>2</v>
      </c>
      <c r="Q1071" s="10">
        <v>2</v>
      </c>
      <c r="R1071" s="10" t="s">
        <v>430</v>
      </c>
      <c r="S1071" s="10" t="s">
        <v>430</v>
      </c>
      <c r="T1071" s="10">
        <v>910</v>
      </c>
      <c r="U1071" s="10">
        <v>1</v>
      </c>
      <c r="V1071" s="10" t="s">
        <v>605</v>
      </c>
      <c r="W1071" s="10">
        <v>590</v>
      </c>
      <c r="X1071" s="10">
        <v>4</v>
      </c>
      <c r="Y1071" s="10">
        <v>2</v>
      </c>
      <c r="Z1071" s="44"/>
      <c r="AA1071" s="10"/>
      <c r="AB1071" s="10">
        <v>1188</v>
      </c>
      <c r="AC1071" s="10">
        <v>1113</v>
      </c>
      <c r="AD1071" s="10">
        <v>13</v>
      </c>
      <c r="AE1071" s="10">
        <v>41</v>
      </c>
      <c r="AF1071" s="10"/>
      <c r="AG1071" s="10"/>
      <c r="AH1071" s="10"/>
      <c r="AI1071" s="10"/>
      <c r="AJ1071" s="10"/>
      <c r="AK1071" s="10"/>
      <c r="AL1071" s="10">
        <v>39</v>
      </c>
      <c r="AM1071" s="10"/>
      <c r="AN1071" s="11"/>
      <c r="AO1071" s="11" t="s">
        <v>99</v>
      </c>
      <c r="AP1071" s="10">
        <v>29</v>
      </c>
      <c r="AQ1071" s="163" t="s">
        <v>83</v>
      </c>
      <c r="AR1071" s="10" t="s">
        <v>99</v>
      </c>
      <c r="AS1071" s="10" t="s">
        <v>151</v>
      </c>
    </row>
    <row r="1072" spans="1:61" ht="16.5">
      <c r="A1072" s="44">
        <v>118</v>
      </c>
      <c r="B1072" s="10"/>
      <c r="C1072" s="44">
        <v>82.8</v>
      </c>
      <c r="D1072" s="10">
        <v>6.2</v>
      </c>
      <c r="E1072" s="44">
        <v>2.6</v>
      </c>
      <c r="F1072" s="44">
        <v>4.2</v>
      </c>
      <c r="G1072" s="10">
        <v>0</v>
      </c>
      <c r="H1072" s="44">
        <v>0</v>
      </c>
      <c r="I1072" s="44">
        <v>2.7</v>
      </c>
      <c r="J1072" s="10">
        <v>1.5</v>
      </c>
      <c r="K1072" s="10">
        <v>0</v>
      </c>
      <c r="L1072" s="44">
        <v>0</v>
      </c>
      <c r="M1072" s="74" t="str">
        <f t="array" ref="M1072">_xlfn.TEXTJOIN("-", TRUE, IF(C1072:L1072&gt;0, $C$2:$L$2, ""))</f>
        <v xml:space="preserve"> Ti-Al-Zr-Mo-Nb-Cr</v>
      </c>
      <c r="N1072" s="90">
        <f t="shared" si="32"/>
        <v>1066</v>
      </c>
      <c r="O1072" s="91">
        <f t="shared" si="33"/>
        <v>6</v>
      </c>
      <c r="P1072" s="10">
        <v>2</v>
      </c>
      <c r="Q1072" s="10">
        <v>2</v>
      </c>
      <c r="R1072" s="10" t="s">
        <v>430</v>
      </c>
      <c r="S1072" s="10" t="s">
        <v>430</v>
      </c>
      <c r="T1072" s="10">
        <v>910</v>
      </c>
      <c r="U1072" s="10">
        <v>1</v>
      </c>
      <c r="V1072" s="10">
        <v>3</v>
      </c>
      <c r="W1072" s="10">
        <v>590</v>
      </c>
      <c r="X1072" s="10">
        <v>4</v>
      </c>
      <c r="Y1072" s="10">
        <v>2</v>
      </c>
      <c r="Z1072" s="44"/>
      <c r="AA1072" s="10"/>
      <c r="AB1072" s="10">
        <v>1048</v>
      </c>
      <c r="AC1072" s="10">
        <v>1001</v>
      </c>
      <c r="AD1072" s="10">
        <v>20.3</v>
      </c>
      <c r="AE1072" s="10">
        <v>61</v>
      </c>
      <c r="AF1072" s="10"/>
      <c r="AG1072" s="10"/>
      <c r="AH1072" s="10"/>
      <c r="AI1072" s="10"/>
      <c r="AJ1072" s="10"/>
      <c r="AK1072" s="10"/>
      <c r="AL1072" s="10">
        <v>53</v>
      </c>
      <c r="AM1072" s="10"/>
      <c r="AN1072" s="11"/>
      <c r="AO1072" s="11" t="s">
        <v>99</v>
      </c>
      <c r="AP1072" s="10">
        <v>29</v>
      </c>
      <c r="AQ1072" s="163" t="s">
        <v>83</v>
      </c>
      <c r="AR1072" s="10" t="s">
        <v>99</v>
      </c>
      <c r="AS1072" s="10" t="s">
        <v>151</v>
      </c>
    </row>
    <row r="1073" spans="1:61" ht="16.5">
      <c r="A1073" s="158">
        <v>115</v>
      </c>
      <c r="B1073" s="6"/>
      <c r="C1073" s="112">
        <v>80.41</v>
      </c>
      <c r="D1073" s="8">
        <v>3</v>
      </c>
      <c r="E1073" s="112">
        <v>1</v>
      </c>
      <c r="F1073" s="112">
        <v>5</v>
      </c>
      <c r="G1073" s="8">
        <v>7.46</v>
      </c>
      <c r="H1073" s="112">
        <v>0</v>
      </c>
      <c r="I1073" s="112">
        <v>0</v>
      </c>
      <c r="J1073" s="8">
        <v>3.13</v>
      </c>
      <c r="K1073" s="8">
        <v>0</v>
      </c>
      <c r="L1073" s="112">
        <v>0</v>
      </c>
      <c r="M1073" s="74" t="str">
        <f t="array" ref="M1073">_xlfn.TEXTJOIN("-", TRUE, IF(C1073:L1073&gt;0, $C$2:$L$2, ""))</f>
        <v xml:space="preserve"> Ti-Al-Zr-Mo-V-Cr</v>
      </c>
      <c r="N1073" s="90">
        <f t="shared" si="32"/>
        <v>1073</v>
      </c>
      <c r="O1073" s="91">
        <f t="shared" si="33"/>
        <v>6</v>
      </c>
      <c r="P1073" s="8">
        <v>1</v>
      </c>
      <c r="Q1073" s="8">
        <v>1</v>
      </c>
      <c r="R1073" s="8">
        <v>20</v>
      </c>
      <c r="S1073" s="8">
        <v>80</v>
      </c>
      <c r="T1073" s="8">
        <v>765</v>
      </c>
      <c r="U1073" s="8">
        <v>0.33</v>
      </c>
      <c r="V1073" s="8">
        <v>2</v>
      </c>
      <c r="W1073" s="8">
        <v>0</v>
      </c>
      <c r="X1073" s="8">
        <v>0</v>
      </c>
      <c r="Y1073" s="8">
        <v>0</v>
      </c>
      <c r="Z1073" s="126"/>
      <c r="AA1073" s="6"/>
      <c r="AB1073" s="8">
        <v>807</v>
      </c>
      <c r="AC1073" s="8"/>
      <c r="AD1073" s="8">
        <v>18.399999999999999</v>
      </c>
      <c r="AE1073" s="6"/>
      <c r="AF1073" s="6"/>
      <c r="AG1073" s="6"/>
      <c r="AH1073" s="6"/>
      <c r="AI1073" s="6"/>
      <c r="AJ1073" s="6"/>
      <c r="AK1073" s="6"/>
      <c r="AL1073" s="6"/>
      <c r="AM1073" s="6"/>
      <c r="AN1073" s="6" t="s">
        <v>145</v>
      </c>
      <c r="AO1073" s="104" t="s">
        <v>146</v>
      </c>
      <c r="AP1073" s="6">
        <v>20</v>
      </c>
      <c r="AQ1073" s="161" t="s">
        <v>54</v>
      </c>
      <c r="AR1073" s="7">
        <v>115</v>
      </c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</row>
    <row r="1074" spans="1:61" ht="16.5">
      <c r="A1074" s="158">
        <v>116</v>
      </c>
      <c r="B1074" s="6"/>
      <c r="C1074" s="112">
        <v>80.41</v>
      </c>
      <c r="D1074" s="8">
        <v>3</v>
      </c>
      <c r="E1074" s="112">
        <v>1</v>
      </c>
      <c r="F1074" s="112">
        <v>5</v>
      </c>
      <c r="G1074" s="8">
        <v>7.46</v>
      </c>
      <c r="H1074" s="112">
        <v>0</v>
      </c>
      <c r="I1074" s="112">
        <v>0</v>
      </c>
      <c r="J1074" s="8">
        <v>3.13</v>
      </c>
      <c r="K1074" s="8">
        <v>0</v>
      </c>
      <c r="L1074" s="112">
        <v>0</v>
      </c>
      <c r="M1074" s="74" t="str">
        <f t="array" ref="M1074">_xlfn.TEXTJOIN("-", TRUE, IF(C1074:L1074&gt;0, $C$2:$L$2, ""))</f>
        <v xml:space="preserve"> Ti-Al-Zr-Mo-V-Cr</v>
      </c>
      <c r="N1074" s="90">
        <f t="shared" si="32"/>
        <v>1073</v>
      </c>
      <c r="O1074" s="91">
        <f t="shared" si="33"/>
        <v>6</v>
      </c>
      <c r="P1074" s="8">
        <v>1</v>
      </c>
      <c r="Q1074" s="8">
        <v>1</v>
      </c>
      <c r="R1074" s="8">
        <v>20</v>
      </c>
      <c r="S1074" s="8">
        <v>80</v>
      </c>
      <c r="T1074" s="8">
        <v>765</v>
      </c>
      <c r="U1074" s="8">
        <v>0.33</v>
      </c>
      <c r="V1074" s="8">
        <v>2</v>
      </c>
      <c r="W1074" s="8">
        <v>500</v>
      </c>
      <c r="X1074" s="8">
        <v>6</v>
      </c>
      <c r="Y1074" s="8">
        <v>2</v>
      </c>
      <c r="Z1074" s="126"/>
      <c r="AA1074" s="6"/>
      <c r="AB1074" s="8">
        <v>1390.3</v>
      </c>
      <c r="AC1074" s="8"/>
      <c r="AD1074" s="8">
        <v>6.1</v>
      </c>
      <c r="AE1074" s="6"/>
      <c r="AF1074" s="6"/>
      <c r="AG1074" s="6"/>
      <c r="AH1074" s="6"/>
      <c r="AI1074" s="6"/>
      <c r="AJ1074" s="6"/>
      <c r="AK1074" s="6"/>
      <c r="AL1074" s="6"/>
      <c r="AM1074" s="6"/>
      <c r="AN1074" s="6" t="s">
        <v>145</v>
      </c>
      <c r="AO1074" s="6" t="s">
        <v>146</v>
      </c>
      <c r="AP1074" s="6">
        <v>20</v>
      </c>
      <c r="AQ1074" s="161" t="s">
        <v>54</v>
      </c>
      <c r="AR1074" s="7">
        <v>116</v>
      </c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</row>
    <row r="1075" spans="1:61" ht="16.5">
      <c r="A1075" s="158">
        <v>117</v>
      </c>
      <c r="B1075" s="6"/>
      <c r="C1075" s="112">
        <v>80.41</v>
      </c>
      <c r="D1075" s="8">
        <v>3</v>
      </c>
      <c r="E1075" s="112">
        <v>1</v>
      </c>
      <c r="F1075" s="112">
        <v>5</v>
      </c>
      <c r="G1075" s="8">
        <v>7.46</v>
      </c>
      <c r="H1075" s="112">
        <v>0</v>
      </c>
      <c r="I1075" s="112">
        <v>0</v>
      </c>
      <c r="J1075" s="8">
        <v>3.13</v>
      </c>
      <c r="K1075" s="8">
        <v>0</v>
      </c>
      <c r="L1075" s="112">
        <v>0</v>
      </c>
      <c r="M1075" s="74" t="str">
        <f t="array" ref="M1075">_xlfn.TEXTJOIN("-", TRUE, IF(C1075:L1075&gt;0, $C$2:$L$2, ""))</f>
        <v xml:space="preserve"> Ti-Al-Zr-Mo-V-Cr</v>
      </c>
      <c r="N1075" s="90">
        <f t="shared" si="32"/>
        <v>1073</v>
      </c>
      <c r="O1075" s="91">
        <f t="shared" si="33"/>
        <v>6</v>
      </c>
      <c r="P1075" s="8">
        <v>1</v>
      </c>
      <c r="Q1075" s="8">
        <v>1</v>
      </c>
      <c r="R1075" s="8">
        <v>20</v>
      </c>
      <c r="S1075" s="8">
        <v>80</v>
      </c>
      <c r="T1075" s="8">
        <v>765</v>
      </c>
      <c r="U1075" s="8">
        <v>0.33</v>
      </c>
      <c r="V1075" s="8">
        <v>2</v>
      </c>
      <c r="W1075" s="8">
        <v>500</v>
      </c>
      <c r="X1075" s="8">
        <v>8</v>
      </c>
      <c r="Y1075" s="8">
        <v>2</v>
      </c>
      <c r="Z1075" s="126"/>
      <c r="AA1075" s="6"/>
      <c r="AB1075" s="8">
        <v>1420.1</v>
      </c>
      <c r="AC1075" s="8"/>
      <c r="AD1075" s="8">
        <v>6.3</v>
      </c>
      <c r="AE1075" s="6"/>
      <c r="AF1075" s="6"/>
      <c r="AG1075" s="6"/>
      <c r="AH1075" s="6"/>
      <c r="AI1075" s="6"/>
      <c r="AJ1075" s="6"/>
      <c r="AK1075" s="6"/>
      <c r="AL1075" s="6"/>
      <c r="AM1075" s="6"/>
      <c r="AN1075" s="6" t="s">
        <v>145</v>
      </c>
      <c r="AO1075" s="6" t="s">
        <v>146</v>
      </c>
      <c r="AP1075" s="6">
        <v>20</v>
      </c>
      <c r="AQ1075" s="161" t="s">
        <v>54</v>
      </c>
      <c r="AR1075" s="7">
        <v>117</v>
      </c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</row>
    <row r="1076" spans="1:61" ht="16.5">
      <c r="A1076" s="158">
        <v>118</v>
      </c>
      <c r="B1076" s="6"/>
      <c r="C1076" s="112">
        <v>80.41</v>
      </c>
      <c r="D1076" s="8">
        <v>3</v>
      </c>
      <c r="E1076" s="112">
        <v>1</v>
      </c>
      <c r="F1076" s="112">
        <v>5</v>
      </c>
      <c r="G1076" s="8">
        <v>7.46</v>
      </c>
      <c r="H1076" s="112">
        <v>0</v>
      </c>
      <c r="I1076" s="112">
        <v>0</v>
      </c>
      <c r="J1076" s="8">
        <v>3.13</v>
      </c>
      <c r="K1076" s="8">
        <v>0</v>
      </c>
      <c r="L1076" s="112">
        <v>0</v>
      </c>
      <c r="M1076" s="74" t="str">
        <f t="array" ref="M1076">_xlfn.TEXTJOIN("-", TRUE, IF(C1076:L1076&gt;0, $C$2:$L$2, ""))</f>
        <v xml:space="preserve"> Ti-Al-Zr-Mo-V-Cr</v>
      </c>
      <c r="N1076" s="90">
        <f t="shared" si="32"/>
        <v>1073</v>
      </c>
      <c r="O1076" s="91">
        <f t="shared" si="33"/>
        <v>6</v>
      </c>
      <c r="P1076" s="8">
        <v>1</v>
      </c>
      <c r="Q1076" s="8">
        <v>1</v>
      </c>
      <c r="R1076" s="8">
        <v>20</v>
      </c>
      <c r="S1076" s="8">
        <v>80</v>
      </c>
      <c r="T1076" s="8">
        <v>765</v>
      </c>
      <c r="U1076" s="8">
        <v>0.33</v>
      </c>
      <c r="V1076" s="8">
        <v>2</v>
      </c>
      <c r="W1076" s="8">
        <v>500</v>
      </c>
      <c r="X1076" s="8">
        <v>10</v>
      </c>
      <c r="Y1076" s="8">
        <v>2</v>
      </c>
      <c r="Z1076" s="126"/>
      <c r="AA1076" s="6"/>
      <c r="AB1076" s="8">
        <v>1369.8</v>
      </c>
      <c r="AC1076" s="8"/>
      <c r="AD1076" s="8">
        <v>5.7</v>
      </c>
      <c r="AE1076" s="6"/>
      <c r="AF1076" s="6"/>
      <c r="AG1076" s="6"/>
      <c r="AH1076" s="6"/>
      <c r="AI1076" s="6"/>
      <c r="AJ1076" s="6"/>
      <c r="AK1076" s="6"/>
      <c r="AL1076" s="6"/>
      <c r="AM1076" s="6"/>
      <c r="AN1076" s="6" t="s">
        <v>145</v>
      </c>
      <c r="AO1076" s="6" t="s">
        <v>146</v>
      </c>
      <c r="AP1076" s="6">
        <v>20</v>
      </c>
      <c r="AQ1076" s="161" t="s">
        <v>54</v>
      </c>
      <c r="AR1076" s="7">
        <v>118</v>
      </c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</row>
    <row r="1077" spans="1:61" ht="16.5">
      <c r="A1077" s="158">
        <v>119</v>
      </c>
      <c r="B1077" s="6"/>
      <c r="C1077" s="112">
        <v>80.41</v>
      </c>
      <c r="D1077" s="8">
        <v>3</v>
      </c>
      <c r="E1077" s="112">
        <v>1</v>
      </c>
      <c r="F1077" s="112">
        <v>5</v>
      </c>
      <c r="G1077" s="8">
        <v>7.46</v>
      </c>
      <c r="H1077" s="112">
        <v>0</v>
      </c>
      <c r="I1077" s="112">
        <v>0</v>
      </c>
      <c r="J1077" s="8">
        <v>3.13</v>
      </c>
      <c r="K1077" s="8">
        <v>0</v>
      </c>
      <c r="L1077" s="112">
        <v>0</v>
      </c>
      <c r="M1077" s="74" t="str">
        <f t="array" ref="M1077">_xlfn.TEXTJOIN("-", TRUE, IF(C1077:L1077&gt;0, $C$2:$L$2, ""))</f>
        <v xml:space="preserve"> Ti-Al-Zr-Mo-V-Cr</v>
      </c>
      <c r="N1077" s="90">
        <f t="shared" si="32"/>
        <v>1073</v>
      </c>
      <c r="O1077" s="91">
        <f t="shared" si="33"/>
        <v>6</v>
      </c>
      <c r="P1077" s="8">
        <v>1</v>
      </c>
      <c r="Q1077" s="8">
        <v>1</v>
      </c>
      <c r="R1077" s="8">
        <v>20</v>
      </c>
      <c r="S1077" s="8">
        <v>80</v>
      </c>
      <c r="T1077" s="8">
        <v>765</v>
      </c>
      <c r="U1077" s="8">
        <v>0.33</v>
      </c>
      <c r="V1077" s="8">
        <v>2</v>
      </c>
      <c r="W1077" s="8">
        <v>500</v>
      </c>
      <c r="X1077" s="8">
        <v>12</v>
      </c>
      <c r="Y1077" s="8">
        <v>2</v>
      </c>
      <c r="Z1077" s="126"/>
      <c r="AA1077" s="6"/>
      <c r="AB1077" s="8">
        <v>1344.6</v>
      </c>
      <c r="AC1077" s="8"/>
      <c r="AD1077" s="8">
        <v>5</v>
      </c>
      <c r="AE1077" s="6"/>
      <c r="AF1077" s="6"/>
      <c r="AG1077" s="6"/>
      <c r="AH1077" s="6"/>
      <c r="AI1077" s="6"/>
      <c r="AJ1077" s="6"/>
      <c r="AK1077" s="6"/>
      <c r="AL1077" s="6"/>
      <c r="AM1077" s="6"/>
      <c r="AN1077" s="6" t="s">
        <v>145</v>
      </c>
      <c r="AO1077" s="6" t="s">
        <v>146</v>
      </c>
      <c r="AP1077" s="6">
        <v>20</v>
      </c>
      <c r="AQ1077" s="161" t="s">
        <v>54</v>
      </c>
      <c r="AR1077" s="7">
        <v>119</v>
      </c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</row>
    <row r="1078" spans="1:61" ht="16.5">
      <c r="A1078" s="158">
        <v>120</v>
      </c>
      <c r="B1078" s="6"/>
      <c r="C1078" s="112">
        <v>80.41</v>
      </c>
      <c r="D1078" s="8">
        <v>3</v>
      </c>
      <c r="E1078" s="112">
        <v>1</v>
      </c>
      <c r="F1078" s="112">
        <v>5</v>
      </c>
      <c r="G1078" s="8">
        <v>7.46</v>
      </c>
      <c r="H1078" s="112">
        <v>0</v>
      </c>
      <c r="I1078" s="112">
        <v>0</v>
      </c>
      <c r="J1078" s="8">
        <v>3.13</v>
      </c>
      <c r="K1078" s="8">
        <v>0</v>
      </c>
      <c r="L1078" s="112">
        <v>0</v>
      </c>
      <c r="M1078" s="74" t="str">
        <f t="array" ref="M1078">_xlfn.TEXTJOIN("-", TRUE, IF(C1078:L1078&gt;0, $C$2:$L$2, ""))</f>
        <v xml:space="preserve"> Ti-Al-Zr-Mo-V-Cr</v>
      </c>
      <c r="N1078" s="90">
        <f t="shared" si="32"/>
        <v>1073</v>
      </c>
      <c r="O1078" s="91">
        <f t="shared" si="33"/>
        <v>6</v>
      </c>
      <c r="P1078" s="8">
        <v>1</v>
      </c>
      <c r="Q1078" s="8">
        <v>1</v>
      </c>
      <c r="R1078" s="8">
        <v>20</v>
      </c>
      <c r="S1078" s="8">
        <v>80</v>
      </c>
      <c r="T1078" s="8">
        <v>800</v>
      </c>
      <c r="U1078" s="8">
        <v>0.33</v>
      </c>
      <c r="V1078" s="8">
        <v>2</v>
      </c>
      <c r="W1078" s="8">
        <v>0</v>
      </c>
      <c r="X1078" s="8">
        <v>0</v>
      </c>
      <c r="Y1078" s="8">
        <v>0</v>
      </c>
      <c r="Z1078" s="126"/>
      <c r="AA1078" s="6"/>
      <c r="AB1078" s="8">
        <v>773</v>
      </c>
      <c r="AC1078" s="8"/>
      <c r="AD1078" s="8">
        <v>17.3</v>
      </c>
      <c r="AE1078" s="6"/>
      <c r="AF1078" s="6"/>
      <c r="AG1078" s="6"/>
      <c r="AH1078" s="6"/>
      <c r="AI1078" s="6"/>
      <c r="AJ1078" s="6"/>
      <c r="AK1078" s="6"/>
      <c r="AL1078" s="6"/>
      <c r="AM1078" s="6"/>
      <c r="AN1078" s="6" t="s">
        <v>145</v>
      </c>
      <c r="AO1078" s="6" t="s">
        <v>146</v>
      </c>
      <c r="AP1078" s="6">
        <v>20</v>
      </c>
      <c r="AQ1078" s="161" t="s">
        <v>54</v>
      </c>
      <c r="AR1078" s="7">
        <v>120</v>
      </c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</row>
    <row r="1079" spans="1:61" ht="16.5">
      <c r="A1079" s="44">
        <v>34</v>
      </c>
      <c r="B1079" s="10"/>
      <c r="C1079" s="44">
        <v>80.885999999999996</v>
      </c>
      <c r="D1079" s="164">
        <v>5.0999999999999996</v>
      </c>
      <c r="E1079" s="44">
        <v>1.0900000000000001</v>
      </c>
      <c r="F1079" s="44">
        <v>4.9400000000000004</v>
      </c>
      <c r="G1079" s="10">
        <v>4.97</v>
      </c>
      <c r="H1079" s="44">
        <v>0</v>
      </c>
      <c r="I1079" s="44">
        <v>0</v>
      </c>
      <c r="J1079" s="10">
        <v>2.93</v>
      </c>
      <c r="K1079" s="10">
        <v>0</v>
      </c>
      <c r="L1079" s="44">
        <v>0</v>
      </c>
      <c r="M1079" s="74" t="str">
        <f t="array" ref="M1079">_xlfn.TEXTJOIN("-", TRUE, IF(C1079:L1079&gt;0, $C$2:$L$2, ""))</f>
        <v xml:space="preserve"> Ti-Al-Zr-Mo-V-Cr</v>
      </c>
      <c r="N1079" s="90">
        <f t="shared" si="32"/>
        <v>1073</v>
      </c>
      <c r="O1079" s="91">
        <f t="shared" si="33"/>
        <v>6</v>
      </c>
      <c r="P1079" s="10" t="s">
        <v>81</v>
      </c>
      <c r="Q1079" s="10" t="s">
        <v>81</v>
      </c>
      <c r="R1079" s="10" t="s">
        <v>81</v>
      </c>
      <c r="S1079" s="10" t="s">
        <v>81</v>
      </c>
      <c r="T1079" s="10" t="s">
        <v>81</v>
      </c>
      <c r="U1079" s="10" t="s">
        <v>81</v>
      </c>
      <c r="V1079" s="10" t="s">
        <v>81</v>
      </c>
      <c r="W1079" s="10" t="s">
        <v>81</v>
      </c>
      <c r="X1079" s="10" t="s">
        <v>81</v>
      </c>
      <c r="Y1079" s="10" t="s">
        <v>81</v>
      </c>
      <c r="Z1079" s="44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>
        <v>28.754999999999999</v>
      </c>
      <c r="AK1079" s="10"/>
      <c r="AL1079" s="10"/>
      <c r="AM1079" s="10"/>
      <c r="AN1079" s="11"/>
      <c r="AO1079" s="11" t="s">
        <v>147</v>
      </c>
      <c r="AP1079" s="10">
        <v>7</v>
      </c>
      <c r="AQ1079" s="163" t="s">
        <v>83</v>
      </c>
      <c r="AR1079" s="10">
        <v>34</v>
      </c>
    </row>
    <row r="1080" spans="1:61" ht="16.5">
      <c r="A1080" s="44">
        <v>35</v>
      </c>
      <c r="B1080" s="10"/>
      <c r="C1080" s="44">
        <v>80.885999999999996</v>
      </c>
      <c r="D1080" s="164">
        <v>5.0999999999999996</v>
      </c>
      <c r="E1080" s="44">
        <v>1.0900000000000001</v>
      </c>
      <c r="F1080" s="44">
        <v>4.9400000000000004</v>
      </c>
      <c r="G1080" s="10">
        <v>4.97</v>
      </c>
      <c r="H1080" s="44">
        <v>0</v>
      </c>
      <c r="I1080" s="44">
        <v>0</v>
      </c>
      <c r="J1080" s="10">
        <v>2.93</v>
      </c>
      <c r="K1080" s="10">
        <v>0</v>
      </c>
      <c r="L1080" s="44">
        <v>0</v>
      </c>
      <c r="M1080" s="74" t="str">
        <f t="array" ref="M1080">_xlfn.TEXTJOIN("-", TRUE, IF(C1080:L1080&gt;0, $C$2:$L$2, ""))</f>
        <v xml:space="preserve"> Ti-Al-Zr-Mo-V-Cr</v>
      </c>
      <c r="N1080" s="90">
        <f t="shared" si="32"/>
        <v>1073</v>
      </c>
      <c r="O1080" s="91">
        <f t="shared" si="33"/>
        <v>6</v>
      </c>
      <c r="P1080" s="10" t="s">
        <v>81</v>
      </c>
      <c r="Q1080" s="10" t="s">
        <v>81</v>
      </c>
      <c r="R1080" s="10" t="s">
        <v>81</v>
      </c>
      <c r="S1080" s="10" t="s">
        <v>81</v>
      </c>
      <c r="T1080" s="10">
        <v>880</v>
      </c>
      <c r="U1080" s="10">
        <v>1.5</v>
      </c>
      <c r="V1080" s="10"/>
      <c r="W1080" s="10">
        <v>600</v>
      </c>
      <c r="X1080" s="10">
        <v>8</v>
      </c>
      <c r="Y1080" s="10">
        <v>2</v>
      </c>
      <c r="Z1080" s="44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>
        <v>34.401000000000003</v>
      </c>
      <c r="AK1080" s="10"/>
      <c r="AL1080" s="10"/>
      <c r="AM1080" s="10"/>
      <c r="AN1080" s="11"/>
      <c r="AO1080" s="11" t="s">
        <v>147</v>
      </c>
      <c r="AP1080" s="10">
        <v>7</v>
      </c>
      <c r="AQ1080" s="163" t="s">
        <v>83</v>
      </c>
      <c r="AR1080" s="10">
        <v>35</v>
      </c>
    </row>
    <row r="1081" spans="1:61" ht="16.5">
      <c r="A1081" s="44">
        <v>36</v>
      </c>
      <c r="B1081" s="10"/>
      <c r="C1081" s="44">
        <v>80.885999999999996</v>
      </c>
      <c r="D1081" s="164">
        <v>5.0999999999999996</v>
      </c>
      <c r="E1081" s="44">
        <v>1.0900000000000001</v>
      </c>
      <c r="F1081" s="44">
        <v>4.9400000000000004</v>
      </c>
      <c r="G1081" s="10">
        <v>4.97</v>
      </c>
      <c r="H1081" s="44">
        <v>0</v>
      </c>
      <c r="I1081" s="44">
        <v>0</v>
      </c>
      <c r="J1081" s="10">
        <v>2.93</v>
      </c>
      <c r="K1081" s="10">
        <v>0</v>
      </c>
      <c r="L1081" s="44">
        <v>0</v>
      </c>
      <c r="M1081" s="74" t="str">
        <f t="array" ref="M1081">_xlfn.TEXTJOIN("-", TRUE, IF(C1081:L1081&gt;0, $C$2:$L$2, ""))</f>
        <v xml:space="preserve"> Ti-Al-Zr-Mo-V-Cr</v>
      </c>
      <c r="N1081" s="90">
        <f t="shared" si="32"/>
        <v>1073</v>
      </c>
      <c r="O1081" s="91">
        <f t="shared" si="33"/>
        <v>6</v>
      </c>
      <c r="P1081" s="10" t="s">
        <v>81</v>
      </c>
      <c r="Q1081" s="10" t="s">
        <v>81</v>
      </c>
      <c r="R1081" s="10" t="s">
        <v>81</v>
      </c>
      <c r="S1081" s="10" t="s">
        <v>81</v>
      </c>
      <c r="T1081" s="10">
        <v>790</v>
      </c>
      <c r="U1081" s="10">
        <v>1.5</v>
      </c>
      <c r="V1081" s="10">
        <v>2</v>
      </c>
      <c r="W1081" s="10">
        <v>600</v>
      </c>
      <c r="X1081" s="10">
        <v>8</v>
      </c>
      <c r="Y1081" s="10">
        <v>2</v>
      </c>
      <c r="Z1081" s="44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>
        <v>23.588000000000001</v>
      </c>
      <c r="AK1081" s="10"/>
      <c r="AL1081" s="10"/>
      <c r="AM1081" s="10"/>
      <c r="AN1081" s="11"/>
      <c r="AO1081" s="11" t="s">
        <v>147</v>
      </c>
      <c r="AP1081" s="10">
        <v>7</v>
      </c>
      <c r="AQ1081" s="163" t="s">
        <v>83</v>
      </c>
      <c r="AR1081" s="10">
        <v>36</v>
      </c>
    </row>
    <row r="1082" spans="1:61" ht="16.5">
      <c r="A1082" s="44">
        <v>37</v>
      </c>
      <c r="B1082" s="10"/>
      <c r="C1082" s="44">
        <v>80.885999999999996</v>
      </c>
      <c r="D1082" s="164">
        <v>5.0999999999999996</v>
      </c>
      <c r="E1082" s="44">
        <v>1.0900000000000001</v>
      </c>
      <c r="F1082" s="44">
        <v>4.9400000000000004</v>
      </c>
      <c r="G1082" s="10">
        <v>4.97</v>
      </c>
      <c r="H1082" s="44">
        <v>0</v>
      </c>
      <c r="I1082" s="44">
        <v>0</v>
      </c>
      <c r="J1082" s="10">
        <v>2.93</v>
      </c>
      <c r="K1082" s="10">
        <v>0</v>
      </c>
      <c r="L1082" s="44">
        <v>0</v>
      </c>
      <c r="M1082" s="74" t="str">
        <f t="array" ref="M1082">_xlfn.TEXTJOIN("-", TRUE, IF(C1082:L1082&gt;0, $C$2:$L$2, ""))</f>
        <v xml:space="preserve"> Ti-Al-Zr-Mo-V-Cr</v>
      </c>
      <c r="N1082" s="90">
        <f t="shared" si="32"/>
        <v>1073</v>
      </c>
      <c r="O1082" s="91">
        <f t="shared" si="33"/>
        <v>6</v>
      </c>
      <c r="P1082" s="10" t="s">
        <v>81</v>
      </c>
      <c r="Q1082" s="10" t="s">
        <v>81</v>
      </c>
      <c r="R1082" s="10" t="s">
        <v>81</v>
      </c>
      <c r="S1082" s="10" t="s">
        <v>81</v>
      </c>
      <c r="T1082" s="10">
        <v>810</v>
      </c>
      <c r="U1082" s="10">
        <v>2</v>
      </c>
      <c r="V1082" s="10">
        <v>3</v>
      </c>
      <c r="W1082" s="10">
        <v>0</v>
      </c>
      <c r="X1082" s="10">
        <v>0</v>
      </c>
      <c r="Y1082" s="10">
        <v>0</v>
      </c>
      <c r="Z1082" s="44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>
        <v>37.909999999999997</v>
      </c>
      <c r="AK1082" s="10"/>
      <c r="AL1082" s="10"/>
      <c r="AM1082" s="10"/>
      <c r="AN1082" s="11"/>
      <c r="AO1082" s="11" t="s">
        <v>147</v>
      </c>
      <c r="AP1082" s="10">
        <v>7</v>
      </c>
      <c r="AQ1082" s="163" t="s">
        <v>83</v>
      </c>
      <c r="AR1082" s="10">
        <v>37</v>
      </c>
    </row>
    <row r="1083" spans="1:61" ht="16.5">
      <c r="A1083" s="44">
        <v>38</v>
      </c>
      <c r="B1083" s="10"/>
      <c r="C1083" s="44">
        <v>80.885999999999996</v>
      </c>
      <c r="D1083" s="164">
        <v>5.0999999999999996</v>
      </c>
      <c r="E1083" s="44">
        <v>1.0900000000000001</v>
      </c>
      <c r="F1083" s="44">
        <v>4.9400000000000004</v>
      </c>
      <c r="G1083" s="10">
        <v>4.97</v>
      </c>
      <c r="H1083" s="44">
        <v>0</v>
      </c>
      <c r="I1083" s="44">
        <v>0</v>
      </c>
      <c r="J1083" s="10">
        <v>2.93</v>
      </c>
      <c r="K1083" s="10">
        <v>0</v>
      </c>
      <c r="L1083" s="44">
        <v>0</v>
      </c>
      <c r="M1083" s="74" t="str">
        <f t="array" ref="M1083">_xlfn.TEXTJOIN("-", TRUE, IF(C1083:L1083&gt;0, $C$2:$L$2, ""))</f>
        <v xml:space="preserve"> Ti-Al-Zr-Mo-V-Cr</v>
      </c>
      <c r="N1083" s="90">
        <f t="shared" si="32"/>
        <v>1073</v>
      </c>
      <c r="O1083" s="91">
        <f t="shared" si="33"/>
        <v>6</v>
      </c>
      <c r="P1083" s="10" t="s">
        <v>81</v>
      </c>
      <c r="Q1083" s="10" t="s">
        <v>81</v>
      </c>
      <c r="R1083" s="10" t="s">
        <v>81</v>
      </c>
      <c r="S1083" s="10" t="s">
        <v>81</v>
      </c>
      <c r="T1083" s="10" t="s">
        <v>81</v>
      </c>
      <c r="U1083" s="10" t="s">
        <v>81</v>
      </c>
      <c r="V1083" s="10" t="s">
        <v>81</v>
      </c>
      <c r="W1083" s="10" t="s">
        <v>81</v>
      </c>
      <c r="X1083" s="10" t="s">
        <v>81</v>
      </c>
      <c r="Y1083" s="10" t="s">
        <v>81</v>
      </c>
      <c r="Z1083" s="44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>
        <v>48.607999999999997</v>
      </c>
      <c r="AK1083" s="10"/>
      <c r="AL1083" s="10"/>
      <c r="AM1083" s="10"/>
      <c r="AN1083" s="11"/>
      <c r="AO1083" s="11" t="s">
        <v>147</v>
      </c>
      <c r="AP1083" s="10">
        <v>7</v>
      </c>
      <c r="AQ1083" s="163" t="s">
        <v>83</v>
      </c>
      <c r="AR1083" s="10">
        <v>38</v>
      </c>
    </row>
    <row r="1084" spans="1:61" ht="16.5">
      <c r="A1084" s="44">
        <v>39</v>
      </c>
      <c r="B1084" s="10"/>
      <c r="C1084" s="44">
        <v>80.885999999999996</v>
      </c>
      <c r="D1084" s="164">
        <v>5.0999999999999996</v>
      </c>
      <c r="E1084" s="44">
        <v>1.0900000000000001</v>
      </c>
      <c r="F1084" s="44">
        <v>4.9400000000000004</v>
      </c>
      <c r="G1084" s="10">
        <v>4.97</v>
      </c>
      <c r="H1084" s="44">
        <v>0</v>
      </c>
      <c r="I1084" s="44">
        <v>0</v>
      </c>
      <c r="J1084" s="10">
        <v>2.93</v>
      </c>
      <c r="K1084" s="10">
        <v>0</v>
      </c>
      <c r="L1084" s="44">
        <v>0</v>
      </c>
      <c r="M1084" s="74" t="str">
        <f t="array" ref="M1084">_xlfn.TEXTJOIN("-", TRUE, IF(C1084:L1084&gt;0, $C$2:$L$2, ""))</f>
        <v xml:space="preserve"> Ti-Al-Zr-Mo-V-Cr</v>
      </c>
      <c r="N1084" s="90">
        <f t="shared" si="32"/>
        <v>1073</v>
      </c>
      <c r="O1084" s="91">
        <f t="shared" si="33"/>
        <v>6</v>
      </c>
      <c r="P1084" s="10" t="s">
        <v>81</v>
      </c>
      <c r="Q1084" s="10" t="s">
        <v>81</v>
      </c>
      <c r="R1084" s="10" t="s">
        <v>81</v>
      </c>
      <c r="S1084" s="10" t="s">
        <v>81</v>
      </c>
      <c r="T1084" s="10">
        <v>810</v>
      </c>
      <c r="U1084" s="10">
        <v>2</v>
      </c>
      <c r="V1084" s="10">
        <v>3</v>
      </c>
      <c r="W1084" s="10">
        <v>0</v>
      </c>
      <c r="X1084" s="10">
        <v>0</v>
      </c>
      <c r="Y1084" s="10">
        <v>0</v>
      </c>
      <c r="Z1084" s="44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>
        <v>57.320999999999998</v>
      </c>
      <c r="AK1084" s="10"/>
      <c r="AL1084" s="10"/>
      <c r="AM1084" s="10"/>
      <c r="AN1084" s="11"/>
      <c r="AO1084" s="11" t="s">
        <v>147</v>
      </c>
      <c r="AP1084" s="10">
        <v>7</v>
      </c>
      <c r="AQ1084" s="163" t="s">
        <v>83</v>
      </c>
      <c r="AR1084" s="10">
        <v>39</v>
      </c>
    </row>
    <row r="1085" spans="1:61" ht="16.5">
      <c r="A1085" s="44">
        <v>63</v>
      </c>
      <c r="B1085" s="10"/>
      <c r="C1085" s="44">
        <v>81.05</v>
      </c>
      <c r="D1085" s="10">
        <v>5.01</v>
      </c>
      <c r="E1085" s="44">
        <v>1</v>
      </c>
      <c r="F1085" s="44">
        <v>4.97</v>
      </c>
      <c r="G1085" s="10">
        <v>4.9800000000000004</v>
      </c>
      <c r="H1085" s="44">
        <v>0</v>
      </c>
      <c r="I1085" s="44">
        <v>0</v>
      </c>
      <c r="J1085" s="10">
        <v>2.99</v>
      </c>
      <c r="K1085" s="10">
        <v>0</v>
      </c>
      <c r="L1085" s="44">
        <v>0</v>
      </c>
      <c r="M1085" s="74" t="str">
        <f t="array" ref="M1085">_xlfn.TEXTJOIN("-", TRUE, IF(C1085:L1085&gt;0, $C$2:$L$2, ""))</f>
        <v xml:space="preserve"> Ti-Al-Zr-Mo-V-Cr</v>
      </c>
      <c r="N1085" s="90">
        <f t="shared" si="32"/>
        <v>1073</v>
      </c>
      <c r="O1085" s="91">
        <f t="shared" si="33"/>
        <v>6</v>
      </c>
      <c r="P1085" s="10" t="s">
        <v>81</v>
      </c>
      <c r="Q1085" s="10">
        <v>2</v>
      </c>
      <c r="R1085" s="10" t="s">
        <v>81</v>
      </c>
      <c r="S1085" s="10" t="s">
        <v>81</v>
      </c>
      <c r="T1085" s="10">
        <v>860</v>
      </c>
      <c r="U1085" s="10">
        <v>2</v>
      </c>
      <c r="V1085" s="10">
        <v>3</v>
      </c>
      <c r="W1085" s="10">
        <v>610</v>
      </c>
      <c r="X1085" s="10">
        <v>3</v>
      </c>
      <c r="Y1085" s="10">
        <v>2</v>
      </c>
      <c r="Z1085" s="44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>
        <v>15.05</v>
      </c>
      <c r="AL1085" s="10"/>
      <c r="AM1085" s="10"/>
      <c r="AN1085" s="11"/>
      <c r="AO1085" s="11" t="s">
        <v>148</v>
      </c>
      <c r="AP1085" s="10">
        <v>12</v>
      </c>
      <c r="AQ1085" s="163" t="s">
        <v>83</v>
      </c>
      <c r="AR1085" s="10">
        <v>63</v>
      </c>
      <c r="AS1085" s="16"/>
    </row>
    <row r="1086" spans="1:61" ht="16.5">
      <c r="A1086" s="44">
        <v>64</v>
      </c>
      <c r="B1086" s="10"/>
      <c r="C1086" s="44">
        <v>81.05</v>
      </c>
      <c r="D1086" s="10">
        <v>5.01</v>
      </c>
      <c r="E1086" s="44">
        <v>1</v>
      </c>
      <c r="F1086" s="44">
        <v>4.97</v>
      </c>
      <c r="G1086" s="10">
        <v>4.9800000000000004</v>
      </c>
      <c r="H1086" s="44">
        <v>0</v>
      </c>
      <c r="I1086" s="44">
        <v>0</v>
      </c>
      <c r="J1086" s="10">
        <v>2.99</v>
      </c>
      <c r="K1086" s="10">
        <v>0</v>
      </c>
      <c r="L1086" s="44">
        <v>0</v>
      </c>
      <c r="M1086" s="74" t="str">
        <f t="array" ref="M1086">_xlfn.TEXTJOIN("-", TRUE, IF(C1086:L1086&gt;0, $C$2:$L$2, ""))</f>
        <v xml:space="preserve"> Ti-Al-Zr-Mo-V-Cr</v>
      </c>
      <c r="N1086" s="90">
        <f t="shared" si="32"/>
        <v>1073</v>
      </c>
      <c r="O1086" s="91">
        <f t="shared" si="33"/>
        <v>6</v>
      </c>
      <c r="P1086" s="10" t="s">
        <v>81</v>
      </c>
      <c r="Q1086" s="10">
        <v>2</v>
      </c>
      <c r="R1086" s="10" t="s">
        <v>81</v>
      </c>
      <c r="S1086" s="10" t="s">
        <v>81</v>
      </c>
      <c r="T1086" s="10">
        <v>860</v>
      </c>
      <c r="U1086" s="10">
        <v>2</v>
      </c>
      <c r="V1086" s="10">
        <v>3</v>
      </c>
      <c r="W1086" s="10">
        <v>640</v>
      </c>
      <c r="X1086" s="10">
        <v>3</v>
      </c>
      <c r="Y1086" s="10">
        <v>2</v>
      </c>
      <c r="Z1086" s="44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>
        <v>19.440000000000001</v>
      </c>
      <c r="AL1086" s="10"/>
      <c r="AM1086" s="10"/>
      <c r="AN1086" s="11"/>
      <c r="AO1086" s="11" t="s">
        <v>148</v>
      </c>
      <c r="AP1086" s="10">
        <v>12</v>
      </c>
      <c r="AQ1086" s="163" t="s">
        <v>83</v>
      </c>
      <c r="AR1086" s="10">
        <v>64</v>
      </c>
      <c r="AS1086" s="16"/>
    </row>
    <row r="1087" spans="1:61" ht="16.5">
      <c r="A1087" s="44">
        <v>65</v>
      </c>
      <c r="B1087" s="10"/>
      <c r="C1087" s="44">
        <v>81.05</v>
      </c>
      <c r="D1087" s="10">
        <v>5.01</v>
      </c>
      <c r="E1087" s="44">
        <v>1</v>
      </c>
      <c r="F1087" s="44">
        <v>4.97</v>
      </c>
      <c r="G1087" s="10">
        <v>4.9800000000000004</v>
      </c>
      <c r="H1087" s="44">
        <v>0</v>
      </c>
      <c r="I1087" s="44">
        <v>0</v>
      </c>
      <c r="J1087" s="10">
        <v>2.99</v>
      </c>
      <c r="K1087" s="10">
        <v>0</v>
      </c>
      <c r="L1087" s="44">
        <v>0</v>
      </c>
      <c r="M1087" s="74" t="str">
        <f t="array" ref="M1087">_xlfn.TEXTJOIN("-", TRUE, IF(C1087:L1087&gt;0, $C$2:$L$2, ""))</f>
        <v xml:space="preserve"> Ti-Al-Zr-Mo-V-Cr</v>
      </c>
      <c r="N1087" s="90">
        <f t="shared" si="32"/>
        <v>1073</v>
      </c>
      <c r="O1087" s="91">
        <f t="shared" si="33"/>
        <v>6</v>
      </c>
      <c r="P1087" s="10" t="s">
        <v>81</v>
      </c>
      <c r="Q1087" s="10">
        <v>2</v>
      </c>
      <c r="R1087" s="10" t="s">
        <v>81</v>
      </c>
      <c r="S1087" s="10" t="s">
        <v>81</v>
      </c>
      <c r="T1087" s="10">
        <v>860</v>
      </c>
      <c r="U1087" s="10">
        <v>2</v>
      </c>
      <c r="V1087" s="10">
        <v>3</v>
      </c>
      <c r="W1087" s="10">
        <v>670</v>
      </c>
      <c r="X1087" s="10">
        <v>3</v>
      </c>
      <c r="Y1087" s="10">
        <v>2</v>
      </c>
      <c r="Z1087" s="44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>
        <v>26.93</v>
      </c>
      <c r="AL1087" s="10"/>
      <c r="AM1087" s="10"/>
      <c r="AN1087" s="11"/>
      <c r="AO1087" s="11" t="s">
        <v>148</v>
      </c>
      <c r="AP1087" s="10">
        <v>12</v>
      </c>
      <c r="AQ1087" s="163" t="s">
        <v>83</v>
      </c>
      <c r="AR1087" s="10">
        <v>65</v>
      </c>
      <c r="AS1087" s="16"/>
    </row>
    <row r="1088" spans="1:61" ht="16.5">
      <c r="A1088" s="111">
        <v>225</v>
      </c>
      <c r="B1088" s="93" t="s">
        <v>101</v>
      </c>
      <c r="C1088" s="111">
        <v>79.760000000000005</v>
      </c>
      <c r="D1088" s="93">
        <v>5.39</v>
      </c>
      <c r="E1088" s="111">
        <v>1.0900000000000001</v>
      </c>
      <c r="F1088" s="111">
        <v>4.8</v>
      </c>
      <c r="G1088" s="93">
        <v>4.95</v>
      </c>
      <c r="H1088" s="111">
        <v>0</v>
      </c>
      <c r="I1088" s="111">
        <v>0</v>
      </c>
      <c r="J1088" s="93">
        <v>3.9</v>
      </c>
      <c r="K1088" s="93">
        <v>0</v>
      </c>
      <c r="L1088" s="111">
        <v>0</v>
      </c>
      <c r="M1088" s="74" t="str">
        <f t="array" ref="M1088">_xlfn.TEXTJOIN("-", TRUE, IF(C1088:L1088&gt;0, $C$2:$L$2, ""))</f>
        <v xml:space="preserve"> Ti-Al-Zr-Mo-V-Cr</v>
      </c>
      <c r="N1088" s="90">
        <f t="shared" si="32"/>
        <v>1073</v>
      </c>
      <c r="O1088" s="91">
        <f t="shared" si="33"/>
        <v>6</v>
      </c>
      <c r="P1088" s="93">
        <v>1</v>
      </c>
      <c r="Q1088" s="93">
        <v>0</v>
      </c>
      <c r="R1088" s="93">
        <v>0</v>
      </c>
      <c r="S1088" s="93">
        <v>0</v>
      </c>
      <c r="T1088" s="94">
        <v>800</v>
      </c>
      <c r="U1088" s="94">
        <v>2</v>
      </c>
      <c r="V1088" s="8">
        <v>2</v>
      </c>
      <c r="W1088" s="94">
        <v>600</v>
      </c>
      <c r="X1088" s="94">
        <v>6</v>
      </c>
      <c r="Y1088" s="103">
        <v>2</v>
      </c>
      <c r="Z1088" s="18" t="s">
        <v>102</v>
      </c>
      <c r="AA1088" s="9" t="s">
        <v>102</v>
      </c>
      <c r="AB1088" s="93">
        <v>1241.75</v>
      </c>
      <c r="AC1088" s="93">
        <v>1230.75</v>
      </c>
      <c r="AD1088" s="93">
        <v>3.7719999999999998</v>
      </c>
      <c r="AE1088" s="9" t="s">
        <v>101</v>
      </c>
      <c r="AF1088" s="9" t="s">
        <v>102</v>
      </c>
      <c r="AG1088" s="9" t="s">
        <v>102</v>
      </c>
      <c r="AH1088" s="9" t="s">
        <v>102</v>
      </c>
      <c r="AI1088" s="9" t="s">
        <v>102</v>
      </c>
      <c r="AJ1088" s="9" t="s">
        <v>102</v>
      </c>
      <c r="AK1088" s="9" t="s">
        <v>102</v>
      </c>
      <c r="AL1088" s="9" t="s">
        <v>102</v>
      </c>
      <c r="AN1088" s="12" t="s">
        <v>101</v>
      </c>
      <c r="AO1088" s="12" t="s">
        <v>103</v>
      </c>
      <c r="AP1088" s="94">
        <v>225</v>
      </c>
      <c r="AQ1088" s="157" t="s">
        <v>100</v>
      </c>
      <c r="AR1088" s="93">
        <v>225</v>
      </c>
    </row>
    <row r="1089" spans="1:44" ht="16.5">
      <c r="A1089" s="111">
        <v>226</v>
      </c>
      <c r="B1089" s="93" t="s">
        <v>101</v>
      </c>
      <c r="C1089" s="111">
        <v>79.760000000000005</v>
      </c>
      <c r="D1089" s="93">
        <v>5.39</v>
      </c>
      <c r="E1089" s="111">
        <v>1.0900000000000001</v>
      </c>
      <c r="F1089" s="111">
        <v>4.8</v>
      </c>
      <c r="G1089" s="93">
        <v>4.95</v>
      </c>
      <c r="H1089" s="111">
        <v>0</v>
      </c>
      <c r="I1089" s="111">
        <v>0</v>
      </c>
      <c r="J1089" s="93">
        <v>3.9</v>
      </c>
      <c r="K1089" s="93">
        <v>0</v>
      </c>
      <c r="L1089" s="111">
        <v>0</v>
      </c>
      <c r="M1089" s="74" t="str">
        <f t="array" ref="M1089">_xlfn.TEXTJOIN("-", TRUE, IF(C1089:L1089&gt;0, $C$2:$L$2, ""))</f>
        <v xml:space="preserve"> Ti-Al-Zr-Mo-V-Cr</v>
      </c>
      <c r="N1089" s="90">
        <f t="shared" si="32"/>
        <v>1073</v>
      </c>
      <c r="O1089" s="91">
        <f t="shared" si="33"/>
        <v>6</v>
      </c>
      <c r="P1089" s="93">
        <v>1</v>
      </c>
      <c r="Q1089" s="93">
        <v>0</v>
      </c>
      <c r="R1089" s="93">
        <v>0</v>
      </c>
      <c r="S1089" s="93">
        <v>0</v>
      </c>
      <c r="T1089" s="94">
        <v>800</v>
      </c>
      <c r="U1089" s="94">
        <v>2</v>
      </c>
      <c r="V1089" s="8">
        <v>2</v>
      </c>
      <c r="W1089" s="94">
        <v>600</v>
      </c>
      <c r="X1089" s="94">
        <v>7</v>
      </c>
      <c r="Y1089" s="103">
        <v>2</v>
      </c>
      <c r="Z1089" s="18" t="s">
        <v>102</v>
      </c>
      <c r="AA1089" s="9" t="s">
        <v>102</v>
      </c>
      <c r="AB1089" s="93">
        <v>1265.29</v>
      </c>
      <c r="AC1089" s="93">
        <v>1234.29</v>
      </c>
      <c r="AD1089" s="93">
        <v>3.4079999999999999</v>
      </c>
      <c r="AE1089" s="9" t="s">
        <v>101</v>
      </c>
      <c r="AF1089" s="9" t="s">
        <v>102</v>
      </c>
      <c r="AG1089" s="9" t="s">
        <v>102</v>
      </c>
      <c r="AH1089" s="9" t="s">
        <v>102</v>
      </c>
      <c r="AI1089" s="9" t="s">
        <v>102</v>
      </c>
      <c r="AJ1089" s="9" t="s">
        <v>102</v>
      </c>
      <c r="AK1089" s="9" t="s">
        <v>102</v>
      </c>
      <c r="AL1089" s="9" t="s">
        <v>102</v>
      </c>
      <c r="AN1089" s="12" t="s">
        <v>101</v>
      </c>
      <c r="AO1089" s="12" t="s">
        <v>103</v>
      </c>
      <c r="AP1089" s="94">
        <v>226</v>
      </c>
      <c r="AQ1089" s="157" t="s">
        <v>100</v>
      </c>
      <c r="AR1089" s="93">
        <v>226</v>
      </c>
    </row>
    <row r="1090" spans="1:44" ht="16.5">
      <c r="A1090" s="111">
        <v>227</v>
      </c>
      <c r="B1090" s="93" t="s">
        <v>101</v>
      </c>
      <c r="C1090" s="111">
        <v>79.760000000000005</v>
      </c>
      <c r="D1090" s="93">
        <v>5.39</v>
      </c>
      <c r="E1090" s="111">
        <v>1.0900000000000001</v>
      </c>
      <c r="F1090" s="111">
        <v>4.8</v>
      </c>
      <c r="G1090" s="93">
        <v>4.95</v>
      </c>
      <c r="H1090" s="111">
        <v>0</v>
      </c>
      <c r="I1090" s="111">
        <v>0</v>
      </c>
      <c r="J1090" s="93">
        <v>3.9</v>
      </c>
      <c r="K1090" s="93">
        <v>0</v>
      </c>
      <c r="L1090" s="111">
        <v>0</v>
      </c>
      <c r="M1090" s="74" t="str">
        <f t="array" ref="M1090">_xlfn.TEXTJOIN("-", TRUE, IF(C1090:L1090&gt;0, $C$2:$L$2, ""))</f>
        <v xml:space="preserve"> Ti-Al-Zr-Mo-V-Cr</v>
      </c>
      <c r="N1090" s="90">
        <f t="shared" si="32"/>
        <v>1073</v>
      </c>
      <c r="O1090" s="91">
        <f t="shared" si="33"/>
        <v>6</v>
      </c>
      <c r="P1090" s="93">
        <v>1</v>
      </c>
      <c r="Q1090" s="93">
        <v>0</v>
      </c>
      <c r="R1090" s="93">
        <v>0</v>
      </c>
      <c r="S1090" s="93">
        <v>0</v>
      </c>
      <c r="T1090" s="94">
        <v>800</v>
      </c>
      <c r="U1090" s="94">
        <v>2</v>
      </c>
      <c r="V1090" s="8">
        <v>2</v>
      </c>
      <c r="W1090" s="94">
        <v>600</v>
      </c>
      <c r="X1090" s="94">
        <v>8</v>
      </c>
      <c r="Y1090" s="103">
        <v>2</v>
      </c>
      <c r="Z1090" s="18" t="s">
        <v>102</v>
      </c>
      <c r="AA1090" s="9" t="s">
        <v>102</v>
      </c>
      <c r="AB1090" s="93">
        <v>1277.3399999999999</v>
      </c>
      <c r="AC1090" s="93">
        <v>1255.3399999999999</v>
      </c>
      <c r="AD1090" s="93">
        <v>4.9790000000000001</v>
      </c>
      <c r="AE1090" s="9" t="s">
        <v>101</v>
      </c>
      <c r="AF1090" s="9" t="s">
        <v>102</v>
      </c>
      <c r="AG1090" s="9" t="s">
        <v>102</v>
      </c>
      <c r="AH1090" s="9" t="s">
        <v>102</v>
      </c>
      <c r="AI1090" s="9" t="s">
        <v>102</v>
      </c>
      <c r="AJ1090" s="9" t="s">
        <v>102</v>
      </c>
      <c r="AK1090" s="9" t="s">
        <v>102</v>
      </c>
      <c r="AL1090" s="9" t="s">
        <v>102</v>
      </c>
      <c r="AN1090" s="12" t="s">
        <v>101</v>
      </c>
      <c r="AO1090" s="12" t="s">
        <v>103</v>
      </c>
      <c r="AP1090" s="94">
        <v>227</v>
      </c>
      <c r="AQ1090" s="157" t="s">
        <v>100</v>
      </c>
      <c r="AR1090" s="93">
        <v>227</v>
      </c>
    </row>
    <row r="1091" spans="1:44" ht="16.5">
      <c r="A1091" s="111">
        <v>228</v>
      </c>
      <c r="B1091" s="93" t="s">
        <v>101</v>
      </c>
      <c r="C1091" s="111">
        <v>79.760000000000005</v>
      </c>
      <c r="D1091" s="93">
        <v>5.39</v>
      </c>
      <c r="E1091" s="111">
        <v>1.0900000000000001</v>
      </c>
      <c r="F1091" s="111">
        <v>4.8</v>
      </c>
      <c r="G1091" s="93">
        <v>4.95</v>
      </c>
      <c r="H1091" s="111">
        <v>0</v>
      </c>
      <c r="I1091" s="111">
        <v>0</v>
      </c>
      <c r="J1091" s="93">
        <v>3.9</v>
      </c>
      <c r="K1091" s="93">
        <v>0</v>
      </c>
      <c r="L1091" s="111">
        <v>0</v>
      </c>
      <c r="M1091" s="74" t="str">
        <f t="array" ref="M1091">_xlfn.TEXTJOIN("-", TRUE, IF(C1091:L1091&gt;0, $C$2:$L$2, ""))</f>
        <v xml:space="preserve"> Ti-Al-Zr-Mo-V-Cr</v>
      </c>
      <c r="N1091" s="90">
        <f t="shared" ref="N1091:N1154" si="35">IF(COUNTIF(M$3:M$1206, M1091)&gt;1, MATCH(M1091, M:M, 0), "")</f>
        <v>1073</v>
      </c>
      <c r="O1091" s="91">
        <f t="shared" ref="O1091:O1147" si="36">COUNTIF(C1091:L1091, "&lt;&gt;0")</f>
        <v>6</v>
      </c>
      <c r="P1091" s="93">
        <v>1</v>
      </c>
      <c r="Q1091" s="93">
        <v>0</v>
      </c>
      <c r="R1091" s="93">
        <v>0</v>
      </c>
      <c r="S1091" s="93">
        <v>0</v>
      </c>
      <c r="T1091" s="94">
        <v>800</v>
      </c>
      <c r="U1091" s="94">
        <v>2</v>
      </c>
      <c r="V1091" s="8">
        <v>2</v>
      </c>
      <c r="W1091" s="94">
        <v>600</v>
      </c>
      <c r="X1091" s="94">
        <v>9</v>
      </c>
      <c r="Y1091" s="103">
        <v>2</v>
      </c>
      <c r="Z1091" s="18" t="s">
        <v>102</v>
      </c>
      <c r="AA1091" s="9" t="s">
        <v>102</v>
      </c>
      <c r="AB1091" s="93">
        <v>1268</v>
      </c>
      <c r="AC1091" s="93">
        <v>1238</v>
      </c>
      <c r="AD1091" s="93">
        <v>4.3109999999999999</v>
      </c>
      <c r="AE1091" s="9" t="s">
        <v>101</v>
      </c>
      <c r="AF1091" s="9" t="s">
        <v>102</v>
      </c>
      <c r="AG1091" s="9" t="s">
        <v>102</v>
      </c>
      <c r="AH1091" s="9" t="s">
        <v>102</v>
      </c>
      <c r="AI1091" s="9" t="s">
        <v>102</v>
      </c>
      <c r="AJ1091" s="9" t="s">
        <v>102</v>
      </c>
      <c r="AK1091" s="9" t="s">
        <v>102</v>
      </c>
      <c r="AL1091" s="9" t="s">
        <v>102</v>
      </c>
      <c r="AN1091" s="12" t="s">
        <v>101</v>
      </c>
      <c r="AO1091" s="12" t="s">
        <v>103</v>
      </c>
      <c r="AP1091" s="94">
        <v>228</v>
      </c>
      <c r="AQ1091" s="157" t="s">
        <v>100</v>
      </c>
      <c r="AR1091" s="93">
        <v>228</v>
      </c>
    </row>
    <row r="1092" spans="1:44" ht="16.5">
      <c r="A1092" s="111">
        <v>229</v>
      </c>
      <c r="B1092" s="93" t="s">
        <v>101</v>
      </c>
      <c r="C1092" s="111">
        <v>79.760000000000005</v>
      </c>
      <c r="D1092" s="93">
        <v>5.39</v>
      </c>
      <c r="E1092" s="111">
        <v>1.0900000000000001</v>
      </c>
      <c r="F1092" s="111">
        <v>4.8</v>
      </c>
      <c r="G1092" s="93">
        <v>4.95</v>
      </c>
      <c r="H1092" s="111">
        <v>0</v>
      </c>
      <c r="I1092" s="111">
        <v>0</v>
      </c>
      <c r="J1092" s="93">
        <v>3.9</v>
      </c>
      <c r="K1092" s="93">
        <v>0</v>
      </c>
      <c r="L1092" s="111">
        <v>0</v>
      </c>
      <c r="M1092" s="74" t="str">
        <f t="array" ref="M1092">_xlfn.TEXTJOIN("-", TRUE, IF(C1092:L1092&gt;0, $C$2:$L$2, ""))</f>
        <v xml:space="preserve"> Ti-Al-Zr-Mo-V-Cr</v>
      </c>
      <c r="N1092" s="90">
        <f t="shared" si="35"/>
        <v>1073</v>
      </c>
      <c r="O1092" s="91">
        <f t="shared" si="36"/>
        <v>6</v>
      </c>
      <c r="P1092" s="93">
        <v>1</v>
      </c>
      <c r="Q1092" s="93">
        <v>0</v>
      </c>
      <c r="R1092" s="93">
        <v>0</v>
      </c>
      <c r="S1092" s="93">
        <v>0</v>
      </c>
      <c r="T1092" s="94">
        <v>800</v>
      </c>
      <c r="U1092" s="94">
        <v>2</v>
      </c>
      <c r="V1092" s="8">
        <v>2</v>
      </c>
      <c r="W1092" s="94">
        <v>600</v>
      </c>
      <c r="X1092" s="94">
        <v>10</v>
      </c>
      <c r="Y1092" s="103">
        <v>2</v>
      </c>
      <c r="Z1092" s="18" t="s">
        <v>102</v>
      </c>
      <c r="AA1092" s="9" t="s">
        <v>102</v>
      </c>
      <c r="AB1092" s="93">
        <v>1255.6600000000001</v>
      </c>
      <c r="AC1092" s="93">
        <v>1219.6600000000001</v>
      </c>
      <c r="AD1092" s="93">
        <v>5.6360000000000001</v>
      </c>
      <c r="AE1092" s="9" t="s">
        <v>101</v>
      </c>
      <c r="AF1092" s="9" t="s">
        <v>102</v>
      </c>
      <c r="AG1092" s="9" t="s">
        <v>102</v>
      </c>
      <c r="AH1092" s="9" t="s">
        <v>102</v>
      </c>
      <c r="AI1092" s="9" t="s">
        <v>102</v>
      </c>
      <c r="AJ1092" s="9" t="s">
        <v>102</v>
      </c>
      <c r="AK1092" s="9" t="s">
        <v>102</v>
      </c>
      <c r="AL1092" s="9" t="s">
        <v>102</v>
      </c>
      <c r="AN1092" s="12" t="s">
        <v>101</v>
      </c>
      <c r="AO1092" s="12" t="s">
        <v>103</v>
      </c>
      <c r="AP1092" s="94">
        <v>229</v>
      </c>
      <c r="AQ1092" s="157" t="s">
        <v>100</v>
      </c>
      <c r="AR1092" s="93">
        <v>229</v>
      </c>
    </row>
    <row r="1093" spans="1:44" ht="16.5">
      <c r="A1093" s="111">
        <v>230</v>
      </c>
      <c r="B1093" s="93" t="s">
        <v>101</v>
      </c>
      <c r="C1093" s="111">
        <v>79.760000000000005</v>
      </c>
      <c r="D1093" s="93">
        <v>5.39</v>
      </c>
      <c r="E1093" s="111">
        <v>1.0900000000000001</v>
      </c>
      <c r="F1093" s="111">
        <v>4.8</v>
      </c>
      <c r="G1093" s="93">
        <v>4.95</v>
      </c>
      <c r="H1093" s="111">
        <v>0</v>
      </c>
      <c r="I1093" s="111">
        <v>0</v>
      </c>
      <c r="J1093" s="93">
        <v>3.9</v>
      </c>
      <c r="K1093" s="93">
        <v>0</v>
      </c>
      <c r="L1093" s="111">
        <v>0</v>
      </c>
      <c r="M1093" s="74" t="str">
        <f t="array" ref="M1093">_xlfn.TEXTJOIN("-", TRUE, IF(C1093:L1093&gt;0, $C$2:$L$2, ""))</f>
        <v xml:space="preserve"> Ti-Al-Zr-Mo-V-Cr</v>
      </c>
      <c r="N1093" s="90">
        <f t="shared" si="35"/>
        <v>1073</v>
      </c>
      <c r="O1093" s="91">
        <f t="shared" si="36"/>
        <v>6</v>
      </c>
      <c r="P1093" s="93">
        <v>1</v>
      </c>
      <c r="Q1093" s="93">
        <v>0</v>
      </c>
      <c r="R1093" s="93">
        <v>0</v>
      </c>
      <c r="S1093" s="93">
        <v>0</v>
      </c>
      <c r="T1093" s="94">
        <v>800</v>
      </c>
      <c r="U1093" s="94">
        <v>2</v>
      </c>
      <c r="V1093" s="8">
        <v>2</v>
      </c>
      <c r="W1093" s="94">
        <v>620</v>
      </c>
      <c r="X1093" s="94">
        <v>6</v>
      </c>
      <c r="Y1093" s="103">
        <v>2</v>
      </c>
      <c r="Z1093" s="18" t="s">
        <v>102</v>
      </c>
      <c r="AA1093" s="9" t="s">
        <v>102</v>
      </c>
      <c r="AB1093" s="93">
        <v>1176.8900000000001</v>
      </c>
      <c r="AC1093" s="93">
        <v>1144.8900000000001</v>
      </c>
      <c r="AD1093" s="93">
        <v>3.431</v>
      </c>
      <c r="AE1093" s="9" t="s">
        <v>101</v>
      </c>
      <c r="AF1093" s="9" t="s">
        <v>102</v>
      </c>
      <c r="AG1093" s="9" t="s">
        <v>102</v>
      </c>
      <c r="AH1093" s="9" t="s">
        <v>102</v>
      </c>
      <c r="AI1093" s="9" t="s">
        <v>102</v>
      </c>
      <c r="AJ1093" s="9" t="s">
        <v>102</v>
      </c>
      <c r="AK1093" s="9" t="s">
        <v>102</v>
      </c>
      <c r="AL1093" s="9" t="s">
        <v>102</v>
      </c>
      <c r="AN1093" s="12" t="s">
        <v>101</v>
      </c>
      <c r="AO1093" s="12" t="s">
        <v>103</v>
      </c>
      <c r="AP1093" s="94">
        <v>230</v>
      </c>
      <c r="AQ1093" s="157" t="s">
        <v>100</v>
      </c>
      <c r="AR1093" s="93">
        <v>230</v>
      </c>
    </row>
    <row r="1094" spans="1:44" ht="16.5">
      <c r="A1094" s="111">
        <v>231</v>
      </c>
      <c r="B1094" s="93" t="s">
        <v>101</v>
      </c>
      <c r="C1094" s="111">
        <v>79.760000000000005</v>
      </c>
      <c r="D1094" s="93">
        <v>5.39</v>
      </c>
      <c r="E1094" s="111">
        <v>1.0900000000000001</v>
      </c>
      <c r="F1094" s="111">
        <v>4.8</v>
      </c>
      <c r="G1094" s="93">
        <v>4.95</v>
      </c>
      <c r="H1094" s="111">
        <v>0</v>
      </c>
      <c r="I1094" s="111">
        <v>0</v>
      </c>
      <c r="J1094" s="93">
        <v>3.9</v>
      </c>
      <c r="K1094" s="93">
        <v>0</v>
      </c>
      <c r="L1094" s="111">
        <v>0</v>
      </c>
      <c r="M1094" s="74" t="str">
        <f t="array" ref="M1094">_xlfn.TEXTJOIN("-", TRUE, IF(C1094:L1094&gt;0, $C$2:$L$2, ""))</f>
        <v xml:space="preserve"> Ti-Al-Zr-Mo-V-Cr</v>
      </c>
      <c r="N1094" s="90">
        <f t="shared" si="35"/>
        <v>1073</v>
      </c>
      <c r="O1094" s="91">
        <f t="shared" si="36"/>
        <v>6</v>
      </c>
      <c r="P1094" s="93">
        <v>1</v>
      </c>
      <c r="Q1094" s="93">
        <v>0</v>
      </c>
      <c r="R1094" s="93">
        <v>0</v>
      </c>
      <c r="S1094" s="93">
        <v>0</v>
      </c>
      <c r="T1094" s="94">
        <v>800</v>
      </c>
      <c r="U1094" s="94">
        <v>2</v>
      </c>
      <c r="V1094" s="8">
        <v>2</v>
      </c>
      <c r="W1094" s="94">
        <v>620</v>
      </c>
      <c r="X1094" s="94">
        <v>7</v>
      </c>
      <c r="Y1094" s="103">
        <v>2</v>
      </c>
      <c r="Z1094" s="18" t="s">
        <v>102</v>
      </c>
      <c r="AA1094" s="9" t="s">
        <v>102</v>
      </c>
      <c r="AB1094" s="93">
        <v>1196.47</v>
      </c>
      <c r="AC1094" s="93">
        <v>1170.47</v>
      </c>
      <c r="AD1094" s="93">
        <v>4.1500000000000004</v>
      </c>
      <c r="AE1094" s="9" t="s">
        <v>101</v>
      </c>
      <c r="AF1094" s="9" t="s">
        <v>102</v>
      </c>
      <c r="AG1094" s="9" t="s">
        <v>102</v>
      </c>
      <c r="AH1094" s="9" t="s">
        <v>102</v>
      </c>
      <c r="AI1094" s="9" t="s">
        <v>102</v>
      </c>
      <c r="AJ1094" s="9" t="s">
        <v>102</v>
      </c>
      <c r="AK1094" s="9" t="s">
        <v>102</v>
      </c>
      <c r="AL1094" s="9" t="s">
        <v>102</v>
      </c>
      <c r="AN1094" s="12" t="s">
        <v>101</v>
      </c>
      <c r="AO1094" s="12" t="s">
        <v>103</v>
      </c>
      <c r="AP1094" s="94">
        <v>231</v>
      </c>
      <c r="AQ1094" s="157" t="s">
        <v>100</v>
      </c>
      <c r="AR1094" s="93">
        <v>231</v>
      </c>
    </row>
    <row r="1095" spans="1:44" ht="16.5">
      <c r="A1095" s="111">
        <v>232</v>
      </c>
      <c r="B1095" s="93" t="s">
        <v>101</v>
      </c>
      <c r="C1095" s="111">
        <v>79.760000000000005</v>
      </c>
      <c r="D1095" s="93">
        <v>5.39</v>
      </c>
      <c r="E1095" s="111">
        <v>1.0900000000000001</v>
      </c>
      <c r="F1095" s="111">
        <v>4.8</v>
      </c>
      <c r="G1095" s="93">
        <v>4.95</v>
      </c>
      <c r="H1095" s="111">
        <v>0</v>
      </c>
      <c r="I1095" s="111">
        <v>0</v>
      </c>
      <c r="J1095" s="93">
        <v>3.9</v>
      </c>
      <c r="K1095" s="93">
        <v>0</v>
      </c>
      <c r="L1095" s="111">
        <v>0</v>
      </c>
      <c r="M1095" s="74" t="str">
        <f t="array" ref="M1095">_xlfn.TEXTJOIN("-", TRUE, IF(C1095:L1095&gt;0, $C$2:$L$2, ""))</f>
        <v xml:space="preserve"> Ti-Al-Zr-Mo-V-Cr</v>
      </c>
      <c r="N1095" s="90">
        <f t="shared" si="35"/>
        <v>1073</v>
      </c>
      <c r="O1095" s="91">
        <f t="shared" si="36"/>
        <v>6</v>
      </c>
      <c r="P1095" s="93">
        <v>1</v>
      </c>
      <c r="Q1095" s="93">
        <v>0</v>
      </c>
      <c r="R1095" s="93">
        <v>0</v>
      </c>
      <c r="S1095" s="93">
        <v>0</v>
      </c>
      <c r="T1095" s="94">
        <v>800</v>
      </c>
      <c r="U1095" s="94">
        <v>2</v>
      </c>
      <c r="V1095" s="8">
        <v>2</v>
      </c>
      <c r="W1095" s="94">
        <v>620</v>
      </c>
      <c r="X1095" s="94">
        <v>8</v>
      </c>
      <c r="Y1095" s="103">
        <v>2</v>
      </c>
      <c r="Z1095" s="18" t="s">
        <v>102</v>
      </c>
      <c r="AA1095" s="9" t="s">
        <v>102</v>
      </c>
      <c r="AB1095" s="93">
        <v>1216.9000000000001</v>
      </c>
      <c r="AC1095" s="93">
        <v>1178.9000000000001</v>
      </c>
      <c r="AD1095" s="93">
        <v>7.7450000000000001</v>
      </c>
      <c r="AE1095" s="9" t="s">
        <v>101</v>
      </c>
      <c r="AF1095" s="9" t="s">
        <v>102</v>
      </c>
      <c r="AG1095" s="9" t="s">
        <v>102</v>
      </c>
      <c r="AH1095" s="9" t="s">
        <v>102</v>
      </c>
      <c r="AI1095" s="9" t="s">
        <v>102</v>
      </c>
      <c r="AJ1095" s="9" t="s">
        <v>102</v>
      </c>
      <c r="AK1095" s="9" t="s">
        <v>102</v>
      </c>
      <c r="AL1095" s="9" t="s">
        <v>102</v>
      </c>
      <c r="AN1095" s="12" t="s">
        <v>101</v>
      </c>
      <c r="AO1095" s="12" t="s">
        <v>103</v>
      </c>
      <c r="AP1095" s="94">
        <v>232</v>
      </c>
      <c r="AQ1095" s="157" t="s">
        <v>100</v>
      </c>
      <c r="AR1095" s="93">
        <v>232</v>
      </c>
    </row>
    <row r="1096" spans="1:44" ht="16.5">
      <c r="A1096" s="111">
        <v>233</v>
      </c>
      <c r="B1096" s="93" t="s">
        <v>101</v>
      </c>
      <c r="C1096" s="111">
        <v>79.760000000000005</v>
      </c>
      <c r="D1096" s="111">
        <v>5.39</v>
      </c>
      <c r="E1096" s="111">
        <v>1.0900000000000001</v>
      </c>
      <c r="F1096" s="111">
        <v>4.8</v>
      </c>
      <c r="G1096" s="111">
        <v>4.95</v>
      </c>
      <c r="H1096" s="111">
        <v>0</v>
      </c>
      <c r="I1096" s="111">
        <v>0</v>
      </c>
      <c r="J1096" s="111">
        <v>3.9</v>
      </c>
      <c r="K1096" s="111">
        <v>0</v>
      </c>
      <c r="L1096" s="111">
        <v>0</v>
      </c>
      <c r="M1096" s="74" t="str">
        <f t="array" ref="M1096">_xlfn.TEXTJOIN("-", TRUE, IF(C1096:L1096&gt;0, $C$2:$L$2, ""))</f>
        <v xml:space="preserve"> Ti-Al-Zr-Mo-V-Cr</v>
      </c>
      <c r="N1096" s="90">
        <f t="shared" si="35"/>
        <v>1073</v>
      </c>
      <c r="O1096" s="91">
        <f t="shared" si="36"/>
        <v>6</v>
      </c>
      <c r="P1096" s="93">
        <v>1</v>
      </c>
      <c r="Q1096" s="93">
        <v>0</v>
      </c>
      <c r="R1096" s="93">
        <v>0</v>
      </c>
      <c r="S1096" s="93">
        <v>0</v>
      </c>
      <c r="T1096" s="94">
        <v>800</v>
      </c>
      <c r="U1096" s="94">
        <v>2</v>
      </c>
      <c r="V1096" s="8">
        <v>2</v>
      </c>
      <c r="W1096" s="94">
        <v>620</v>
      </c>
      <c r="X1096" s="94">
        <v>9</v>
      </c>
      <c r="Y1096" s="103">
        <v>2</v>
      </c>
      <c r="Z1096" s="18" t="s">
        <v>102</v>
      </c>
      <c r="AA1096" s="9" t="s">
        <v>102</v>
      </c>
      <c r="AB1096" s="93">
        <v>1193.05</v>
      </c>
      <c r="AC1096" s="93">
        <v>1163.05</v>
      </c>
      <c r="AD1096" s="93">
        <v>8.8780000000000001</v>
      </c>
      <c r="AE1096" s="9" t="s">
        <v>101</v>
      </c>
      <c r="AF1096" s="9" t="s">
        <v>102</v>
      </c>
      <c r="AG1096" s="9" t="s">
        <v>102</v>
      </c>
      <c r="AH1096" s="9" t="s">
        <v>102</v>
      </c>
      <c r="AI1096" s="9" t="s">
        <v>102</v>
      </c>
      <c r="AJ1096" s="9" t="s">
        <v>102</v>
      </c>
      <c r="AK1096" s="9" t="s">
        <v>102</v>
      </c>
      <c r="AL1096" s="9" t="s">
        <v>102</v>
      </c>
      <c r="AN1096" s="12" t="s">
        <v>101</v>
      </c>
      <c r="AO1096" s="12" t="s">
        <v>103</v>
      </c>
      <c r="AP1096" s="94">
        <v>233</v>
      </c>
      <c r="AQ1096" s="157" t="s">
        <v>100</v>
      </c>
      <c r="AR1096" s="93">
        <v>233</v>
      </c>
    </row>
    <row r="1097" spans="1:44" ht="16.5">
      <c r="A1097" s="111">
        <v>234</v>
      </c>
      <c r="B1097" s="93" t="s">
        <v>101</v>
      </c>
      <c r="C1097" s="111">
        <v>79.760000000000005</v>
      </c>
      <c r="D1097" s="111">
        <v>5.39</v>
      </c>
      <c r="E1097" s="111">
        <v>1.0900000000000001</v>
      </c>
      <c r="F1097" s="111">
        <v>4.8</v>
      </c>
      <c r="G1097" s="111">
        <v>4.95</v>
      </c>
      <c r="H1097" s="111">
        <v>0</v>
      </c>
      <c r="I1097" s="111">
        <v>0</v>
      </c>
      <c r="J1097" s="111">
        <v>3.9</v>
      </c>
      <c r="K1097" s="111">
        <v>0</v>
      </c>
      <c r="L1097" s="111">
        <v>0</v>
      </c>
      <c r="M1097" s="74" t="str">
        <f t="array" ref="M1097">_xlfn.TEXTJOIN("-", TRUE, IF(C1097:L1097&gt;0, $C$2:$L$2, ""))</f>
        <v xml:space="preserve"> Ti-Al-Zr-Mo-V-Cr</v>
      </c>
      <c r="N1097" s="90">
        <f t="shared" si="35"/>
        <v>1073</v>
      </c>
      <c r="O1097" s="91">
        <f t="shared" si="36"/>
        <v>6</v>
      </c>
      <c r="P1097" s="93">
        <v>1</v>
      </c>
      <c r="Q1097" s="93">
        <v>0</v>
      </c>
      <c r="R1097" s="93">
        <v>0</v>
      </c>
      <c r="S1097" s="93">
        <v>0</v>
      </c>
      <c r="T1097" s="94">
        <v>800</v>
      </c>
      <c r="U1097" s="94">
        <v>2</v>
      </c>
      <c r="V1097" s="8">
        <v>2</v>
      </c>
      <c r="W1097" s="94">
        <v>620</v>
      </c>
      <c r="X1097" s="94">
        <v>10</v>
      </c>
      <c r="Y1097" s="103">
        <v>2</v>
      </c>
      <c r="Z1097" s="18" t="s">
        <v>102</v>
      </c>
      <c r="AA1097" s="9" t="s">
        <v>102</v>
      </c>
      <c r="AB1097" s="93">
        <v>1176.98</v>
      </c>
      <c r="AC1097" s="93">
        <v>1140.98</v>
      </c>
      <c r="AD1097" s="93">
        <v>7.2370000000000001</v>
      </c>
      <c r="AE1097" s="9" t="s">
        <v>101</v>
      </c>
      <c r="AF1097" s="9" t="s">
        <v>102</v>
      </c>
      <c r="AG1097" s="9" t="s">
        <v>102</v>
      </c>
      <c r="AH1097" s="9" t="s">
        <v>102</v>
      </c>
      <c r="AI1097" s="9" t="s">
        <v>102</v>
      </c>
      <c r="AJ1097" s="9" t="s">
        <v>102</v>
      </c>
      <c r="AK1097" s="9" t="s">
        <v>102</v>
      </c>
      <c r="AL1097" s="9" t="s">
        <v>102</v>
      </c>
      <c r="AN1097" s="12" t="s">
        <v>101</v>
      </c>
      <c r="AO1097" s="12" t="s">
        <v>103</v>
      </c>
      <c r="AP1097" s="94">
        <v>234</v>
      </c>
      <c r="AQ1097" s="157" t="s">
        <v>100</v>
      </c>
      <c r="AR1097" s="93">
        <v>234</v>
      </c>
    </row>
    <row r="1098" spans="1:44" ht="16.5">
      <c r="A1098" s="111">
        <v>235</v>
      </c>
      <c r="B1098" s="93" t="s">
        <v>101</v>
      </c>
      <c r="C1098" s="111">
        <v>79.760000000000005</v>
      </c>
      <c r="D1098" s="93">
        <v>5.39</v>
      </c>
      <c r="E1098" s="111">
        <v>1.0900000000000001</v>
      </c>
      <c r="F1098" s="111">
        <v>4.8</v>
      </c>
      <c r="G1098" s="93">
        <v>4.95</v>
      </c>
      <c r="H1098" s="111">
        <v>0</v>
      </c>
      <c r="I1098" s="111">
        <v>0</v>
      </c>
      <c r="J1098" s="93">
        <v>3.9</v>
      </c>
      <c r="K1098" s="93">
        <v>0</v>
      </c>
      <c r="L1098" s="111">
        <v>0</v>
      </c>
      <c r="M1098" s="74" t="str">
        <f t="array" ref="M1098">_xlfn.TEXTJOIN("-", TRUE, IF(C1098:L1098&gt;0, $C$2:$L$2, ""))</f>
        <v xml:space="preserve"> Ti-Al-Zr-Mo-V-Cr</v>
      </c>
      <c r="N1098" s="90">
        <f t="shared" si="35"/>
        <v>1073</v>
      </c>
      <c r="O1098" s="91">
        <f t="shared" si="36"/>
        <v>6</v>
      </c>
      <c r="P1098" s="93">
        <v>1</v>
      </c>
      <c r="Q1098" s="93">
        <v>0</v>
      </c>
      <c r="R1098" s="93">
        <v>0</v>
      </c>
      <c r="S1098" s="93">
        <v>0</v>
      </c>
      <c r="T1098" s="94">
        <v>800</v>
      </c>
      <c r="U1098" s="94">
        <v>2</v>
      </c>
      <c r="V1098" s="8">
        <v>2</v>
      </c>
      <c r="W1098" s="94">
        <v>640</v>
      </c>
      <c r="X1098" s="94">
        <v>6</v>
      </c>
      <c r="Y1098" s="103">
        <v>2</v>
      </c>
      <c r="Z1098" s="18" t="s">
        <v>102</v>
      </c>
      <c r="AA1098" s="9" t="s">
        <v>102</v>
      </c>
      <c r="AB1098" s="93">
        <v>1169.8900000000001</v>
      </c>
      <c r="AC1098" s="93">
        <v>1120.8900000000001</v>
      </c>
      <c r="AD1098" s="93">
        <v>4.2640000000000002</v>
      </c>
      <c r="AE1098" s="9" t="s">
        <v>101</v>
      </c>
      <c r="AF1098" s="9" t="s">
        <v>102</v>
      </c>
      <c r="AG1098" s="9" t="s">
        <v>102</v>
      </c>
      <c r="AH1098" s="9" t="s">
        <v>102</v>
      </c>
      <c r="AI1098" s="9" t="s">
        <v>102</v>
      </c>
      <c r="AJ1098" s="9" t="s">
        <v>102</v>
      </c>
      <c r="AK1098" s="9" t="s">
        <v>102</v>
      </c>
      <c r="AL1098" s="9" t="s">
        <v>102</v>
      </c>
      <c r="AN1098" s="12" t="s">
        <v>101</v>
      </c>
      <c r="AO1098" s="12" t="s">
        <v>103</v>
      </c>
      <c r="AP1098" s="94">
        <v>235</v>
      </c>
      <c r="AQ1098" s="157" t="s">
        <v>100</v>
      </c>
      <c r="AR1098" s="93">
        <v>235</v>
      </c>
    </row>
    <row r="1099" spans="1:44" ht="16.5">
      <c r="A1099" s="111">
        <v>236</v>
      </c>
      <c r="B1099" s="93" t="s">
        <v>101</v>
      </c>
      <c r="C1099" s="111">
        <v>79.760000000000005</v>
      </c>
      <c r="D1099" s="111">
        <v>5.39</v>
      </c>
      <c r="E1099" s="111">
        <v>1.0900000000000001</v>
      </c>
      <c r="F1099" s="111">
        <v>4.8</v>
      </c>
      <c r="G1099" s="111">
        <v>4.95</v>
      </c>
      <c r="H1099" s="111">
        <v>0</v>
      </c>
      <c r="I1099" s="111">
        <v>0</v>
      </c>
      <c r="J1099" s="111">
        <v>3.9</v>
      </c>
      <c r="K1099" s="111">
        <v>0</v>
      </c>
      <c r="L1099" s="111">
        <v>0</v>
      </c>
      <c r="M1099" s="74" t="str">
        <f t="array" ref="M1099">_xlfn.TEXTJOIN("-", TRUE, IF(C1099:L1099&gt;0, $C$2:$L$2, ""))</f>
        <v xml:space="preserve"> Ti-Al-Zr-Mo-V-Cr</v>
      </c>
      <c r="N1099" s="90">
        <f t="shared" si="35"/>
        <v>1073</v>
      </c>
      <c r="O1099" s="91">
        <f t="shared" si="36"/>
        <v>6</v>
      </c>
      <c r="P1099" s="93">
        <v>1</v>
      </c>
      <c r="Q1099" s="93">
        <v>0</v>
      </c>
      <c r="R1099" s="93">
        <v>0</v>
      </c>
      <c r="S1099" s="93">
        <v>0</v>
      </c>
      <c r="T1099" s="94">
        <v>800</v>
      </c>
      <c r="U1099" s="94">
        <v>2</v>
      </c>
      <c r="V1099" s="8">
        <v>2</v>
      </c>
      <c r="W1099" s="94">
        <v>640</v>
      </c>
      <c r="X1099" s="94">
        <v>7</v>
      </c>
      <c r="Y1099" s="103">
        <v>2</v>
      </c>
      <c r="Z1099" s="18" t="s">
        <v>102</v>
      </c>
      <c r="AA1099" s="9" t="s">
        <v>102</v>
      </c>
      <c r="AB1099" s="93">
        <v>1168</v>
      </c>
      <c r="AC1099" s="93">
        <v>1138</v>
      </c>
      <c r="AD1099" s="93">
        <v>7.4560000000000004</v>
      </c>
      <c r="AE1099" s="9" t="s">
        <v>101</v>
      </c>
      <c r="AF1099" s="9" t="s">
        <v>102</v>
      </c>
      <c r="AG1099" s="9" t="s">
        <v>102</v>
      </c>
      <c r="AH1099" s="9" t="s">
        <v>102</v>
      </c>
      <c r="AI1099" s="9" t="s">
        <v>102</v>
      </c>
      <c r="AJ1099" s="9" t="s">
        <v>102</v>
      </c>
      <c r="AK1099" s="9" t="s">
        <v>102</v>
      </c>
      <c r="AL1099" s="9" t="s">
        <v>102</v>
      </c>
      <c r="AN1099" s="12" t="s">
        <v>101</v>
      </c>
      <c r="AO1099" s="12" t="s">
        <v>103</v>
      </c>
      <c r="AP1099" s="94">
        <v>236</v>
      </c>
      <c r="AQ1099" s="157" t="s">
        <v>100</v>
      </c>
      <c r="AR1099" s="93">
        <v>236</v>
      </c>
    </row>
    <row r="1100" spans="1:44" ht="16.5">
      <c r="A1100" s="111">
        <v>237</v>
      </c>
      <c r="B1100" s="93" t="s">
        <v>101</v>
      </c>
      <c r="C1100" s="111">
        <v>79.760000000000005</v>
      </c>
      <c r="D1100" s="111">
        <v>5.39</v>
      </c>
      <c r="E1100" s="111">
        <v>1.0900000000000001</v>
      </c>
      <c r="F1100" s="111">
        <v>4.8</v>
      </c>
      <c r="G1100" s="111">
        <v>4.95</v>
      </c>
      <c r="H1100" s="111">
        <v>0</v>
      </c>
      <c r="I1100" s="111">
        <v>0</v>
      </c>
      <c r="J1100" s="111">
        <v>3.9</v>
      </c>
      <c r="K1100" s="111">
        <v>0</v>
      </c>
      <c r="L1100" s="111">
        <v>0</v>
      </c>
      <c r="M1100" s="74" t="str">
        <f t="array" ref="M1100">_xlfn.TEXTJOIN("-", TRUE, IF(C1100:L1100&gt;0, $C$2:$L$2, ""))</f>
        <v xml:space="preserve"> Ti-Al-Zr-Mo-V-Cr</v>
      </c>
      <c r="N1100" s="90">
        <f t="shared" si="35"/>
        <v>1073</v>
      </c>
      <c r="O1100" s="91">
        <f t="shared" si="36"/>
        <v>6</v>
      </c>
      <c r="P1100" s="93">
        <v>1</v>
      </c>
      <c r="Q1100" s="93">
        <v>0</v>
      </c>
      <c r="R1100" s="93">
        <v>0</v>
      </c>
      <c r="S1100" s="93">
        <v>0</v>
      </c>
      <c r="T1100" s="94">
        <v>800</v>
      </c>
      <c r="U1100" s="94">
        <v>2</v>
      </c>
      <c r="V1100" s="8">
        <v>2</v>
      </c>
      <c r="W1100" s="94">
        <v>640</v>
      </c>
      <c r="X1100" s="94">
        <v>8</v>
      </c>
      <c r="Y1100" s="103">
        <v>2</v>
      </c>
      <c r="Z1100" s="18" t="s">
        <v>102</v>
      </c>
      <c r="AA1100" s="9" t="s">
        <v>102</v>
      </c>
      <c r="AB1100" s="93">
        <v>1185.1500000000001</v>
      </c>
      <c r="AC1100" s="93">
        <v>1150.1500000000001</v>
      </c>
      <c r="AD1100" s="93">
        <v>6.5209999999999999</v>
      </c>
      <c r="AE1100" s="9" t="s">
        <v>101</v>
      </c>
      <c r="AF1100" s="9" t="s">
        <v>102</v>
      </c>
      <c r="AG1100" s="9" t="s">
        <v>102</v>
      </c>
      <c r="AH1100" s="9" t="s">
        <v>102</v>
      </c>
      <c r="AI1100" s="9" t="s">
        <v>102</v>
      </c>
      <c r="AJ1100" s="9" t="s">
        <v>102</v>
      </c>
      <c r="AK1100" s="9" t="s">
        <v>102</v>
      </c>
      <c r="AL1100" s="9" t="s">
        <v>102</v>
      </c>
      <c r="AN1100" s="12" t="s">
        <v>101</v>
      </c>
      <c r="AO1100" s="12" t="s">
        <v>149</v>
      </c>
      <c r="AP1100" s="94">
        <v>237</v>
      </c>
      <c r="AQ1100" s="157" t="s">
        <v>100</v>
      </c>
      <c r="AR1100" s="93">
        <v>237</v>
      </c>
    </row>
    <row r="1101" spans="1:44" ht="16.5">
      <c r="A1101" s="111">
        <v>238</v>
      </c>
      <c r="B1101" s="93" t="s">
        <v>101</v>
      </c>
      <c r="C1101" s="111">
        <v>79.760000000000005</v>
      </c>
      <c r="D1101" s="111">
        <v>5.39</v>
      </c>
      <c r="E1101" s="111">
        <v>1.0900000000000001</v>
      </c>
      <c r="F1101" s="111">
        <v>4.8</v>
      </c>
      <c r="G1101" s="111">
        <v>4.95</v>
      </c>
      <c r="H1101" s="111">
        <v>0</v>
      </c>
      <c r="I1101" s="111">
        <v>0</v>
      </c>
      <c r="J1101" s="111">
        <v>3.9</v>
      </c>
      <c r="K1101" s="111">
        <v>0</v>
      </c>
      <c r="L1101" s="111">
        <v>0</v>
      </c>
      <c r="M1101" s="74" t="str">
        <f t="array" ref="M1101">_xlfn.TEXTJOIN("-", TRUE, IF(C1101:L1101&gt;0, $C$2:$L$2, ""))</f>
        <v xml:space="preserve"> Ti-Al-Zr-Mo-V-Cr</v>
      </c>
      <c r="N1101" s="90">
        <f t="shared" si="35"/>
        <v>1073</v>
      </c>
      <c r="O1101" s="91">
        <f t="shared" si="36"/>
        <v>6</v>
      </c>
      <c r="P1101" s="93">
        <v>1</v>
      </c>
      <c r="Q1101" s="93">
        <v>0</v>
      </c>
      <c r="R1101" s="93">
        <v>0</v>
      </c>
      <c r="S1101" s="93">
        <v>0</v>
      </c>
      <c r="T1101" s="94">
        <v>800</v>
      </c>
      <c r="U1101" s="94">
        <v>2</v>
      </c>
      <c r="V1101" s="8">
        <v>2</v>
      </c>
      <c r="W1101" s="94">
        <v>640</v>
      </c>
      <c r="X1101" s="94">
        <v>9</v>
      </c>
      <c r="Y1101" s="103">
        <v>2</v>
      </c>
      <c r="Z1101" s="18" t="s">
        <v>102</v>
      </c>
      <c r="AA1101" s="9" t="s">
        <v>102</v>
      </c>
      <c r="AB1101" s="93">
        <v>1173.9100000000001</v>
      </c>
      <c r="AC1101" s="93">
        <v>1142.9100000000001</v>
      </c>
      <c r="AD1101" s="93">
        <v>6.9349999999999996</v>
      </c>
      <c r="AE1101" s="9" t="s">
        <v>101</v>
      </c>
      <c r="AF1101" s="9" t="s">
        <v>102</v>
      </c>
      <c r="AG1101" s="9" t="s">
        <v>102</v>
      </c>
      <c r="AH1101" s="9" t="s">
        <v>102</v>
      </c>
      <c r="AI1101" s="9" t="s">
        <v>102</v>
      </c>
      <c r="AJ1101" s="9" t="s">
        <v>102</v>
      </c>
      <c r="AK1101" s="9" t="s">
        <v>102</v>
      </c>
      <c r="AL1101" s="9" t="s">
        <v>102</v>
      </c>
      <c r="AN1101" s="12" t="s">
        <v>101</v>
      </c>
      <c r="AO1101" s="12" t="s">
        <v>103</v>
      </c>
      <c r="AP1101" s="94">
        <v>238</v>
      </c>
      <c r="AQ1101" s="157" t="s">
        <v>100</v>
      </c>
      <c r="AR1101" s="93">
        <v>238</v>
      </c>
    </row>
    <row r="1102" spans="1:44" ht="16.5">
      <c r="A1102" s="111">
        <v>239</v>
      </c>
      <c r="B1102" s="93" t="s">
        <v>101</v>
      </c>
      <c r="C1102" s="111">
        <v>79.760000000000005</v>
      </c>
      <c r="D1102" s="111">
        <v>5.39</v>
      </c>
      <c r="E1102" s="111">
        <v>1.0900000000000001</v>
      </c>
      <c r="F1102" s="111">
        <v>4.8</v>
      </c>
      <c r="G1102" s="111">
        <v>4.95</v>
      </c>
      <c r="H1102" s="111">
        <v>0</v>
      </c>
      <c r="I1102" s="111">
        <v>0</v>
      </c>
      <c r="J1102" s="111">
        <v>3.9</v>
      </c>
      <c r="K1102" s="111">
        <v>0</v>
      </c>
      <c r="L1102" s="111">
        <v>0</v>
      </c>
      <c r="M1102" s="74" t="str">
        <f t="array" ref="M1102">_xlfn.TEXTJOIN("-", TRUE, IF(C1102:L1102&gt;0, $C$2:$L$2, ""))</f>
        <v xml:space="preserve"> Ti-Al-Zr-Mo-V-Cr</v>
      </c>
      <c r="N1102" s="90">
        <f t="shared" si="35"/>
        <v>1073</v>
      </c>
      <c r="O1102" s="91">
        <f t="shared" si="36"/>
        <v>6</v>
      </c>
      <c r="P1102" s="93">
        <v>1</v>
      </c>
      <c r="Q1102" s="93">
        <v>0</v>
      </c>
      <c r="R1102" s="93">
        <v>0</v>
      </c>
      <c r="S1102" s="93">
        <v>0</v>
      </c>
      <c r="T1102" s="94">
        <v>800</v>
      </c>
      <c r="U1102" s="94">
        <v>2</v>
      </c>
      <c r="V1102" s="8">
        <v>2</v>
      </c>
      <c r="W1102" s="94">
        <v>640</v>
      </c>
      <c r="X1102" s="94">
        <v>10</v>
      </c>
      <c r="Y1102" s="103">
        <v>2</v>
      </c>
      <c r="Z1102" s="18" t="s">
        <v>102</v>
      </c>
      <c r="AA1102" s="9" t="s">
        <v>102</v>
      </c>
      <c r="AB1102" s="93">
        <v>1165.5899999999999</v>
      </c>
      <c r="AC1102" s="93">
        <v>1129.5899999999999</v>
      </c>
      <c r="AD1102" s="93">
        <v>5.1959999999999997</v>
      </c>
      <c r="AE1102" s="9" t="s">
        <v>101</v>
      </c>
      <c r="AF1102" s="9" t="s">
        <v>102</v>
      </c>
      <c r="AG1102" s="9" t="s">
        <v>102</v>
      </c>
      <c r="AH1102" s="9" t="s">
        <v>102</v>
      </c>
      <c r="AI1102" s="9" t="s">
        <v>102</v>
      </c>
      <c r="AJ1102" s="9" t="s">
        <v>102</v>
      </c>
      <c r="AK1102" s="9" t="s">
        <v>102</v>
      </c>
      <c r="AL1102" s="9" t="s">
        <v>102</v>
      </c>
      <c r="AN1102" s="12" t="s">
        <v>101</v>
      </c>
      <c r="AO1102" s="12" t="s">
        <v>103</v>
      </c>
      <c r="AP1102" s="94">
        <v>239</v>
      </c>
      <c r="AQ1102" s="157" t="s">
        <v>100</v>
      </c>
      <c r="AR1102" s="93">
        <v>239</v>
      </c>
    </row>
    <row r="1103" spans="1:44" ht="16.5">
      <c r="A1103" s="111">
        <v>240</v>
      </c>
      <c r="B1103" s="93" t="s">
        <v>101</v>
      </c>
      <c r="C1103" s="111">
        <v>79.760000000000005</v>
      </c>
      <c r="D1103" s="111">
        <v>5.39</v>
      </c>
      <c r="E1103" s="111">
        <v>1.0900000000000001</v>
      </c>
      <c r="F1103" s="111">
        <v>4.8</v>
      </c>
      <c r="G1103" s="111">
        <v>4.95</v>
      </c>
      <c r="H1103" s="111">
        <v>0</v>
      </c>
      <c r="I1103" s="111">
        <v>0</v>
      </c>
      <c r="J1103" s="111">
        <v>3.9</v>
      </c>
      <c r="K1103" s="111">
        <v>0</v>
      </c>
      <c r="L1103" s="111">
        <v>0</v>
      </c>
      <c r="M1103" s="74" t="str">
        <f t="array" ref="M1103">_xlfn.TEXTJOIN("-", TRUE, IF(C1103:L1103&gt;0, $C$2:$L$2, ""))</f>
        <v xml:space="preserve"> Ti-Al-Zr-Mo-V-Cr</v>
      </c>
      <c r="N1103" s="90">
        <f t="shared" si="35"/>
        <v>1073</v>
      </c>
      <c r="O1103" s="91">
        <f t="shared" si="36"/>
        <v>6</v>
      </c>
      <c r="P1103" s="93">
        <v>1</v>
      </c>
      <c r="Q1103" s="93">
        <v>0</v>
      </c>
      <c r="R1103" s="93">
        <v>0</v>
      </c>
      <c r="S1103" s="93">
        <v>0</v>
      </c>
      <c r="T1103" s="94">
        <v>860</v>
      </c>
      <c r="U1103" s="94">
        <v>1.5</v>
      </c>
      <c r="V1103" s="8">
        <v>2</v>
      </c>
      <c r="W1103" s="94">
        <v>600</v>
      </c>
      <c r="X1103" s="94">
        <v>9</v>
      </c>
      <c r="Y1103" s="103">
        <v>2</v>
      </c>
      <c r="Z1103" s="18" t="s">
        <v>102</v>
      </c>
      <c r="AA1103" s="9" t="s">
        <v>102</v>
      </c>
      <c r="AB1103" s="93">
        <v>1196.83</v>
      </c>
      <c r="AC1103" s="93">
        <v>1158.93</v>
      </c>
      <c r="AD1103" s="9" t="s">
        <v>101</v>
      </c>
      <c r="AE1103" s="9" t="s">
        <v>101</v>
      </c>
      <c r="AF1103" s="9" t="s">
        <v>102</v>
      </c>
      <c r="AG1103" s="9" t="s">
        <v>102</v>
      </c>
      <c r="AH1103" s="9" t="s">
        <v>102</v>
      </c>
      <c r="AI1103" s="9" t="s">
        <v>102</v>
      </c>
      <c r="AJ1103" s="9" t="s">
        <v>102</v>
      </c>
      <c r="AK1103" s="9" t="s">
        <v>102</v>
      </c>
      <c r="AL1103" s="9" t="s">
        <v>102</v>
      </c>
      <c r="AN1103" s="12" t="s">
        <v>101</v>
      </c>
      <c r="AO1103" s="12" t="s">
        <v>103</v>
      </c>
      <c r="AP1103" s="94">
        <v>240</v>
      </c>
      <c r="AQ1103" s="157" t="s">
        <v>100</v>
      </c>
      <c r="AR1103" s="93">
        <v>240</v>
      </c>
    </row>
    <row r="1104" spans="1:44" ht="16.5">
      <c r="A1104" s="111">
        <v>241</v>
      </c>
      <c r="B1104" s="93" t="s">
        <v>101</v>
      </c>
      <c r="C1104" s="111">
        <v>79.760000000000005</v>
      </c>
      <c r="D1104" s="111">
        <v>5.39</v>
      </c>
      <c r="E1104" s="111">
        <v>1.0900000000000001</v>
      </c>
      <c r="F1104" s="111">
        <v>4.8</v>
      </c>
      <c r="G1104" s="111">
        <v>4.95</v>
      </c>
      <c r="H1104" s="111">
        <v>0</v>
      </c>
      <c r="I1104" s="111">
        <v>0</v>
      </c>
      <c r="J1104" s="111">
        <v>3.9</v>
      </c>
      <c r="K1104" s="111">
        <v>0</v>
      </c>
      <c r="L1104" s="111">
        <v>0</v>
      </c>
      <c r="M1104" s="74" t="str">
        <f t="array" ref="M1104">_xlfn.TEXTJOIN("-", TRUE, IF(C1104:L1104&gt;0, $C$2:$L$2, ""))</f>
        <v xml:space="preserve"> Ti-Al-Zr-Mo-V-Cr</v>
      </c>
      <c r="N1104" s="90">
        <f t="shared" si="35"/>
        <v>1073</v>
      </c>
      <c r="O1104" s="91">
        <f t="shared" si="36"/>
        <v>6</v>
      </c>
      <c r="P1104" s="93">
        <v>1</v>
      </c>
      <c r="Q1104" s="93">
        <v>0</v>
      </c>
      <c r="R1104" s="93">
        <v>0</v>
      </c>
      <c r="S1104" s="93">
        <v>0</v>
      </c>
      <c r="T1104" s="94">
        <v>880</v>
      </c>
      <c r="U1104" s="94">
        <v>1.5</v>
      </c>
      <c r="V1104" s="8">
        <v>2</v>
      </c>
      <c r="W1104" s="94">
        <v>620</v>
      </c>
      <c r="X1104" s="94">
        <v>9</v>
      </c>
      <c r="Y1104" s="103">
        <v>2</v>
      </c>
      <c r="Z1104" s="18" t="s">
        <v>102</v>
      </c>
      <c r="AA1104" s="9" t="s">
        <v>102</v>
      </c>
      <c r="AB1104" s="93">
        <v>1180.6600000000001</v>
      </c>
      <c r="AC1104" s="93">
        <v>1133.51</v>
      </c>
      <c r="AD1104" s="9" t="s">
        <v>101</v>
      </c>
      <c r="AE1104" s="9" t="s">
        <v>101</v>
      </c>
      <c r="AF1104" s="9" t="s">
        <v>102</v>
      </c>
      <c r="AG1104" s="9" t="s">
        <v>102</v>
      </c>
      <c r="AH1104" s="9" t="s">
        <v>102</v>
      </c>
      <c r="AI1104" s="9" t="s">
        <v>102</v>
      </c>
      <c r="AJ1104" s="9" t="s">
        <v>102</v>
      </c>
      <c r="AK1104" s="9" t="s">
        <v>102</v>
      </c>
      <c r="AL1104" s="9" t="s">
        <v>102</v>
      </c>
      <c r="AN1104" s="12" t="s">
        <v>101</v>
      </c>
      <c r="AO1104" s="12" t="s">
        <v>103</v>
      </c>
      <c r="AP1104" s="94">
        <v>241</v>
      </c>
      <c r="AQ1104" s="157" t="s">
        <v>100</v>
      </c>
      <c r="AR1104" s="93">
        <v>241</v>
      </c>
    </row>
    <row r="1105" spans="1:46" ht="16.5">
      <c r="A1105" s="111">
        <v>242</v>
      </c>
      <c r="B1105" s="93" t="s">
        <v>101</v>
      </c>
      <c r="C1105" s="111">
        <v>79.760000000000005</v>
      </c>
      <c r="D1105" s="111">
        <v>5.39</v>
      </c>
      <c r="E1105" s="111">
        <v>1.0900000000000001</v>
      </c>
      <c r="F1105" s="111">
        <v>4.8</v>
      </c>
      <c r="G1105" s="111">
        <v>4.95</v>
      </c>
      <c r="H1105" s="111">
        <v>0</v>
      </c>
      <c r="I1105" s="111">
        <v>0</v>
      </c>
      <c r="J1105" s="111">
        <v>3.9</v>
      </c>
      <c r="K1105" s="111">
        <v>0</v>
      </c>
      <c r="L1105" s="111">
        <v>0</v>
      </c>
      <c r="M1105" s="74" t="str">
        <f t="array" ref="M1105">_xlfn.TEXTJOIN("-", TRUE, IF(C1105:L1105&gt;0, $C$2:$L$2, ""))</f>
        <v xml:space="preserve"> Ti-Al-Zr-Mo-V-Cr</v>
      </c>
      <c r="N1105" s="90">
        <f t="shared" si="35"/>
        <v>1073</v>
      </c>
      <c r="O1105" s="91">
        <f t="shared" si="36"/>
        <v>6</v>
      </c>
      <c r="P1105" s="93">
        <v>1</v>
      </c>
      <c r="Q1105" s="93">
        <v>0</v>
      </c>
      <c r="R1105" s="93">
        <v>0</v>
      </c>
      <c r="S1105" s="93">
        <v>0</v>
      </c>
      <c r="T1105" s="94">
        <v>900</v>
      </c>
      <c r="U1105" s="94">
        <v>1.5</v>
      </c>
      <c r="V1105" s="8">
        <v>2</v>
      </c>
      <c r="W1105" s="94">
        <v>580</v>
      </c>
      <c r="X1105" s="94">
        <v>9</v>
      </c>
      <c r="Y1105" s="103">
        <v>2</v>
      </c>
      <c r="Z1105" s="18" t="s">
        <v>102</v>
      </c>
      <c r="AA1105" s="9" t="s">
        <v>102</v>
      </c>
      <c r="AB1105" s="93">
        <v>1316.93</v>
      </c>
      <c r="AC1105" s="93">
        <v>1263.77</v>
      </c>
      <c r="AD1105" s="9" t="s">
        <v>101</v>
      </c>
      <c r="AE1105" s="9" t="s">
        <v>101</v>
      </c>
      <c r="AF1105" s="9" t="s">
        <v>102</v>
      </c>
      <c r="AG1105" s="9" t="s">
        <v>102</v>
      </c>
      <c r="AH1105" s="9" t="s">
        <v>102</v>
      </c>
      <c r="AI1105" s="9" t="s">
        <v>102</v>
      </c>
      <c r="AJ1105" s="9" t="s">
        <v>102</v>
      </c>
      <c r="AK1105" s="9" t="s">
        <v>102</v>
      </c>
      <c r="AL1105" s="9" t="s">
        <v>102</v>
      </c>
      <c r="AN1105" s="12" t="s">
        <v>101</v>
      </c>
      <c r="AO1105" s="12" t="s">
        <v>103</v>
      </c>
      <c r="AP1105" s="94">
        <v>242</v>
      </c>
      <c r="AQ1105" s="157" t="s">
        <v>100</v>
      </c>
      <c r="AR1105" s="93">
        <v>242</v>
      </c>
    </row>
    <row r="1106" spans="1:46" ht="16.5">
      <c r="A1106" s="111">
        <v>243</v>
      </c>
      <c r="B1106" s="93" t="s">
        <v>101</v>
      </c>
      <c r="C1106" s="111">
        <v>79.760000000000005</v>
      </c>
      <c r="D1106" s="111">
        <v>5.39</v>
      </c>
      <c r="E1106" s="111">
        <v>1.0900000000000001</v>
      </c>
      <c r="F1106" s="111">
        <v>4.8</v>
      </c>
      <c r="G1106" s="111">
        <v>4.95</v>
      </c>
      <c r="H1106" s="111">
        <v>0</v>
      </c>
      <c r="I1106" s="111">
        <v>0</v>
      </c>
      <c r="J1106" s="111">
        <v>3.9</v>
      </c>
      <c r="K1106" s="111">
        <v>0</v>
      </c>
      <c r="L1106" s="111">
        <v>0</v>
      </c>
      <c r="M1106" s="74" t="str">
        <f t="array" ref="M1106">_xlfn.TEXTJOIN("-", TRUE, IF(C1106:L1106&gt;0, $C$2:$L$2, ""))</f>
        <v xml:space="preserve"> Ti-Al-Zr-Mo-V-Cr</v>
      </c>
      <c r="N1106" s="90">
        <f t="shared" si="35"/>
        <v>1073</v>
      </c>
      <c r="O1106" s="91">
        <f t="shared" si="36"/>
        <v>6</v>
      </c>
      <c r="P1106" s="93">
        <v>1</v>
      </c>
      <c r="Q1106" s="93">
        <v>0</v>
      </c>
      <c r="R1106" s="93">
        <v>0</v>
      </c>
      <c r="S1106" s="93">
        <v>0</v>
      </c>
      <c r="T1106" s="94">
        <v>900</v>
      </c>
      <c r="U1106" s="94">
        <v>1.5</v>
      </c>
      <c r="V1106" s="8">
        <v>2</v>
      </c>
      <c r="W1106" s="94">
        <v>600</v>
      </c>
      <c r="X1106" s="94">
        <v>9</v>
      </c>
      <c r="Y1106" s="103">
        <v>2</v>
      </c>
      <c r="Z1106" s="18" t="s">
        <v>102</v>
      </c>
      <c r="AA1106" s="9" t="s">
        <v>102</v>
      </c>
      <c r="AB1106" s="93">
        <v>1268.04</v>
      </c>
      <c r="AC1106" s="93">
        <v>1239.08</v>
      </c>
      <c r="AD1106" s="9" t="s">
        <v>101</v>
      </c>
      <c r="AE1106" s="9" t="s">
        <v>101</v>
      </c>
      <c r="AF1106" s="9" t="s">
        <v>102</v>
      </c>
      <c r="AG1106" s="9" t="s">
        <v>102</v>
      </c>
      <c r="AH1106" s="9" t="s">
        <v>102</v>
      </c>
      <c r="AI1106" s="9" t="s">
        <v>102</v>
      </c>
      <c r="AJ1106" s="9" t="s">
        <v>102</v>
      </c>
      <c r="AK1106" s="9" t="s">
        <v>102</v>
      </c>
      <c r="AL1106" s="9" t="s">
        <v>102</v>
      </c>
      <c r="AN1106" s="12" t="s">
        <v>101</v>
      </c>
      <c r="AO1106" s="12" t="s">
        <v>103</v>
      </c>
      <c r="AP1106" s="94">
        <v>243</v>
      </c>
      <c r="AQ1106" s="157" t="s">
        <v>100</v>
      </c>
      <c r="AR1106" s="93">
        <v>243</v>
      </c>
    </row>
    <row r="1107" spans="1:46" ht="16.5">
      <c r="A1107" s="111">
        <v>244</v>
      </c>
      <c r="B1107" s="93" t="s">
        <v>101</v>
      </c>
      <c r="C1107" s="111">
        <v>79.760000000000005</v>
      </c>
      <c r="D1107" s="111">
        <v>5.39</v>
      </c>
      <c r="E1107" s="111">
        <v>1.0900000000000001</v>
      </c>
      <c r="F1107" s="111">
        <v>4.8</v>
      </c>
      <c r="G1107" s="111">
        <v>4.95</v>
      </c>
      <c r="H1107" s="111">
        <v>0</v>
      </c>
      <c r="I1107" s="111">
        <v>0</v>
      </c>
      <c r="J1107" s="111">
        <v>3.9</v>
      </c>
      <c r="K1107" s="111">
        <v>0</v>
      </c>
      <c r="L1107" s="111">
        <v>0</v>
      </c>
      <c r="M1107" s="74" t="str">
        <f t="array" ref="M1107">_xlfn.TEXTJOIN("-", TRUE, IF(C1107:L1107&gt;0, $C$2:$L$2, ""))</f>
        <v xml:space="preserve"> Ti-Al-Zr-Mo-V-Cr</v>
      </c>
      <c r="N1107" s="90">
        <f t="shared" si="35"/>
        <v>1073</v>
      </c>
      <c r="O1107" s="91">
        <f t="shared" si="36"/>
        <v>6</v>
      </c>
      <c r="P1107" s="93">
        <v>1</v>
      </c>
      <c r="Q1107" s="93">
        <v>0</v>
      </c>
      <c r="R1107" s="93">
        <v>0</v>
      </c>
      <c r="S1107" s="93">
        <v>0</v>
      </c>
      <c r="T1107" s="94">
        <v>900</v>
      </c>
      <c r="U1107" s="94">
        <v>1.5</v>
      </c>
      <c r="V1107" s="8">
        <v>2</v>
      </c>
      <c r="W1107" s="94">
        <v>620</v>
      </c>
      <c r="X1107" s="94">
        <v>6</v>
      </c>
      <c r="Y1107" s="103">
        <v>2</v>
      </c>
      <c r="Z1107" s="18" t="s">
        <v>102</v>
      </c>
      <c r="AA1107" s="9" t="s">
        <v>102</v>
      </c>
      <c r="AB1107" s="93">
        <v>1153.17</v>
      </c>
      <c r="AC1107" s="93">
        <v>1105.5</v>
      </c>
      <c r="AD1107" s="9" t="s">
        <v>101</v>
      </c>
      <c r="AE1107" s="9" t="s">
        <v>101</v>
      </c>
      <c r="AF1107" s="9" t="s">
        <v>102</v>
      </c>
      <c r="AG1107" s="9" t="s">
        <v>102</v>
      </c>
      <c r="AH1107" s="9" t="s">
        <v>102</v>
      </c>
      <c r="AI1107" s="9" t="s">
        <v>102</v>
      </c>
      <c r="AJ1107" s="9" t="s">
        <v>102</v>
      </c>
      <c r="AK1107" s="9" t="s">
        <v>102</v>
      </c>
      <c r="AL1107" s="9" t="s">
        <v>102</v>
      </c>
      <c r="AN1107" s="12" t="s">
        <v>101</v>
      </c>
      <c r="AO1107" s="12" t="s">
        <v>103</v>
      </c>
      <c r="AP1107" s="94">
        <v>244</v>
      </c>
      <c r="AQ1107" s="157" t="s">
        <v>100</v>
      </c>
      <c r="AR1107" s="93">
        <v>244</v>
      </c>
    </row>
    <row r="1108" spans="1:46" ht="16.5">
      <c r="A1108" s="111">
        <v>245</v>
      </c>
      <c r="B1108" s="93" t="s">
        <v>101</v>
      </c>
      <c r="C1108" s="111">
        <v>79.760000000000005</v>
      </c>
      <c r="D1108" s="111">
        <v>5.39</v>
      </c>
      <c r="E1108" s="111">
        <v>1.0900000000000001</v>
      </c>
      <c r="F1108" s="111">
        <v>4.8</v>
      </c>
      <c r="G1108" s="111">
        <v>4.95</v>
      </c>
      <c r="H1108" s="111">
        <v>0</v>
      </c>
      <c r="I1108" s="111">
        <v>0</v>
      </c>
      <c r="J1108" s="111">
        <v>3.9</v>
      </c>
      <c r="K1108" s="111">
        <v>0</v>
      </c>
      <c r="L1108" s="111">
        <v>0</v>
      </c>
      <c r="M1108" s="74" t="str">
        <f t="array" ref="M1108">_xlfn.TEXTJOIN("-", TRUE, IF(C1108:L1108&gt;0, $C$2:$L$2, ""))</f>
        <v xml:space="preserve"> Ti-Al-Zr-Mo-V-Cr</v>
      </c>
      <c r="N1108" s="90">
        <f t="shared" si="35"/>
        <v>1073</v>
      </c>
      <c r="O1108" s="91">
        <f t="shared" si="36"/>
        <v>6</v>
      </c>
      <c r="P1108" s="93">
        <v>1</v>
      </c>
      <c r="Q1108" s="93">
        <v>0</v>
      </c>
      <c r="R1108" s="93">
        <v>0</v>
      </c>
      <c r="S1108" s="93">
        <v>0</v>
      </c>
      <c r="T1108" s="94">
        <v>900</v>
      </c>
      <c r="U1108" s="94">
        <v>1.5</v>
      </c>
      <c r="V1108" s="8">
        <v>2</v>
      </c>
      <c r="W1108" s="94">
        <v>620</v>
      </c>
      <c r="X1108" s="94">
        <v>7</v>
      </c>
      <c r="Y1108" s="103">
        <v>2</v>
      </c>
      <c r="Z1108" s="18" t="s">
        <v>102</v>
      </c>
      <c r="AA1108" s="9" t="s">
        <v>102</v>
      </c>
      <c r="AB1108" s="93">
        <v>1193.55</v>
      </c>
      <c r="AC1108" s="93">
        <v>1155.2</v>
      </c>
      <c r="AD1108" s="9" t="s">
        <v>101</v>
      </c>
      <c r="AE1108" s="9" t="s">
        <v>101</v>
      </c>
      <c r="AF1108" s="9" t="s">
        <v>102</v>
      </c>
      <c r="AG1108" s="9" t="s">
        <v>102</v>
      </c>
      <c r="AH1108" s="9" t="s">
        <v>102</v>
      </c>
      <c r="AI1108" s="9" t="s">
        <v>102</v>
      </c>
      <c r="AJ1108" s="9" t="s">
        <v>102</v>
      </c>
      <c r="AK1108" s="9" t="s">
        <v>102</v>
      </c>
      <c r="AL1108" s="9" t="s">
        <v>102</v>
      </c>
      <c r="AN1108" s="12" t="s">
        <v>101</v>
      </c>
      <c r="AO1108" s="12" t="s">
        <v>103</v>
      </c>
      <c r="AP1108" s="94">
        <v>245</v>
      </c>
      <c r="AQ1108" s="157" t="s">
        <v>100</v>
      </c>
      <c r="AR1108" s="93">
        <v>245</v>
      </c>
    </row>
    <row r="1109" spans="1:46" ht="16.5">
      <c r="A1109" s="111">
        <v>246</v>
      </c>
      <c r="B1109" s="93" t="s">
        <v>101</v>
      </c>
      <c r="C1109" s="111">
        <v>79.760000000000005</v>
      </c>
      <c r="D1109" s="111">
        <v>5.39</v>
      </c>
      <c r="E1109" s="111">
        <v>1.0900000000000001</v>
      </c>
      <c r="F1109" s="111">
        <v>4.8</v>
      </c>
      <c r="G1109" s="111">
        <v>4.95</v>
      </c>
      <c r="H1109" s="111">
        <v>0</v>
      </c>
      <c r="I1109" s="111">
        <v>0</v>
      </c>
      <c r="J1109" s="111">
        <v>3.9</v>
      </c>
      <c r="K1109" s="111">
        <v>0</v>
      </c>
      <c r="L1109" s="111">
        <v>0</v>
      </c>
      <c r="M1109" s="74" t="str">
        <f t="array" ref="M1109">_xlfn.TEXTJOIN("-", TRUE, IF(C1109:L1109&gt;0, $C$2:$L$2, ""))</f>
        <v xml:space="preserve"> Ti-Al-Zr-Mo-V-Cr</v>
      </c>
      <c r="N1109" s="90">
        <f t="shared" si="35"/>
        <v>1073</v>
      </c>
      <c r="O1109" s="91">
        <f t="shared" si="36"/>
        <v>6</v>
      </c>
      <c r="P1109" s="93">
        <v>1</v>
      </c>
      <c r="Q1109" s="93">
        <v>0</v>
      </c>
      <c r="R1109" s="93">
        <v>0</v>
      </c>
      <c r="S1109" s="93">
        <v>0</v>
      </c>
      <c r="T1109" s="94">
        <v>900</v>
      </c>
      <c r="U1109" s="94">
        <v>1.5</v>
      </c>
      <c r="V1109" s="8">
        <v>2</v>
      </c>
      <c r="W1109" s="94">
        <v>620</v>
      </c>
      <c r="X1109" s="94">
        <v>8</v>
      </c>
      <c r="Y1109" s="103">
        <v>2</v>
      </c>
      <c r="Z1109" s="18" t="s">
        <v>102</v>
      </c>
      <c r="AA1109" s="9" t="s">
        <v>102</v>
      </c>
      <c r="AB1109" s="93">
        <v>1246.83</v>
      </c>
      <c r="AC1109" s="93">
        <v>1209.2</v>
      </c>
      <c r="AD1109" s="9" t="s">
        <v>101</v>
      </c>
      <c r="AE1109" s="9" t="s">
        <v>101</v>
      </c>
      <c r="AF1109" s="9" t="s">
        <v>102</v>
      </c>
      <c r="AG1109" s="9" t="s">
        <v>102</v>
      </c>
      <c r="AH1109" s="9" t="s">
        <v>102</v>
      </c>
      <c r="AI1109" s="9" t="s">
        <v>102</v>
      </c>
      <c r="AJ1109" s="9" t="s">
        <v>102</v>
      </c>
      <c r="AK1109" s="9" t="s">
        <v>102</v>
      </c>
      <c r="AL1109" s="9" t="s">
        <v>102</v>
      </c>
      <c r="AN1109" s="12" t="s">
        <v>101</v>
      </c>
      <c r="AO1109" s="12" t="s">
        <v>103</v>
      </c>
      <c r="AP1109" s="94">
        <v>246</v>
      </c>
      <c r="AQ1109" s="157" t="s">
        <v>100</v>
      </c>
      <c r="AR1109" s="93">
        <v>246</v>
      </c>
    </row>
    <row r="1110" spans="1:46" ht="16.5">
      <c r="A1110" s="111">
        <v>247</v>
      </c>
      <c r="B1110" s="93" t="s">
        <v>101</v>
      </c>
      <c r="C1110" s="111">
        <v>79.760000000000005</v>
      </c>
      <c r="D1110" s="111">
        <v>5.39</v>
      </c>
      <c r="E1110" s="111">
        <v>1.0900000000000001</v>
      </c>
      <c r="F1110" s="111">
        <v>4.8</v>
      </c>
      <c r="G1110" s="111">
        <v>4.95</v>
      </c>
      <c r="H1110" s="111">
        <v>0</v>
      </c>
      <c r="I1110" s="111">
        <v>0</v>
      </c>
      <c r="J1110" s="111">
        <v>3.9</v>
      </c>
      <c r="K1110" s="111">
        <v>0</v>
      </c>
      <c r="L1110" s="111">
        <v>0</v>
      </c>
      <c r="M1110" s="74" t="str">
        <f t="array" ref="M1110">_xlfn.TEXTJOIN("-", TRUE, IF(C1110:L1110&gt;0, $C$2:$L$2, ""))</f>
        <v xml:space="preserve"> Ti-Al-Zr-Mo-V-Cr</v>
      </c>
      <c r="N1110" s="90">
        <f t="shared" si="35"/>
        <v>1073</v>
      </c>
      <c r="O1110" s="91">
        <f t="shared" si="36"/>
        <v>6</v>
      </c>
      <c r="P1110" s="93">
        <v>1</v>
      </c>
      <c r="Q1110" s="93">
        <v>0</v>
      </c>
      <c r="R1110" s="93">
        <v>0</v>
      </c>
      <c r="S1110" s="93">
        <v>0</v>
      </c>
      <c r="T1110" s="94">
        <v>900</v>
      </c>
      <c r="U1110" s="94">
        <v>1.5</v>
      </c>
      <c r="V1110" s="8">
        <v>2</v>
      </c>
      <c r="W1110" s="94">
        <v>620</v>
      </c>
      <c r="X1110" s="94">
        <v>9</v>
      </c>
      <c r="Y1110" s="103">
        <v>2</v>
      </c>
      <c r="Z1110" s="18" t="s">
        <v>102</v>
      </c>
      <c r="AA1110" s="9" t="s">
        <v>102</v>
      </c>
      <c r="AB1110" s="93">
        <v>1234.52</v>
      </c>
      <c r="AC1110" s="93">
        <v>1182.56</v>
      </c>
      <c r="AD1110" s="9" t="s">
        <v>101</v>
      </c>
      <c r="AE1110" s="9" t="s">
        <v>101</v>
      </c>
      <c r="AF1110" s="9" t="s">
        <v>102</v>
      </c>
      <c r="AG1110" s="9" t="s">
        <v>102</v>
      </c>
      <c r="AH1110" s="9" t="s">
        <v>102</v>
      </c>
      <c r="AI1110" s="9" t="s">
        <v>102</v>
      </c>
      <c r="AJ1110" s="9" t="s">
        <v>102</v>
      </c>
      <c r="AK1110" s="9" t="s">
        <v>102</v>
      </c>
      <c r="AL1110" s="9" t="s">
        <v>102</v>
      </c>
      <c r="AN1110" s="12" t="s">
        <v>101</v>
      </c>
      <c r="AO1110" s="12" t="s">
        <v>103</v>
      </c>
      <c r="AP1110" s="94">
        <v>247</v>
      </c>
      <c r="AQ1110" s="157" t="s">
        <v>100</v>
      </c>
      <c r="AR1110" s="93">
        <v>247</v>
      </c>
    </row>
    <row r="1111" spans="1:46" ht="16.5">
      <c r="A1111" s="111">
        <v>248</v>
      </c>
      <c r="B1111" s="93" t="s">
        <v>101</v>
      </c>
      <c r="C1111" s="111">
        <v>79.760000000000005</v>
      </c>
      <c r="D1111" s="111">
        <v>5.39</v>
      </c>
      <c r="E1111" s="111">
        <v>1.0900000000000001</v>
      </c>
      <c r="F1111" s="111">
        <v>4.8</v>
      </c>
      <c r="G1111" s="111">
        <v>4.95</v>
      </c>
      <c r="H1111" s="111">
        <v>0</v>
      </c>
      <c r="I1111" s="111">
        <v>0</v>
      </c>
      <c r="J1111" s="111">
        <v>3.9</v>
      </c>
      <c r="K1111" s="111">
        <v>0</v>
      </c>
      <c r="L1111" s="111">
        <v>0</v>
      </c>
      <c r="M1111" s="74" t="str">
        <f t="array" ref="M1111">_xlfn.TEXTJOIN("-", TRUE, IF(C1111:L1111&gt;0, $C$2:$L$2, ""))</f>
        <v xml:space="preserve"> Ti-Al-Zr-Mo-V-Cr</v>
      </c>
      <c r="N1111" s="90">
        <f t="shared" si="35"/>
        <v>1073</v>
      </c>
      <c r="O1111" s="91">
        <f t="shared" si="36"/>
        <v>6</v>
      </c>
      <c r="P1111" s="93">
        <v>1</v>
      </c>
      <c r="Q1111" s="93">
        <v>0</v>
      </c>
      <c r="R1111" s="93">
        <v>0</v>
      </c>
      <c r="S1111" s="93">
        <v>0</v>
      </c>
      <c r="T1111" s="94">
        <v>900</v>
      </c>
      <c r="U1111" s="94">
        <v>1.5</v>
      </c>
      <c r="V1111" s="8">
        <v>2</v>
      </c>
      <c r="W1111" s="94">
        <v>620</v>
      </c>
      <c r="X1111" s="94">
        <v>10</v>
      </c>
      <c r="Y1111" s="103">
        <v>2</v>
      </c>
      <c r="Z1111" s="18" t="s">
        <v>102</v>
      </c>
      <c r="AA1111" s="9" t="s">
        <v>102</v>
      </c>
      <c r="AB1111" s="93">
        <v>1179.21</v>
      </c>
      <c r="AC1111" s="93">
        <v>1133.33</v>
      </c>
      <c r="AD1111" s="9" t="s">
        <v>101</v>
      </c>
      <c r="AE1111" s="9" t="s">
        <v>101</v>
      </c>
      <c r="AF1111" s="9" t="s">
        <v>102</v>
      </c>
      <c r="AG1111" s="9" t="s">
        <v>102</v>
      </c>
      <c r="AH1111" s="9" t="s">
        <v>102</v>
      </c>
      <c r="AI1111" s="9" t="s">
        <v>102</v>
      </c>
      <c r="AJ1111" s="9" t="s">
        <v>102</v>
      </c>
      <c r="AK1111" s="9" t="s">
        <v>102</v>
      </c>
      <c r="AL1111" s="9" t="s">
        <v>102</v>
      </c>
      <c r="AN1111" s="12" t="s">
        <v>101</v>
      </c>
      <c r="AO1111" s="12" t="s">
        <v>103</v>
      </c>
      <c r="AP1111" s="94">
        <v>248</v>
      </c>
      <c r="AQ1111" s="157" t="s">
        <v>100</v>
      </c>
      <c r="AR1111" s="93">
        <v>248</v>
      </c>
    </row>
    <row r="1112" spans="1:46" ht="16.5">
      <c r="A1112" s="111">
        <v>249</v>
      </c>
      <c r="B1112" s="93" t="s">
        <v>101</v>
      </c>
      <c r="C1112" s="111">
        <v>79.760000000000005</v>
      </c>
      <c r="D1112" s="111">
        <v>5.39</v>
      </c>
      <c r="E1112" s="111">
        <v>1.0900000000000001</v>
      </c>
      <c r="F1112" s="111">
        <v>4.8</v>
      </c>
      <c r="G1112" s="111">
        <v>4.95</v>
      </c>
      <c r="H1112" s="111">
        <v>0</v>
      </c>
      <c r="I1112" s="111">
        <v>0</v>
      </c>
      <c r="J1112" s="111">
        <v>3.9</v>
      </c>
      <c r="K1112" s="111">
        <v>0</v>
      </c>
      <c r="L1112" s="111">
        <v>0</v>
      </c>
      <c r="M1112" s="74" t="str">
        <f t="array" ref="M1112">_xlfn.TEXTJOIN("-", TRUE, IF(C1112:L1112&gt;0, $C$2:$L$2, ""))</f>
        <v xml:space="preserve"> Ti-Al-Zr-Mo-V-Cr</v>
      </c>
      <c r="N1112" s="90">
        <f t="shared" si="35"/>
        <v>1073</v>
      </c>
      <c r="O1112" s="91">
        <f t="shared" si="36"/>
        <v>6</v>
      </c>
      <c r="P1112" s="93">
        <v>1</v>
      </c>
      <c r="Q1112" s="93">
        <v>0</v>
      </c>
      <c r="R1112" s="93">
        <v>0</v>
      </c>
      <c r="S1112" s="93">
        <v>0</v>
      </c>
      <c r="T1112" s="94">
        <v>900</v>
      </c>
      <c r="U1112" s="94">
        <v>1.5</v>
      </c>
      <c r="V1112" s="8">
        <v>2</v>
      </c>
      <c r="W1112" s="94">
        <v>640</v>
      </c>
      <c r="X1112" s="94">
        <v>9</v>
      </c>
      <c r="Y1112" s="103">
        <v>2</v>
      </c>
      <c r="Z1112" s="18" t="s">
        <v>102</v>
      </c>
      <c r="AA1112" s="9" t="s">
        <v>102</v>
      </c>
      <c r="AB1112" s="93">
        <v>1208.23</v>
      </c>
      <c r="AC1112" s="93">
        <v>1173.0999999999999</v>
      </c>
      <c r="AD1112" s="9" t="s">
        <v>101</v>
      </c>
      <c r="AE1112" s="9" t="s">
        <v>101</v>
      </c>
      <c r="AF1112" s="9" t="s">
        <v>102</v>
      </c>
      <c r="AG1112" s="9" t="s">
        <v>102</v>
      </c>
      <c r="AH1112" s="9" t="s">
        <v>102</v>
      </c>
      <c r="AI1112" s="9" t="s">
        <v>102</v>
      </c>
      <c r="AJ1112" s="9" t="s">
        <v>102</v>
      </c>
      <c r="AK1112" s="9" t="s">
        <v>102</v>
      </c>
      <c r="AL1112" s="9" t="s">
        <v>102</v>
      </c>
      <c r="AN1112" s="12" t="s">
        <v>101</v>
      </c>
      <c r="AO1112" s="12" t="s">
        <v>103</v>
      </c>
      <c r="AP1112" s="94">
        <v>249</v>
      </c>
      <c r="AQ1112" s="157" t="s">
        <v>100</v>
      </c>
      <c r="AR1112" s="93">
        <v>249</v>
      </c>
    </row>
    <row r="1113" spans="1:46" ht="16.5">
      <c r="A1113" s="44">
        <v>1</v>
      </c>
      <c r="B1113" s="10"/>
      <c r="C1113" s="44">
        <f>100-SUM(D1113:L1113)</f>
        <v>91.28</v>
      </c>
      <c r="D1113" s="44">
        <v>4.95</v>
      </c>
      <c r="E1113" s="151">
        <v>1</v>
      </c>
      <c r="F1113" s="44">
        <v>0.78500000000000003</v>
      </c>
      <c r="G1113" s="151">
        <v>1</v>
      </c>
      <c r="H1113" s="44">
        <v>0</v>
      </c>
      <c r="I1113" s="44">
        <v>0</v>
      </c>
      <c r="J1113" s="44">
        <v>0</v>
      </c>
      <c r="K1113" s="44">
        <v>0</v>
      </c>
      <c r="L1113" s="44">
        <v>0.98499999999999999</v>
      </c>
      <c r="M1113" s="74" t="str">
        <f t="array" ref="M1113">_xlfn.TEXTJOIN("-", TRUE, IF(C1113:L1113&gt;0, $C$2:$L$2, ""))</f>
        <v xml:space="preserve"> Ti-Al-Zr-Mo-V-Sn</v>
      </c>
      <c r="N1113" s="90">
        <f t="shared" si="35"/>
        <v>1113</v>
      </c>
      <c r="O1113" s="91">
        <f t="shared" si="36"/>
        <v>6</v>
      </c>
      <c r="P1113" s="10" t="s">
        <v>81</v>
      </c>
      <c r="Q1113" s="10" t="s">
        <v>81</v>
      </c>
      <c r="R1113" s="10" t="s">
        <v>81</v>
      </c>
      <c r="S1113" s="10" t="s">
        <v>81</v>
      </c>
      <c r="T1113" s="10" t="s">
        <v>81</v>
      </c>
      <c r="U1113" s="10" t="s">
        <v>81</v>
      </c>
      <c r="V1113" s="10" t="s">
        <v>81</v>
      </c>
      <c r="W1113" s="10" t="s">
        <v>81</v>
      </c>
      <c r="X1113" s="10" t="s">
        <v>81</v>
      </c>
      <c r="Y1113" s="10" t="s">
        <v>81</v>
      </c>
      <c r="Z1113" s="44"/>
      <c r="AA1113" s="10"/>
      <c r="AB1113" s="10" t="s">
        <v>179</v>
      </c>
      <c r="AC1113" s="10" t="s">
        <v>180</v>
      </c>
      <c r="AD1113" s="10" t="s">
        <v>181</v>
      </c>
      <c r="AE1113" s="10" t="s">
        <v>182</v>
      </c>
      <c r="AF1113" s="10"/>
      <c r="AG1113" s="10"/>
      <c r="AH1113" s="10"/>
      <c r="AI1113" s="10"/>
      <c r="AJ1113" s="10"/>
      <c r="AK1113" s="10"/>
      <c r="AL1113" s="10"/>
      <c r="AM1113" s="10"/>
      <c r="AN1113" s="11"/>
      <c r="AO1113" s="11" t="s">
        <v>183</v>
      </c>
      <c r="AP1113" s="10">
        <v>1</v>
      </c>
      <c r="AQ1113" s="163" t="s">
        <v>83</v>
      </c>
      <c r="AR1113" s="10">
        <v>1</v>
      </c>
      <c r="AS1113" s="10" t="s">
        <v>151</v>
      </c>
      <c r="AT1113" s="11" t="s">
        <v>606</v>
      </c>
    </row>
    <row r="1114" spans="1:46" ht="16.5">
      <c r="A1114" s="44">
        <v>2</v>
      </c>
      <c r="B1114" s="10"/>
      <c r="C1114" s="44">
        <f>100-SUM(D1114:L1114)</f>
        <v>91.28</v>
      </c>
      <c r="D1114" s="44">
        <v>4.95</v>
      </c>
      <c r="E1114" s="151">
        <v>1</v>
      </c>
      <c r="F1114" s="44">
        <v>0.78500000000000003</v>
      </c>
      <c r="G1114" s="151">
        <v>1</v>
      </c>
      <c r="H1114" s="44">
        <v>0</v>
      </c>
      <c r="I1114" s="44">
        <v>0</v>
      </c>
      <c r="J1114" s="44">
        <v>0</v>
      </c>
      <c r="K1114" s="44">
        <v>0</v>
      </c>
      <c r="L1114" s="44">
        <v>0.98499999999999999</v>
      </c>
      <c r="M1114" s="74" t="str">
        <f t="array" ref="M1114">_xlfn.TEXTJOIN("-", TRUE, IF(C1114:L1114&gt;0, $C$2:$L$2, ""))</f>
        <v xml:space="preserve"> Ti-Al-Zr-Mo-V-Sn</v>
      </c>
      <c r="N1114" s="90">
        <f t="shared" si="35"/>
        <v>1113</v>
      </c>
      <c r="O1114" s="91">
        <f t="shared" si="36"/>
        <v>6</v>
      </c>
      <c r="P1114" s="10" t="s">
        <v>81</v>
      </c>
      <c r="Q1114" s="10" t="s">
        <v>81</v>
      </c>
      <c r="R1114" s="10" t="s">
        <v>81</v>
      </c>
      <c r="S1114" s="10" t="s">
        <v>81</v>
      </c>
      <c r="T1114" s="10">
        <v>900</v>
      </c>
      <c r="U1114" s="10">
        <v>1</v>
      </c>
      <c r="V1114" s="10">
        <v>2</v>
      </c>
      <c r="W1114" s="10">
        <v>0</v>
      </c>
      <c r="X1114" s="10">
        <v>0</v>
      </c>
      <c r="Y1114" s="10">
        <v>0</v>
      </c>
      <c r="Z1114" s="44"/>
      <c r="AA1114" s="10"/>
      <c r="AB1114" s="10" t="s">
        <v>184</v>
      </c>
      <c r="AC1114" s="10" t="s">
        <v>185</v>
      </c>
      <c r="AD1114" s="10" t="s">
        <v>186</v>
      </c>
      <c r="AE1114" s="10" t="s">
        <v>187</v>
      </c>
      <c r="AF1114" s="10"/>
      <c r="AG1114" s="10"/>
      <c r="AH1114" s="10"/>
      <c r="AI1114" s="10"/>
      <c r="AJ1114" s="10"/>
      <c r="AK1114" s="10"/>
      <c r="AL1114" s="10"/>
      <c r="AM1114" s="10"/>
      <c r="AN1114" s="11"/>
      <c r="AO1114" s="11" t="s">
        <v>183</v>
      </c>
      <c r="AP1114" s="10">
        <v>1</v>
      </c>
      <c r="AQ1114" s="163" t="s">
        <v>83</v>
      </c>
      <c r="AR1114" s="10">
        <v>2</v>
      </c>
      <c r="AS1114" s="10" t="s">
        <v>151</v>
      </c>
      <c r="AT1114" s="11" t="s">
        <v>606</v>
      </c>
    </row>
    <row r="1115" spans="1:46" ht="16.5">
      <c r="A1115" s="44">
        <v>3</v>
      </c>
      <c r="B1115" s="10"/>
      <c r="C1115" s="44">
        <f>100-SUM(D1115:L1115)</f>
        <v>91.28</v>
      </c>
      <c r="D1115" s="44">
        <v>4.95</v>
      </c>
      <c r="E1115" s="151">
        <v>1</v>
      </c>
      <c r="F1115" s="44">
        <v>0.78500000000000003</v>
      </c>
      <c r="G1115" s="151">
        <v>1</v>
      </c>
      <c r="H1115" s="44">
        <v>0</v>
      </c>
      <c r="I1115" s="44">
        <v>0</v>
      </c>
      <c r="J1115" s="44">
        <v>0</v>
      </c>
      <c r="K1115" s="44">
        <v>0</v>
      </c>
      <c r="L1115" s="44">
        <v>0.98499999999999999</v>
      </c>
      <c r="M1115" s="74" t="str">
        <f t="array" ref="M1115">_xlfn.TEXTJOIN("-", TRUE, IF(C1115:L1115&gt;0, $C$2:$L$2, ""))</f>
        <v xml:space="preserve"> Ti-Al-Zr-Mo-V-Sn</v>
      </c>
      <c r="N1115" s="90">
        <f t="shared" si="35"/>
        <v>1113</v>
      </c>
      <c r="O1115" s="91">
        <f t="shared" si="36"/>
        <v>6</v>
      </c>
      <c r="P1115" s="10" t="s">
        <v>81</v>
      </c>
      <c r="Q1115" s="10" t="s">
        <v>81</v>
      </c>
      <c r="R1115" s="10" t="s">
        <v>81</v>
      </c>
      <c r="S1115" s="10" t="s">
        <v>81</v>
      </c>
      <c r="T1115" s="10">
        <v>950</v>
      </c>
      <c r="U1115" s="10">
        <v>1</v>
      </c>
      <c r="V1115" s="10">
        <v>2</v>
      </c>
      <c r="W1115" s="10">
        <v>0</v>
      </c>
      <c r="X1115" s="10">
        <v>0</v>
      </c>
      <c r="Y1115" s="10">
        <v>0</v>
      </c>
      <c r="Z1115" s="44"/>
      <c r="AA1115" s="10"/>
      <c r="AB1115" s="10" t="s">
        <v>188</v>
      </c>
      <c r="AC1115" s="10" t="s">
        <v>189</v>
      </c>
      <c r="AD1115" s="10" t="s">
        <v>190</v>
      </c>
      <c r="AE1115" s="10" t="s">
        <v>191</v>
      </c>
      <c r="AF1115" s="10"/>
      <c r="AG1115" s="10"/>
      <c r="AH1115" s="10"/>
      <c r="AI1115" s="10"/>
      <c r="AJ1115" s="10"/>
      <c r="AK1115" s="10"/>
      <c r="AL1115" s="10"/>
      <c r="AM1115" s="10"/>
      <c r="AN1115" s="11"/>
      <c r="AO1115" s="11" t="s">
        <v>183</v>
      </c>
      <c r="AP1115" s="10">
        <v>1</v>
      </c>
      <c r="AQ1115" s="163" t="s">
        <v>83</v>
      </c>
      <c r="AR1115" s="10">
        <v>3</v>
      </c>
      <c r="AS1115" s="10" t="s">
        <v>151</v>
      </c>
      <c r="AT1115" s="11" t="s">
        <v>606</v>
      </c>
    </row>
    <row r="1116" spans="1:46" ht="16.5">
      <c r="A1116" s="44">
        <v>4</v>
      </c>
      <c r="B1116" s="10"/>
      <c r="C1116" s="44">
        <v>87.6798</v>
      </c>
      <c r="D1116" s="44">
        <v>6.04</v>
      </c>
      <c r="E1116" s="44">
        <v>2.0499999999999998</v>
      </c>
      <c r="F1116" s="44">
        <v>1.04</v>
      </c>
      <c r="G1116" s="44">
        <v>0</v>
      </c>
      <c r="H1116" s="44">
        <v>0</v>
      </c>
      <c r="I1116" s="44">
        <v>3.05</v>
      </c>
      <c r="J1116" s="44">
        <v>0</v>
      </c>
      <c r="K1116" s="44">
        <v>0.1</v>
      </c>
      <c r="L1116" s="44">
        <v>0</v>
      </c>
      <c r="M1116" s="74" t="str">
        <f t="array" ref="M1116">_xlfn.TEXTJOIN("-", TRUE, IF(C1116:L1116&gt;0, $C$2:$L$2, ""))</f>
        <v xml:space="preserve"> Ti-Al-Zr-Mo-Nb-Fe</v>
      </c>
      <c r="N1116" s="90">
        <f t="shared" si="35"/>
        <v>1116</v>
      </c>
      <c r="O1116" s="91">
        <f t="shared" si="36"/>
        <v>6</v>
      </c>
      <c r="P1116" s="10">
        <v>2</v>
      </c>
      <c r="Q1116" s="10">
        <v>1</v>
      </c>
      <c r="R1116" s="10" t="s">
        <v>81</v>
      </c>
      <c r="S1116" s="10" t="s">
        <v>81</v>
      </c>
      <c r="T1116" s="10">
        <v>970</v>
      </c>
      <c r="U1116" s="10">
        <v>2</v>
      </c>
      <c r="V1116" s="10">
        <v>3</v>
      </c>
      <c r="W1116" s="10">
        <v>0</v>
      </c>
      <c r="X1116" s="10">
        <v>0</v>
      </c>
      <c r="Y1116" s="10">
        <v>0</v>
      </c>
      <c r="Z1116" s="44"/>
      <c r="AA1116" s="10"/>
      <c r="AB1116" s="10">
        <v>793</v>
      </c>
      <c r="AC1116" s="10">
        <v>731</v>
      </c>
      <c r="AD1116" s="10">
        <v>14.5</v>
      </c>
      <c r="AE1116" s="10"/>
      <c r="AF1116" s="10"/>
      <c r="AG1116" s="10"/>
      <c r="AH1116" s="10"/>
      <c r="AI1116" s="10"/>
      <c r="AJ1116" s="10"/>
      <c r="AK1116" s="10">
        <v>103.06</v>
      </c>
      <c r="AL1116" s="10"/>
      <c r="AM1116" s="10"/>
      <c r="AN1116" s="11"/>
      <c r="AO1116" s="11" t="s">
        <v>193</v>
      </c>
      <c r="AP1116" s="10">
        <v>2</v>
      </c>
      <c r="AQ1116" s="163" t="s">
        <v>83</v>
      </c>
      <c r="AR1116" s="11" t="s">
        <v>607</v>
      </c>
      <c r="AS1116" s="10" t="s">
        <v>151</v>
      </c>
      <c r="AT1116" s="11"/>
    </row>
    <row r="1117" spans="1:46" ht="16.5">
      <c r="A1117" s="44">
        <v>5</v>
      </c>
      <c r="B1117" s="10"/>
      <c r="C1117" s="44">
        <v>87.6798</v>
      </c>
      <c r="D1117" s="44">
        <v>6.04</v>
      </c>
      <c r="E1117" s="44">
        <v>2.0499999999999998</v>
      </c>
      <c r="F1117" s="44">
        <v>1.04</v>
      </c>
      <c r="G1117" s="44">
        <v>0</v>
      </c>
      <c r="H1117" s="44">
        <v>0</v>
      </c>
      <c r="I1117" s="44">
        <v>3.05</v>
      </c>
      <c r="J1117" s="44">
        <v>0</v>
      </c>
      <c r="K1117" s="44">
        <v>0.1</v>
      </c>
      <c r="L1117" s="44">
        <v>0</v>
      </c>
      <c r="M1117" s="74" t="str">
        <f t="array" ref="M1117">_xlfn.TEXTJOIN("-", TRUE, IF(C1117:L1117&gt;0, $C$2:$L$2, ""))</f>
        <v xml:space="preserve"> Ti-Al-Zr-Mo-Nb-Fe</v>
      </c>
      <c r="N1117" s="90">
        <f t="shared" si="35"/>
        <v>1116</v>
      </c>
      <c r="O1117" s="91">
        <f t="shared" si="36"/>
        <v>6</v>
      </c>
      <c r="P1117" s="10">
        <v>2</v>
      </c>
      <c r="Q1117" s="10">
        <v>1</v>
      </c>
      <c r="R1117" s="10" t="s">
        <v>81</v>
      </c>
      <c r="S1117" s="10" t="s">
        <v>81</v>
      </c>
      <c r="T1117" s="10">
        <v>970</v>
      </c>
      <c r="U1117" s="10">
        <v>2</v>
      </c>
      <c r="V1117" s="10">
        <v>2</v>
      </c>
      <c r="W1117" s="10">
        <v>0</v>
      </c>
      <c r="X1117" s="10">
        <v>0</v>
      </c>
      <c r="Y1117" s="10">
        <v>0</v>
      </c>
      <c r="Z1117" s="44"/>
      <c r="AA1117" s="10"/>
      <c r="AB1117" s="10">
        <v>880</v>
      </c>
      <c r="AC1117" s="10">
        <v>763</v>
      </c>
      <c r="AD1117" s="10">
        <v>12.6</v>
      </c>
      <c r="AE1117" s="10"/>
      <c r="AF1117" s="10"/>
      <c r="AG1117" s="10"/>
      <c r="AH1117" s="10"/>
      <c r="AI1117" s="10"/>
      <c r="AJ1117" s="10"/>
      <c r="AK1117" s="10">
        <v>86.63</v>
      </c>
      <c r="AL1117" s="10"/>
      <c r="AM1117" s="10"/>
      <c r="AN1117" s="11"/>
      <c r="AO1117" s="11" t="s">
        <v>193</v>
      </c>
      <c r="AP1117" s="10">
        <v>2</v>
      </c>
      <c r="AQ1117" s="163" t="s">
        <v>83</v>
      </c>
      <c r="AR1117" s="11" t="s">
        <v>193</v>
      </c>
      <c r="AS1117" s="10" t="s">
        <v>151</v>
      </c>
      <c r="AT1117" s="11"/>
    </row>
    <row r="1118" spans="1:46" ht="16.5">
      <c r="A1118" s="44">
        <v>6</v>
      </c>
      <c r="B1118" s="10"/>
      <c r="C1118" s="44">
        <v>87.6798</v>
      </c>
      <c r="D1118" s="44">
        <v>6.04</v>
      </c>
      <c r="E1118" s="44">
        <v>2.0499999999999998</v>
      </c>
      <c r="F1118" s="44">
        <v>1.04</v>
      </c>
      <c r="G1118" s="44">
        <v>0</v>
      </c>
      <c r="H1118" s="44">
        <v>0</v>
      </c>
      <c r="I1118" s="44">
        <v>3.05</v>
      </c>
      <c r="J1118" s="44">
        <v>0</v>
      </c>
      <c r="K1118" s="44">
        <v>0.1</v>
      </c>
      <c r="L1118" s="44">
        <v>0</v>
      </c>
      <c r="M1118" s="74" t="str">
        <f t="array" ref="M1118">_xlfn.TEXTJOIN("-", TRUE, IF(C1118:L1118&gt;0, $C$2:$L$2, ""))</f>
        <v xml:space="preserve"> Ti-Al-Zr-Mo-Nb-Fe</v>
      </c>
      <c r="N1118" s="90">
        <f t="shared" si="35"/>
        <v>1116</v>
      </c>
      <c r="O1118" s="91">
        <f t="shared" si="36"/>
        <v>6</v>
      </c>
      <c r="P1118" s="10">
        <v>2</v>
      </c>
      <c r="Q1118" s="10">
        <v>1</v>
      </c>
      <c r="R1118" s="10" t="s">
        <v>81</v>
      </c>
      <c r="S1118" s="10" t="s">
        <v>81</v>
      </c>
      <c r="T1118" s="10">
        <v>970</v>
      </c>
      <c r="U1118" s="10">
        <v>2</v>
      </c>
      <c r="V1118" s="10">
        <v>1</v>
      </c>
      <c r="W1118" s="10">
        <v>600</v>
      </c>
      <c r="X1118" s="10">
        <v>5</v>
      </c>
      <c r="Y1118" s="10">
        <v>2</v>
      </c>
      <c r="Z1118" s="44"/>
      <c r="AA1118" s="10"/>
      <c r="AB1118" s="10">
        <v>984</v>
      </c>
      <c r="AC1118" s="10">
        <v>918</v>
      </c>
      <c r="AD1118" s="10">
        <v>10.1</v>
      </c>
      <c r="AE1118" s="10"/>
      <c r="AF1118" s="10"/>
      <c r="AG1118" s="10"/>
      <c r="AH1118" s="10"/>
      <c r="AI1118" s="10"/>
      <c r="AJ1118" s="10"/>
      <c r="AK1118" s="10">
        <v>50.98</v>
      </c>
      <c r="AL1118" s="10"/>
      <c r="AM1118" s="10"/>
      <c r="AN1118" s="11"/>
      <c r="AO1118" s="11" t="s">
        <v>193</v>
      </c>
      <c r="AP1118" s="10">
        <v>2</v>
      </c>
      <c r="AQ1118" s="163" t="s">
        <v>83</v>
      </c>
      <c r="AR1118" s="11" t="s">
        <v>193</v>
      </c>
      <c r="AS1118" s="10" t="s">
        <v>151</v>
      </c>
      <c r="AT1118" s="11"/>
    </row>
    <row r="1119" spans="1:46" ht="16.5">
      <c r="A1119" s="44">
        <v>29</v>
      </c>
      <c r="B1119" s="10"/>
      <c r="C1119" s="44">
        <v>93.352599999999995</v>
      </c>
      <c r="D1119" s="44">
        <v>2.61</v>
      </c>
      <c r="E1119" s="44">
        <v>3.07</v>
      </c>
      <c r="F1119" s="44">
        <v>0.86</v>
      </c>
      <c r="G1119" s="44">
        <v>0</v>
      </c>
      <c r="H1119" s="44">
        <v>0</v>
      </c>
      <c r="I1119" s="44">
        <v>0.02</v>
      </c>
      <c r="J1119" s="44">
        <v>0</v>
      </c>
      <c r="K1119" s="44">
        <v>1.7000000000000001E-2</v>
      </c>
      <c r="L1119" s="44">
        <v>0</v>
      </c>
      <c r="M1119" s="74" t="str">
        <f t="array" ref="M1119">_xlfn.TEXTJOIN("-", TRUE, IF(C1119:L1119&gt;0, $C$2:$L$2, ""))</f>
        <v xml:space="preserve"> Ti-Al-Zr-Mo-Nb-Fe</v>
      </c>
      <c r="N1119" s="90">
        <f t="shared" si="35"/>
        <v>1116</v>
      </c>
      <c r="O1119" s="91">
        <f t="shared" si="36"/>
        <v>6</v>
      </c>
      <c r="P1119" s="10" t="s">
        <v>81</v>
      </c>
      <c r="Q1119" s="10">
        <v>2</v>
      </c>
      <c r="R1119" s="10">
        <v>1050</v>
      </c>
      <c r="S1119" s="10" t="s">
        <v>81</v>
      </c>
      <c r="T1119" s="10">
        <v>950</v>
      </c>
      <c r="U1119" s="10">
        <v>1</v>
      </c>
      <c r="V1119" s="10">
        <v>3</v>
      </c>
      <c r="W1119" s="10">
        <v>0</v>
      </c>
      <c r="X1119" s="10">
        <v>0</v>
      </c>
      <c r="Y1119" s="10">
        <v>0</v>
      </c>
      <c r="Z1119" s="44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1"/>
      <c r="AO1119" s="11" t="s">
        <v>194</v>
      </c>
      <c r="AP1119" s="10">
        <v>6</v>
      </c>
      <c r="AQ1119" s="163" t="s">
        <v>83</v>
      </c>
      <c r="AR1119" s="10">
        <v>29</v>
      </c>
    </row>
    <row r="1120" spans="1:46" ht="16.5">
      <c r="A1120" s="44">
        <v>30</v>
      </c>
      <c r="B1120" s="10"/>
      <c r="C1120" s="44">
        <v>93.352599999999995</v>
      </c>
      <c r="D1120" s="44">
        <v>2.61</v>
      </c>
      <c r="E1120" s="44">
        <v>3.07</v>
      </c>
      <c r="F1120" s="44">
        <v>0.86</v>
      </c>
      <c r="G1120" s="44">
        <v>0</v>
      </c>
      <c r="H1120" s="44">
        <v>0</v>
      </c>
      <c r="I1120" s="44">
        <v>0.02</v>
      </c>
      <c r="J1120" s="44">
        <v>0</v>
      </c>
      <c r="K1120" s="44">
        <v>1.7000000000000001E-2</v>
      </c>
      <c r="L1120" s="44">
        <v>0</v>
      </c>
      <c r="M1120" s="74" t="str">
        <f t="array" ref="M1120">_xlfn.TEXTJOIN("-", TRUE, IF(C1120:L1120&gt;0, $C$2:$L$2, ""))</f>
        <v xml:space="preserve"> Ti-Al-Zr-Mo-Nb-Fe</v>
      </c>
      <c r="N1120" s="90">
        <f t="shared" si="35"/>
        <v>1116</v>
      </c>
      <c r="O1120" s="91">
        <f t="shared" si="36"/>
        <v>6</v>
      </c>
      <c r="P1120" s="10" t="s">
        <v>81</v>
      </c>
      <c r="Q1120" s="10">
        <v>2</v>
      </c>
      <c r="R1120" s="10">
        <v>1050</v>
      </c>
      <c r="S1120" s="10" t="s">
        <v>81</v>
      </c>
      <c r="T1120" s="10">
        <v>950</v>
      </c>
      <c r="U1120" s="10">
        <v>1</v>
      </c>
      <c r="V1120" s="10">
        <v>3</v>
      </c>
      <c r="W1120" s="10">
        <v>0</v>
      </c>
      <c r="X1120" s="10">
        <v>0</v>
      </c>
      <c r="Y1120" s="10">
        <v>0</v>
      </c>
      <c r="Z1120" s="44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1"/>
      <c r="AO1120" s="11" t="s">
        <v>194</v>
      </c>
      <c r="AP1120" s="10">
        <v>6</v>
      </c>
      <c r="AQ1120" s="163" t="s">
        <v>83</v>
      </c>
      <c r="AR1120" s="10">
        <v>30</v>
      </c>
    </row>
    <row r="1121" spans="1:44" ht="16.5">
      <c r="A1121" s="44">
        <v>31</v>
      </c>
      <c r="B1121" s="10"/>
      <c r="C1121" s="44">
        <v>93.352599999999995</v>
      </c>
      <c r="D1121" s="44">
        <v>2.61</v>
      </c>
      <c r="E1121" s="44">
        <v>3.07</v>
      </c>
      <c r="F1121" s="44">
        <v>0.86</v>
      </c>
      <c r="G1121" s="44">
        <v>0</v>
      </c>
      <c r="H1121" s="44">
        <v>0</v>
      </c>
      <c r="I1121" s="44">
        <v>0.02</v>
      </c>
      <c r="J1121" s="44">
        <v>0</v>
      </c>
      <c r="K1121" s="44">
        <v>1.7000000000000001E-2</v>
      </c>
      <c r="L1121" s="44">
        <v>0</v>
      </c>
      <c r="M1121" s="74" t="str">
        <f t="array" ref="M1121">_xlfn.TEXTJOIN("-", TRUE, IF(C1121:L1121&gt;0, $C$2:$L$2, ""))</f>
        <v xml:space="preserve"> Ti-Al-Zr-Mo-Nb-Fe</v>
      </c>
      <c r="N1121" s="90">
        <f t="shared" si="35"/>
        <v>1116</v>
      </c>
      <c r="O1121" s="91">
        <f t="shared" si="36"/>
        <v>6</v>
      </c>
      <c r="P1121" s="10" t="s">
        <v>81</v>
      </c>
      <c r="Q1121" s="10">
        <v>2</v>
      </c>
      <c r="R1121" s="10">
        <v>1050</v>
      </c>
      <c r="S1121" s="10" t="s">
        <v>81</v>
      </c>
      <c r="T1121" s="10">
        <v>950</v>
      </c>
      <c r="U1121" s="10">
        <v>1</v>
      </c>
      <c r="V1121" s="10">
        <v>3</v>
      </c>
      <c r="W1121" s="10">
        <v>0</v>
      </c>
      <c r="X1121" s="10">
        <v>0</v>
      </c>
      <c r="Y1121" s="10">
        <v>0</v>
      </c>
      <c r="Z1121" s="44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1"/>
      <c r="AO1121" s="11" t="s">
        <v>194</v>
      </c>
      <c r="AP1121" s="10">
        <v>6</v>
      </c>
      <c r="AQ1121" s="163" t="s">
        <v>83</v>
      </c>
      <c r="AR1121" s="10">
        <v>31</v>
      </c>
    </row>
    <row r="1122" spans="1:44" ht="16.5">
      <c r="A1122" s="44">
        <v>32</v>
      </c>
      <c r="B1122" s="10"/>
      <c r="C1122" s="44">
        <v>93.352599999999995</v>
      </c>
      <c r="D1122" s="44">
        <v>2.61</v>
      </c>
      <c r="E1122" s="44">
        <v>3.07</v>
      </c>
      <c r="F1122" s="44">
        <v>0.86</v>
      </c>
      <c r="G1122" s="44">
        <v>0</v>
      </c>
      <c r="H1122" s="44">
        <v>0</v>
      </c>
      <c r="I1122" s="44">
        <v>0.02</v>
      </c>
      <c r="J1122" s="44">
        <v>0</v>
      </c>
      <c r="K1122" s="44">
        <v>1.7000000000000001E-2</v>
      </c>
      <c r="L1122" s="44">
        <v>0</v>
      </c>
      <c r="M1122" s="74" t="str">
        <f t="array" ref="M1122">_xlfn.TEXTJOIN("-", TRUE, IF(C1122:L1122&gt;0, $C$2:$L$2, ""))</f>
        <v xml:space="preserve"> Ti-Al-Zr-Mo-Nb-Fe</v>
      </c>
      <c r="N1122" s="90">
        <f t="shared" si="35"/>
        <v>1116</v>
      </c>
      <c r="O1122" s="91">
        <f t="shared" si="36"/>
        <v>6</v>
      </c>
      <c r="P1122" s="10" t="s">
        <v>81</v>
      </c>
      <c r="Q1122" s="10">
        <v>2</v>
      </c>
      <c r="R1122" s="10">
        <v>1050</v>
      </c>
      <c r="S1122" s="10" t="s">
        <v>81</v>
      </c>
      <c r="T1122" s="10">
        <v>950</v>
      </c>
      <c r="U1122" s="10">
        <v>1</v>
      </c>
      <c r="V1122" s="10">
        <v>3</v>
      </c>
      <c r="W1122" s="10">
        <v>0</v>
      </c>
      <c r="X1122" s="10">
        <v>0</v>
      </c>
      <c r="Y1122" s="10">
        <v>0</v>
      </c>
      <c r="Z1122" s="44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1"/>
      <c r="AO1122" s="11" t="s">
        <v>194</v>
      </c>
      <c r="AP1122" s="10">
        <v>6</v>
      </c>
      <c r="AQ1122" s="163" t="s">
        <v>83</v>
      </c>
      <c r="AR1122" s="10">
        <v>32</v>
      </c>
    </row>
    <row r="1123" spans="1:44" ht="16.5">
      <c r="A1123" s="44">
        <v>33</v>
      </c>
      <c r="B1123" s="10"/>
      <c r="C1123" s="44">
        <v>93.352599999999995</v>
      </c>
      <c r="D1123" s="44">
        <v>2.61</v>
      </c>
      <c r="E1123" s="44">
        <v>3.07</v>
      </c>
      <c r="F1123" s="44">
        <v>0.86</v>
      </c>
      <c r="G1123" s="44">
        <v>0</v>
      </c>
      <c r="H1123" s="44">
        <v>0</v>
      </c>
      <c r="I1123" s="44">
        <v>0.02</v>
      </c>
      <c r="J1123" s="44">
        <v>0</v>
      </c>
      <c r="K1123" s="44">
        <v>1.7000000000000001E-2</v>
      </c>
      <c r="L1123" s="44">
        <v>0</v>
      </c>
      <c r="M1123" s="74" t="str">
        <f t="array" ref="M1123">_xlfn.TEXTJOIN("-", TRUE, IF(C1123:L1123&gt;0, $C$2:$L$2, ""))</f>
        <v xml:space="preserve"> Ti-Al-Zr-Mo-Nb-Fe</v>
      </c>
      <c r="N1123" s="90">
        <f t="shared" si="35"/>
        <v>1116</v>
      </c>
      <c r="O1123" s="91">
        <f t="shared" si="36"/>
        <v>6</v>
      </c>
      <c r="P1123" s="10" t="s">
        <v>81</v>
      </c>
      <c r="Q1123" s="10">
        <v>2</v>
      </c>
      <c r="R1123" s="10">
        <v>1050</v>
      </c>
      <c r="S1123" s="10" t="s">
        <v>81</v>
      </c>
      <c r="T1123" s="10">
        <v>950</v>
      </c>
      <c r="U1123" s="10">
        <v>1</v>
      </c>
      <c r="V1123" s="10">
        <v>3</v>
      </c>
      <c r="W1123" s="10">
        <v>0</v>
      </c>
      <c r="X1123" s="10">
        <v>0</v>
      </c>
      <c r="Y1123" s="10">
        <v>0</v>
      </c>
      <c r="Z1123" s="44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1"/>
      <c r="AO1123" s="11" t="s">
        <v>194</v>
      </c>
      <c r="AP1123" s="10">
        <v>6</v>
      </c>
      <c r="AQ1123" s="163" t="s">
        <v>83</v>
      </c>
      <c r="AR1123" s="10">
        <v>33</v>
      </c>
    </row>
    <row r="1124" spans="1:44" ht="16.5">
      <c r="A1124" s="111">
        <v>9</v>
      </c>
      <c r="B1124" s="93" t="s">
        <v>101</v>
      </c>
      <c r="C1124" s="111">
        <v>80.722999999999999</v>
      </c>
      <c r="D1124" s="111">
        <v>5.0599999999999996</v>
      </c>
      <c r="E1124" s="111">
        <v>0</v>
      </c>
      <c r="F1124" s="111">
        <v>7</v>
      </c>
      <c r="G1124" s="111">
        <v>0</v>
      </c>
      <c r="H1124" s="111">
        <v>0</v>
      </c>
      <c r="I1124" s="111">
        <v>2.9</v>
      </c>
      <c r="J1124" s="111">
        <v>3.62</v>
      </c>
      <c r="K1124" s="111">
        <v>0.47699999999999998</v>
      </c>
      <c r="L1124" s="111">
        <v>0</v>
      </c>
      <c r="M1124" s="74" t="str">
        <f t="array" ref="M1124">_xlfn.TEXTJOIN("-", TRUE, IF(C1124:L1124&gt;0, $C$2:$L$2, ""))</f>
        <v xml:space="preserve"> Ti-Al-Mo-Nb-Cr-Fe</v>
      </c>
      <c r="N1124" s="90">
        <f t="shared" si="35"/>
        <v>1124</v>
      </c>
      <c r="O1124" s="91">
        <f t="shared" si="36"/>
        <v>6</v>
      </c>
      <c r="P1124" s="93">
        <v>1</v>
      </c>
      <c r="Q1124" s="93">
        <v>0</v>
      </c>
      <c r="R1124" s="93">
        <v>0</v>
      </c>
      <c r="S1124" s="93">
        <v>0</v>
      </c>
      <c r="T1124" s="94">
        <v>910</v>
      </c>
      <c r="U1124" s="94">
        <v>0.5</v>
      </c>
      <c r="V1124" s="8">
        <v>1</v>
      </c>
      <c r="W1124" s="94">
        <v>0</v>
      </c>
      <c r="X1124" s="94">
        <v>0</v>
      </c>
      <c r="Y1124" s="103">
        <v>0</v>
      </c>
      <c r="Z1124" s="18" t="s">
        <v>102</v>
      </c>
      <c r="AA1124" s="9" t="s">
        <v>102</v>
      </c>
      <c r="AB1124" s="93">
        <v>880</v>
      </c>
      <c r="AC1124" s="93">
        <v>877</v>
      </c>
      <c r="AD1124" s="93">
        <v>13.6</v>
      </c>
      <c r="AE1124" s="9" t="s">
        <v>101</v>
      </c>
      <c r="AF1124" s="9" t="s">
        <v>102</v>
      </c>
      <c r="AG1124" s="9" t="s">
        <v>102</v>
      </c>
      <c r="AH1124" s="9" t="s">
        <v>102</v>
      </c>
      <c r="AI1124" s="9" t="s">
        <v>102</v>
      </c>
      <c r="AJ1124" s="9" t="s">
        <v>102</v>
      </c>
      <c r="AK1124" s="9" t="s">
        <v>102</v>
      </c>
      <c r="AL1124" s="9" t="s">
        <v>102</v>
      </c>
      <c r="AN1124" s="12" t="s">
        <v>101</v>
      </c>
      <c r="AO1124" s="12" t="s">
        <v>103</v>
      </c>
      <c r="AP1124" s="94">
        <v>9</v>
      </c>
      <c r="AQ1124" s="157" t="s">
        <v>100</v>
      </c>
      <c r="AR1124" s="93">
        <v>9</v>
      </c>
    </row>
    <row r="1125" spans="1:44" ht="16.5">
      <c r="A1125" s="111">
        <v>10</v>
      </c>
      <c r="B1125" s="93" t="s">
        <v>101</v>
      </c>
      <c r="C1125" s="111">
        <v>80.722999999999999</v>
      </c>
      <c r="D1125" s="111">
        <v>5.0599999999999996</v>
      </c>
      <c r="E1125" s="111">
        <v>0</v>
      </c>
      <c r="F1125" s="111">
        <v>7</v>
      </c>
      <c r="G1125" s="111">
        <v>0</v>
      </c>
      <c r="H1125" s="111">
        <v>0</v>
      </c>
      <c r="I1125" s="111">
        <v>2.9</v>
      </c>
      <c r="J1125" s="111">
        <v>3.62</v>
      </c>
      <c r="K1125" s="111">
        <v>0.47699999999999998</v>
      </c>
      <c r="L1125" s="111">
        <v>0</v>
      </c>
      <c r="M1125" s="74" t="str">
        <f t="array" ref="M1125">_xlfn.TEXTJOIN("-", TRUE, IF(C1125:L1125&gt;0, $C$2:$L$2, ""))</f>
        <v xml:space="preserve"> Ti-Al-Mo-Nb-Cr-Fe</v>
      </c>
      <c r="N1125" s="90">
        <f t="shared" si="35"/>
        <v>1124</v>
      </c>
      <c r="O1125" s="91">
        <f t="shared" si="36"/>
        <v>6</v>
      </c>
      <c r="P1125" s="93">
        <v>1</v>
      </c>
      <c r="Q1125" s="93">
        <v>0</v>
      </c>
      <c r="R1125" s="93">
        <v>0</v>
      </c>
      <c r="S1125" s="93">
        <v>0</v>
      </c>
      <c r="T1125" s="94">
        <v>850</v>
      </c>
      <c r="U1125" s="94">
        <v>0.5</v>
      </c>
      <c r="V1125" s="8">
        <v>1</v>
      </c>
      <c r="W1125" s="94">
        <v>0</v>
      </c>
      <c r="X1125" s="94">
        <v>0</v>
      </c>
      <c r="Y1125" s="103">
        <v>0</v>
      </c>
      <c r="Z1125" s="18" t="s">
        <v>102</v>
      </c>
      <c r="AA1125" s="9" t="s">
        <v>102</v>
      </c>
      <c r="AB1125" s="93">
        <v>931</v>
      </c>
      <c r="AC1125" s="93">
        <v>895</v>
      </c>
      <c r="AD1125" s="93">
        <v>8.1999999999999993</v>
      </c>
      <c r="AE1125" s="9" t="s">
        <v>101</v>
      </c>
      <c r="AF1125" s="9" t="s">
        <v>102</v>
      </c>
      <c r="AG1125" s="9" t="s">
        <v>102</v>
      </c>
      <c r="AH1125" s="9" t="s">
        <v>102</v>
      </c>
      <c r="AI1125" s="9" t="s">
        <v>102</v>
      </c>
      <c r="AJ1125" s="9" t="s">
        <v>102</v>
      </c>
      <c r="AK1125" s="9" t="s">
        <v>102</v>
      </c>
      <c r="AL1125" s="9" t="s">
        <v>102</v>
      </c>
      <c r="AN1125" s="12" t="s">
        <v>101</v>
      </c>
      <c r="AO1125" s="12" t="s">
        <v>103</v>
      </c>
      <c r="AP1125" s="94">
        <v>10</v>
      </c>
      <c r="AQ1125" s="157" t="s">
        <v>100</v>
      </c>
      <c r="AR1125" s="93">
        <v>10</v>
      </c>
    </row>
    <row r="1126" spans="1:44" ht="16.5">
      <c r="A1126" s="111">
        <v>11</v>
      </c>
      <c r="B1126" s="93" t="s">
        <v>101</v>
      </c>
      <c r="C1126" s="111">
        <v>80.722999999999999</v>
      </c>
      <c r="D1126" s="111">
        <v>5.0599999999999996</v>
      </c>
      <c r="E1126" s="111">
        <v>0</v>
      </c>
      <c r="F1126" s="111">
        <v>7</v>
      </c>
      <c r="G1126" s="111">
        <v>0</v>
      </c>
      <c r="H1126" s="111">
        <v>0</v>
      </c>
      <c r="I1126" s="111">
        <v>2.9</v>
      </c>
      <c r="J1126" s="111">
        <v>3.62</v>
      </c>
      <c r="K1126" s="111">
        <v>0.47699999999999998</v>
      </c>
      <c r="L1126" s="111">
        <v>0</v>
      </c>
      <c r="M1126" s="74" t="str">
        <f t="array" ref="M1126">_xlfn.TEXTJOIN("-", TRUE, IF(C1126:L1126&gt;0, $C$2:$L$2, ""))</f>
        <v xml:space="preserve"> Ti-Al-Mo-Nb-Cr-Fe</v>
      </c>
      <c r="N1126" s="90">
        <f t="shared" si="35"/>
        <v>1124</v>
      </c>
      <c r="O1126" s="91">
        <f t="shared" si="36"/>
        <v>6</v>
      </c>
      <c r="P1126" s="93">
        <v>1</v>
      </c>
      <c r="Q1126" s="93">
        <v>0</v>
      </c>
      <c r="R1126" s="93">
        <v>0</v>
      </c>
      <c r="S1126" s="93">
        <v>0</v>
      </c>
      <c r="T1126" s="94">
        <v>910</v>
      </c>
      <c r="U1126" s="94">
        <v>0.5</v>
      </c>
      <c r="V1126" s="8">
        <v>1</v>
      </c>
      <c r="W1126" s="94">
        <v>560</v>
      </c>
      <c r="X1126" s="94">
        <v>6</v>
      </c>
      <c r="Y1126" s="103">
        <v>2</v>
      </c>
      <c r="Z1126" s="18" t="s">
        <v>102</v>
      </c>
      <c r="AA1126" s="9" t="s">
        <v>102</v>
      </c>
      <c r="AB1126" s="93">
        <v>1417</v>
      </c>
      <c r="AC1126" s="93">
        <v>1180</v>
      </c>
      <c r="AD1126" s="93">
        <v>1.7</v>
      </c>
      <c r="AE1126" s="9" t="s">
        <v>101</v>
      </c>
      <c r="AF1126" s="9" t="s">
        <v>102</v>
      </c>
      <c r="AG1126" s="9" t="s">
        <v>102</v>
      </c>
      <c r="AH1126" s="9" t="s">
        <v>102</v>
      </c>
      <c r="AI1126" s="9" t="s">
        <v>102</v>
      </c>
      <c r="AJ1126" s="9" t="s">
        <v>102</v>
      </c>
      <c r="AK1126" s="9" t="s">
        <v>102</v>
      </c>
      <c r="AL1126" s="9" t="s">
        <v>102</v>
      </c>
      <c r="AN1126" s="12" t="s">
        <v>101</v>
      </c>
      <c r="AO1126" s="12" t="s">
        <v>103</v>
      </c>
      <c r="AP1126" s="94">
        <v>11</v>
      </c>
      <c r="AQ1126" s="157" t="s">
        <v>100</v>
      </c>
      <c r="AR1126" s="93">
        <v>11</v>
      </c>
    </row>
    <row r="1127" spans="1:44" ht="16.5">
      <c r="A1127" s="111">
        <v>12</v>
      </c>
      <c r="B1127" s="93" t="s">
        <v>101</v>
      </c>
      <c r="C1127" s="111">
        <v>80.722999999999999</v>
      </c>
      <c r="D1127" s="111">
        <v>5.0599999999999996</v>
      </c>
      <c r="E1127" s="111">
        <v>0</v>
      </c>
      <c r="F1127" s="111">
        <v>7</v>
      </c>
      <c r="G1127" s="111">
        <v>0</v>
      </c>
      <c r="H1127" s="111">
        <v>0</v>
      </c>
      <c r="I1127" s="111">
        <v>2.9</v>
      </c>
      <c r="J1127" s="111">
        <v>3.62</v>
      </c>
      <c r="K1127" s="111">
        <v>0.47699999999999998</v>
      </c>
      <c r="L1127" s="111">
        <v>0</v>
      </c>
      <c r="M1127" s="74" t="str">
        <f t="array" ref="M1127">_xlfn.TEXTJOIN("-", TRUE, IF(C1127:L1127&gt;0, $C$2:$L$2, ""))</f>
        <v xml:space="preserve"> Ti-Al-Mo-Nb-Cr-Fe</v>
      </c>
      <c r="N1127" s="90">
        <f t="shared" si="35"/>
        <v>1124</v>
      </c>
      <c r="O1127" s="91">
        <f t="shared" si="36"/>
        <v>6</v>
      </c>
      <c r="P1127" s="93">
        <v>1</v>
      </c>
      <c r="Q1127" s="93">
        <v>0</v>
      </c>
      <c r="R1127" s="93">
        <v>0</v>
      </c>
      <c r="S1127" s="93">
        <v>0</v>
      </c>
      <c r="T1127" s="94">
        <v>850</v>
      </c>
      <c r="U1127" s="94">
        <v>0.5</v>
      </c>
      <c r="V1127" s="8">
        <v>1</v>
      </c>
      <c r="W1127" s="94">
        <v>560</v>
      </c>
      <c r="X1127" s="94">
        <v>6</v>
      </c>
      <c r="Y1127" s="103">
        <v>2</v>
      </c>
      <c r="Z1127" s="18" t="s">
        <v>102</v>
      </c>
      <c r="AA1127" s="9" t="s">
        <v>102</v>
      </c>
      <c r="AB1127" s="93">
        <v>1366</v>
      </c>
      <c r="AC1127" s="93">
        <v>1105</v>
      </c>
      <c r="AD1127" s="93">
        <v>4.5</v>
      </c>
      <c r="AE1127" s="9" t="s">
        <v>101</v>
      </c>
      <c r="AF1127" s="9" t="s">
        <v>102</v>
      </c>
      <c r="AG1127" s="9" t="s">
        <v>102</v>
      </c>
      <c r="AH1127" s="9" t="s">
        <v>102</v>
      </c>
      <c r="AI1127" s="9" t="s">
        <v>102</v>
      </c>
      <c r="AJ1127" s="9" t="s">
        <v>102</v>
      </c>
      <c r="AK1127" s="9" t="s">
        <v>102</v>
      </c>
      <c r="AL1127" s="9" t="s">
        <v>102</v>
      </c>
      <c r="AN1127" s="12" t="s">
        <v>101</v>
      </c>
      <c r="AO1127" s="12" t="s">
        <v>103</v>
      </c>
      <c r="AP1127" s="94">
        <v>12</v>
      </c>
      <c r="AQ1127" s="157" t="s">
        <v>100</v>
      </c>
      <c r="AR1127" s="93">
        <v>12</v>
      </c>
    </row>
    <row r="1128" spans="1:44" ht="16.5">
      <c r="A1128" s="111">
        <v>312</v>
      </c>
      <c r="B1128" s="93" t="s">
        <v>101</v>
      </c>
      <c r="C1128" s="111">
        <v>79.95</v>
      </c>
      <c r="D1128" s="111">
        <v>6</v>
      </c>
      <c r="E1128" s="111">
        <v>7</v>
      </c>
      <c r="F1128" s="111">
        <v>0.8</v>
      </c>
      <c r="G1128" s="111">
        <v>0</v>
      </c>
      <c r="H1128" s="111">
        <v>0</v>
      </c>
      <c r="I1128" s="111">
        <v>1</v>
      </c>
      <c r="J1128" s="111">
        <v>0</v>
      </c>
      <c r="K1128" s="111">
        <v>0</v>
      </c>
      <c r="L1128" s="111">
        <v>4</v>
      </c>
      <c r="M1128" s="74" t="str">
        <f t="array" ref="M1128">_xlfn.TEXTJOIN("-", TRUE, IF(C1128:L1128&gt;0, $C$2:$L$2, ""))</f>
        <v xml:space="preserve"> Ti-Al-Zr-Mo-Nb-Sn</v>
      </c>
      <c r="N1128" s="90">
        <f t="shared" si="35"/>
        <v>1128</v>
      </c>
      <c r="O1128" s="91">
        <f t="shared" si="36"/>
        <v>6</v>
      </c>
      <c r="P1128" s="93">
        <v>1</v>
      </c>
      <c r="Q1128" s="93">
        <v>0</v>
      </c>
      <c r="R1128" s="93">
        <v>0</v>
      </c>
      <c r="S1128" s="93">
        <v>0</v>
      </c>
      <c r="T1128" s="94">
        <v>0</v>
      </c>
      <c r="U1128" s="94">
        <v>0</v>
      </c>
      <c r="V1128" s="8">
        <v>0</v>
      </c>
      <c r="W1128" s="94">
        <v>0</v>
      </c>
      <c r="X1128" s="94">
        <v>0</v>
      </c>
      <c r="Y1128" s="103">
        <v>0</v>
      </c>
      <c r="Z1128" s="18" t="s">
        <v>102</v>
      </c>
      <c r="AA1128" s="9" t="s">
        <v>102</v>
      </c>
      <c r="AB1128" s="93">
        <v>1130</v>
      </c>
      <c r="AC1128" s="93">
        <v>1066</v>
      </c>
      <c r="AD1128" s="93">
        <v>1.8</v>
      </c>
      <c r="AE1128" s="9" t="s">
        <v>101</v>
      </c>
      <c r="AF1128" s="9" t="s">
        <v>102</v>
      </c>
      <c r="AG1128" s="9" t="s">
        <v>102</v>
      </c>
      <c r="AH1128" s="9" t="s">
        <v>102</v>
      </c>
      <c r="AI1128" s="9" t="s">
        <v>102</v>
      </c>
      <c r="AJ1128" s="9" t="s">
        <v>102</v>
      </c>
      <c r="AK1128" s="9" t="s">
        <v>102</v>
      </c>
      <c r="AL1128" s="9" t="s">
        <v>102</v>
      </c>
      <c r="AN1128" s="12" t="s">
        <v>101</v>
      </c>
      <c r="AO1128" s="12" t="s">
        <v>149</v>
      </c>
      <c r="AP1128" s="94">
        <v>312</v>
      </c>
      <c r="AQ1128" s="157" t="s">
        <v>100</v>
      </c>
      <c r="AR1128" s="93">
        <v>312</v>
      </c>
    </row>
    <row r="1129" spans="1:44" ht="16.5">
      <c r="A1129" s="111">
        <v>313</v>
      </c>
      <c r="B1129" s="93" t="s">
        <v>101</v>
      </c>
      <c r="C1129" s="111">
        <v>77.95</v>
      </c>
      <c r="D1129" s="111">
        <v>6</v>
      </c>
      <c r="E1129" s="111">
        <v>9</v>
      </c>
      <c r="F1129" s="111">
        <v>0.8</v>
      </c>
      <c r="G1129" s="111">
        <v>0</v>
      </c>
      <c r="H1129" s="111">
        <v>0</v>
      </c>
      <c r="I1129" s="111">
        <v>1</v>
      </c>
      <c r="J1129" s="111">
        <v>0</v>
      </c>
      <c r="K1129" s="111">
        <v>0</v>
      </c>
      <c r="L1129" s="111">
        <v>4</v>
      </c>
      <c r="M1129" s="74" t="str">
        <f t="array" ref="M1129">_xlfn.TEXTJOIN("-", TRUE, IF(C1129:L1129&gt;0, $C$2:$L$2, ""))</f>
        <v xml:space="preserve"> Ti-Al-Zr-Mo-Nb-Sn</v>
      </c>
      <c r="N1129" s="90">
        <f t="shared" si="35"/>
        <v>1128</v>
      </c>
      <c r="O1129" s="91">
        <f t="shared" si="36"/>
        <v>6</v>
      </c>
      <c r="P1129" s="93">
        <v>1</v>
      </c>
      <c r="Q1129" s="93">
        <v>0</v>
      </c>
      <c r="R1129" s="93">
        <v>0</v>
      </c>
      <c r="S1129" s="93">
        <v>0</v>
      </c>
      <c r="T1129" s="94">
        <v>0</v>
      </c>
      <c r="U1129" s="94">
        <v>0</v>
      </c>
      <c r="V1129" s="8">
        <v>0</v>
      </c>
      <c r="W1129" s="94">
        <v>0</v>
      </c>
      <c r="X1129" s="94">
        <v>0</v>
      </c>
      <c r="Y1129" s="103">
        <v>0</v>
      </c>
      <c r="Z1129" s="18" t="s">
        <v>102</v>
      </c>
      <c r="AA1129" s="9" t="s">
        <v>102</v>
      </c>
      <c r="AB1129" s="93">
        <v>1068</v>
      </c>
      <c r="AC1129" s="93">
        <v>985</v>
      </c>
      <c r="AD1129" s="93">
        <v>1.1399999999999999</v>
      </c>
      <c r="AE1129" s="9" t="s">
        <v>101</v>
      </c>
      <c r="AF1129" s="9" t="s">
        <v>102</v>
      </c>
      <c r="AG1129" s="9" t="s">
        <v>102</v>
      </c>
      <c r="AH1129" s="9" t="s">
        <v>102</v>
      </c>
      <c r="AI1129" s="9" t="s">
        <v>102</v>
      </c>
      <c r="AJ1129" s="9" t="s">
        <v>102</v>
      </c>
      <c r="AK1129" s="9" t="s">
        <v>102</v>
      </c>
      <c r="AL1129" s="9" t="s">
        <v>102</v>
      </c>
      <c r="AN1129" s="12" t="s">
        <v>101</v>
      </c>
      <c r="AO1129" s="12" t="s">
        <v>149</v>
      </c>
      <c r="AP1129" s="94">
        <v>313</v>
      </c>
      <c r="AQ1129" s="157" t="s">
        <v>100</v>
      </c>
      <c r="AR1129" s="93">
        <v>313</v>
      </c>
    </row>
    <row r="1130" spans="1:44" ht="16.5">
      <c r="A1130" s="111">
        <v>314</v>
      </c>
      <c r="B1130" s="93" t="s">
        <v>101</v>
      </c>
      <c r="C1130" s="111">
        <v>75.95</v>
      </c>
      <c r="D1130" s="111">
        <v>6</v>
      </c>
      <c r="E1130" s="111">
        <v>11</v>
      </c>
      <c r="F1130" s="111">
        <v>0.8</v>
      </c>
      <c r="G1130" s="111">
        <v>0</v>
      </c>
      <c r="H1130" s="111">
        <v>0</v>
      </c>
      <c r="I1130" s="111">
        <v>1</v>
      </c>
      <c r="J1130" s="111">
        <v>0</v>
      </c>
      <c r="K1130" s="111">
        <v>0</v>
      </c>
      <c r="L1130" s="111">
        <v>4</v>
      </c>
      <c r="M1130" s="74" t="str">
        <f t="array" ref="M1130">_xlfn.TEXTJOIN("-", TRUE, IF(C1130:L1130&gt;0, $C$2:$L$2, ""))</f>
        <v xml:space="preserve"> Ti-Al-Zr-Mo-Nb-Sn</v>
      </c>
      <c r="N1130" s="90">
        <f t="shared" si="35"/>
        <v>1128</v>
      </c>
      <c r="O1130" s="91">
        <f t="shared" si="36"/>
        <v>6</v>
      </c>
      <c r="P1130" s="93">
        <v>1</v>
      </c>
      <c r="Q1130" s="93">
        <v>0</v>
      </c>
      <c r="R1130" s="93">
        <v>0</v>
      </c>
      <c r="S1130" s="93">
        <v>0</v>
      </c>
      <c r="T1130" s="94">
        <v>0</v>
      </c>
      <c r="U1130" s="94">
        <v>0</v>
      </c>
      <c r="V1130" s="8">
        <v>0</v>
      </c>
      <c r="W1130" s="94">
        <v>0</v>
      </c>
      <c r="X1130" s="94">
        <v>0</v>
      </c>
      <c r="Y1130" s="103">
        <v>0</v>
      </c>
      <c r="Z1130" s="18" t="s">
        <v>102</v>
      </c>
      <c r="AA1130" s="9" t="s">
        <v>102</v>
      </c>
      <c r="AB1130" s="93">
        <v>1050</v>
      </c>
      <c r="AC1130" s="93">
        <v>963</v>
      </c>
      <c r="AD1130" s="93">
        <v>1.7</v>
      </c>
      <c r="AE1130" s="9" t="s">
        <v>101</v>
      </c>
      <c r="AF1130" s="9" t="s">
        <v>102</v>
      </c>
      <c r="AG1130" s="9" t="s">
        <v>102</v>
      </c>
      <c r="AH1130" s="9" t="s">
        <v>102</v>
      </c>
      <c r="AI1130" s="9" t="s">
        <v>102</v>
      </c>
      <c r="AJ1130" s="9" t="s">
        <v>102</v>
      </c>
      <c r="AK1130" s="9" t="s">
        <v>102</v>
      </c>
      <c r="AL1130" s="9" t="s">
        <v>102</v>
      </c>
      <c r="AN1130" s="12" t="s">
        <v>101</v>
      </c>
      <c r="AO1130" s="12" t="s">
        <v>149</v>
      </c>
      <c r="AP1130" s="94">
        <v>314</v>
      </c>
      <c r="AQ1130" s="157" t="s">
        <v>100</v>
      </c>
      <c r="AR1130" s="93">
        <v>314</v>
      </c>
    </row>
    <row r="1131" spans="1:44" ht="16.5">
      <c r="A1131" s="18">
        <v>48</v>
      </c>
      <c r="C1131" s="18">
        <v>81.3</v>
      </c>
      <c r="D1131" s="19">
        <v>0</v>
      </c>
      <c r="E1131" s="18">
        <v>6.3</v>
      </c>
      <c r="F1131" s="18">
        <v>3.1</v>
      </c>
      <c r="G1131" s="18">
        <v>0</v>
      </c>
      <c r="H1131" s="18">
        <v>3.1</v>
      </c>
      <c r="I1131" s="18">
        <v>3.1</v>
      </c>
      <c r="J1131" s="18">
        <v>0</v>
      </c>
      <c r="K1131" s="18">
        <v>0</v>
      </c>
      <c r="L1131" s="18">
        <v>3.1</v>
      </c>
      <c r="M1131" s="74" t="str">
        <f t="array" ref="M1131">_xlfn.TEXTJOIN("-", TRUE, IF(C1131:L1131&gt;0, $C$2:$L$2, ""))</f>
        <v xml:space="preserve"> Ti-Zr-Mo-Ta-Nb-Sn</v>
      </c>
      <c r="N1131" s="90">
        <f t="shared" si="35"/>
        <v>1131</v>
      </c>
      <c r="O1131" s="91">
        <f t="shared" si="36"/>
        <v>6</v>
      </c>
      <c r="Z1131" s="18">
        <v>49</v>
      </c>
      <c r="AQ1131" s="157" t="s">
        <v>382</v>
      </c>
    </row>
    <row r="1132" spans="1:44" ht="16.5">
      <c r="A1132" s="18">
        <v>49</v>
      </c>
      <c r="C1132" s="18">
        <v>79.400000000000006</v>
      </c>
      <c r="D1132" s="19">
        <v>0</v>
      </c>
      <c r="E1132" s="18">
        <v>2.9</v>
      </c>
      <c r="F1132" s="18">
        <v>1.8</v>
      </c>
      <c r="G1132" s="18">
        <v>0</v>
      </c>
      <c r="H1132" s="18">
        <v>2.9</v>
      </c>
      <c r="I1132" s="18">
        <v>8.8000000000000007</v>
      </c>
      <c r="J1132" s="18">
        <v>0</v>
      </c>
      <c r="K1132" s="18">
        <v>0</v>
      </c>
      <c r="L1132" s="18">
        <v>4.2</v>
      </c>
      <c r="M1132" s="74" t="str">
        <f t="array" ref="M1132">_xlfn.TEXTJOIN("-", TRUE, IF(C1132:L1132&gt;0, $C$2:$L$2, ""))</f>
        <v xml:space="preserve"> Ti-Zr-Mo-Ta-Nb-Sn</v>
      </c>
      <c r="N1132" s="90">
        <f t="shared" si="35"/>
        <v>1131</v>
      </c>
      <c r="O1132" s="91">
        <f t="shared" si="36"/>
        <v>6</v>
      </c>
      <c r="Z1132" s="18">
        <v>46</v>
      </c>
      <c r="AQ1132" s="157" t="s">
        <v>382</v>
      </c>
    </row>
    <row r="1133" spans="1:44" ht="16.5">
      <c r="A1133" s="18">
        <v>217</v>
      </c>
      <c r="C1133" s="18">
        <v>78.2</v>
      </c>
      <c r="D1133" s="19">
        <v>0</v>
      </c>
      <c r="E1133" s="18">
        <v>2.5</v>
      </c>
      <c r="F1133" s="18">
        <v>0.6</v>
      </c>
      <c r="G1133" s="18">
        <v>0</v>
      </c>
      <c r="H1133" s="18">
        <v>0.3</v>
      </c>
      <c r="I1133" s="18">
        <v>16.399999999999999</v>
      </c>
      <c r="J1133" s="18">
        <v>0</v>
      </c>
      <c r="K1133" s="18">
        <v>0</v>
      </c>
      <c r="L1133" s="18">
        <v>2</v>
      </c>
      <c r="M1133" s="74" t="str">
        <f t="array" ref="M1133">_xlfn.TEXTJOIN("-", TRUE, IF(C1133:L1133&gt;0, $C$2:$L$2, ""))</f>
        <v xml:space="preserve"> Ti-Zr-Mo-Ta-Nb-Sn</v>
      </c>
      <c r="N1133" s="90">
        <f t="shared" si="35"/>
        <v>1131</v>
      </c>
      <c r="O1133" s="91">
        <f t="shared" si="36"/>
        <v>6</v>
      </c>
      <c r="Z1133" s="18">
        <v>47.3</v>
      </c>
      <c r="AQ1133" s="157" t="s">
        <v>382</v>
      </c>
    </row>
    <row r="1134" spans="1:44" ht="16.5">
      <c r="A1134" s="18">
        <v>220</v>
      </c>
      <c r="C1134" s="18">
        <v>81.3</v>
      </c>
      <c r="D1134" s="19">
        <v>0</v>
      </c>
      <c r="E1134" s="18">
        <v>6.3</v>
      </c>
      <c r="F1134" s="18">
        <v>3.1</v>
      </c>
      <c r="G1134" s="18">
        <v>0</v>
      </c>
      <c r="H1134" s="18">
        <v>3.1</v>
      </c>
      <c r="I1134" s="18">
        <v>3.1</v>
      </c>
      <c r="J1134" s="18">
        <v>0</v>
      </c>
      <c r="K1134" s="18">
        <v>0</v>
      </c>
      <c r="L1134" s="18">
        <v>3.1</v>
      </c>
      <c r="M1134" s="74" t="str">
        <f t="array" ref="M1134">_xlfn.TEXTJOIN("-", TRUE, IF(C1134:L1134&gt;0, $C$2:$L$2, ""))</f>
        <v xml:space="preserve"> Ti-Zr-Mo-Ta-Nb-Sn</v>
      </c>
      <c r="N1134" s="90">
        <f t="shared" si="35"/>
        <v>1131</v>
      </c>
      <c r="O1134" s="91">
        <f t="shared" si="36"/>
        <v>6</v>
      </c>
      <c r="Z1134" s="18">
        <v>49</v>
      </c>
      <c r="AQ1134" s="157" t="s">
        <v>382</v>
      </c>
    </row>
    <row r="1135" spans="1:44" ht="16.5">
      <c r="A1135" s="18">
        <v>221</v>
      </c>
      <c r="C1135" s="18">
        <v>79.400000000000006</v>
      </c>
      <c r="D1135" s="19">
        <v>0</v>
      </c>
      <c r="E1135" s="18">
        <v>2.9</v>
      </c>
      <c r="F1135" s="18">
        <v>1.8</v>
      </c>
      <c r="G1135" s="18">
        <v>0</v>
      </c>
      <c r="H1135" s="18">
        <v>2.9</v>
      </c>
      <c r="I1135" s="18">
        <v>8.8000000000000007</v>
      </c>
      <c r="J1135" s="18">
        <v>0</v>
      </c>
      <c r="K1135" s="18">
        <v>0</v>
      </c>
      <c r="L1135" s="18">
        <v>4.0999999999999996</v>
      </c>
      <c r="M1135" s="74" t="str">
        <f t="array" ref="M1135">_xlfn.TEXTJOIN("-", TRUE, IF(C1135:L1135&gt;0, $C$2:$L$2, ""))</f>
        <v xml:space="preserve"> Ti-Zr-Mo-Ta-Nb-Sn</v>
      </c>
      <c r="N1135" s="90">
        <f t="shared" si="35"/>
        <v>1131</v>
      </c>
      <c r="O1135" s="91">
        <f t="shared" si="36"/>
        <v>6</v>
      </c>
      <c r="Z1135" s="18">
        <v>46</v>
      </c>
      <c r="AQ1135" s="157" t="s">
        <v>382</v>
      </c>
    </row>
    <row r="1136" spans="1:44" ht="16.5">
      <c r="A1136" s="111">
        <v>205</v>
      </c>
      <c r="B1136" s="93" t="s">
        <v>101</v>
      </c>
      <c r="C1136" s="111">
        <v>86.69</v>
      </c>
      <c r="D1136" s="111">
        <v>6</v>
      </c>
      <c r="E1136" s="111">
        <v>3.6</v>
      </c>
      <c r="F1136" s="111">
        <v>0</v>
      </c>
      <c r="G1136" s="111">
        <v>0</v>
      </c>
      <c r="H1136" s="111">
        <v>0.36</v>
      </c>
      <c r="I1136" s="111">
        <v>0.18</v>
      </c>
      <c r="J1136" s="111">
        <v>0</v>
      </c>
      <c r="K1136" s="111">
        <v>0</v>
      </c>
      <c r="L1136" s="111">
        <v>2.8</v>
      </c>
      <c r="M1136" s="74" t="str">
        <f t="array" ref="M1136">_xlfn.TEXTJOIN("-", TRUE, IF(C1136:L1136&gt;0, $C$2:$L$2, ""))</f>
        <v xml:space="preserve"> Ti-Al-Zr-Ta-Nb-Sn</v>
      </c>
      <c r="N1136" s="90" t="str">
        <f t="shared" si="35"/>
        <v/>
      </c>
      <c r="O1136" s="91">
        <f t="shared" si="36"/>
        <v>6</v>
      </c>
      <c r="P1136" s="93">
        <v>1</v>
      </c>
      <c r="Q1136" s="93">
        <v>0</v>
      </c>
      <c r="R1136" s="93">
        <v>0</v>
      </c>
      <c r="S1136" s="93">
        <v>0</v>
      </c>
      <c r="T1136" s="94">
        <v>950</v>
      </c>
      <c r="U1136" s="94">
        <v>1</v>
      </c>
      <c r="V1136" s="8">
        <v>1</v>
      </c>
      <c r="W1136" s="94">
        <v>650</v>
      </c>
      <c r="X1136" s="94">
        <v>6</v>
      </c>
      <c r="Y1136" s="103">
        <v>2</v>
      </c>
      <c r="Z1136" s="18" t="s">
        <v>102</v>
      </c>
      <c r="AA1136" s="9" t="s">
        <v>102</v>
      </c>
      <c r="AB1136" s="93">
        <v>1032</v>
      </c>
      <c r="AC1136" s="93">
        <v>970</v>
      </c>
      <c r="AD1136" s="93">
        <v>2.7</v>
      </c>
      <c r="AE1136" s="9" t="s">
        <v>101</v>
      </c>
      <c r="AF1136" s="9" t="s">
        <v>102</v>
      </c>
      <c r="AG1136" s="9" t="s">
        <v>102</v>
      </c>
      <c r="AH1136" s="9" t="s">
        <v>102</v>
      </c>
      <c r="AI1136" s="9" t="s">
        <v>102</v>
      </c>
      <c r="AJ1136" s="9" t="s">
        <v>102</v>
      </c>
      <c r="AK1136" s="9" t="s">
        <v>102</v>
      </c>
      <c r="AL1136" s="9" t="s">
        <v>102</v>
      </c>
      <c r="AN1136" s="12" t="s">
        <v>101</v>
      </c>
      <c r="AO1136" s="12" t="s">
        <v>103</v>
      </c>
      <c r="AP1136" s="94">
        <v>205</v>
      </c>
      <c r="AQ1136" s="157" t="s">
        <v>100</v>
      </c>
      <c r="AR1136" s="93">
        <v>205</v>
      </c>
    </row>
    <row r="1137" spans="1:61" ht="16.5">
      <c r="A1137" s="158">
        <v>55</v>
      </c>
      <c r="B1137" s="8" t="s">
        <v>104</v>
      </c>
      <c r="C1137" s="159">
        <f>100-SUM(D1137:L1137)</f>
        <v>87.11</v>
      </c>
      <c r="D1137" s="159">
        <v>6.11</v>
      </c>
      <c r="E1137" s="159">
        <v>1.01</v>
      </c>
      <c r="F1137" s="159">
        <v>2.1</v>
      </c>
      <c r="G1137" s="159">
        <v>0</v>
      </c>
      <c r="H1137" s="159">
        <v>0</v>
      </c>
      <c r="I1137" s="159">
        <v>1.03</v>
      </c>
      <c r="J1137" s="159">
        <v>1.71</v>
      </c>
      <c r="K1137" s="159">
        <v>0</v>
      </c>
      <c r="L1137" s="159">
        <v>0.93</v>
      </c>
      <c r="M1137" s="74" t="str">
        <f t="array" ref="M1137">_xlfn.TEXTJOIN("-", TRUE, IF(C1137:L1137&gt;0, $C$2:$L$2, ""))</f>
        <v xml:space="preserve"> Ti-Al-Zr-Mo-Nb-Cr-Sn</v>
      </c>
      <c r="N1137" s="90">
        <f t="shared" si="35"/>
        <v>1137</v>
      </c>
      <c r="O1137" s="91">
        <f t="shared" si="36"/>
        <v>7</v>
      </c>
      <c r="P1137" s="8">
        <v>2</v>
      </c>
      <c r="Q1137" s="160">
        <v>2</v>
      </c>
      <c r="R1137" s="8">
        <v>0</v>
      </c>
      <c r="S1137" s="8">
        <v>0</v>
      </c>
      <c r="T1137" s="8">
        <v>910</v>
      </c>
      <c r="U1137" s="8">
        <v>2</v>
      </c>
      <c r="V1137" s="8">
        <v>1</v>
      </c>
      <c r="W1137" s="8">
        <v>0</v>
      </c>
      <c r="X1137" s="8">
        <v>0</v>
      </c>
      <c r="Y1137" s="8">
        <v>0</v>
      </c>
      <c r="Z1137" s="126"/>
      <c r="AA1137" s="6"/>
      <c r="AB1137" s="8">
        <v>1144</v>
      </c>
      <c r="AC1137" s="6"/>
      <c r="AD1137" s="8">
        <v>15</v>
      </c>
      <c r="AE1137" s="6"/>
      <c r="AF1137" s="6"/>
      <c r="AG1137" s="6"/>
      <c r="AH1137" s="6"/>
      <c r="AI1137" s="6"/>
      <c r="AJ1137" s="6"/>
      <c r="AK1137" s="6"/>
      <c r="AL1137" s="6"/>
      <c r="AM1137" s="6"/>
      <c r="AN1137" s="6" t="s">
        <v>106</v>
      </c>
      <c r="AO1137" s="104" t="s">
        <v>107</v>
      </c>
      <c r="AP1137" s="6">
        <v>7</v>
      </c>
      <c r="AQ1137" s="161" t="s">
        <v>54</v>
      </c>
      <c r="AR1137" s="7">
        <v>55</v>
      </c>
      <c r="AS1137" s="10" t="s">
        <v>151</v>
      </c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</row>
    <row r="1138" spans="1:61" ht="16.5">
      <c r="A1138" s="158">
        <v>56</v>
      </c>
      <c r="B1138" s="8" t="s">
        <v>104</v>
      </c>
      <c r="C1138" s="159">
        <f t="shared" ref="C1138:C1147" si="37">100-SUM(D1138:L1138)</f>
        <v>87.11</v>
      </c>
      <c r="D1138" s="159">
        <v>6.11</v>
      </c>
      <c r="E1138" s="159">
        <v>1.01</v>
      </c>
      <c r="F1138" s="159">
        <v>2.1</v>
      </c>
      <c r="G1138" s="159">
        <v>0</v>
      </c>
      <c r="H1138" s="159">
        <v>0</v>
      </c>
      <c r="I1138" s="159">
        <v>1.03</v>
      </c>
      <c r="J1138" s="159">
        <v>1.71</v>
      </c>
      <c r="K1138" s="159">
        <v>0</v>
      </c>
      <c r="L1138" s="159">
        <v>0.93</v>
      </c>
      <c r="M1138" s="74" t="str">
        <f t="array" ref="M1138">_xlfn.TEXTJOIN("-", TRUE, IF(C1138:L1138&gt;0, $C$2:$L$2, ""))</f>
        <v xml:space="preserve"> Ti-Al-Zr-Mo-Nb-Cr-Sn</v>
      </c>
      <c r="N1138" s="90">
        <f t="shared" si="35"/>
        <v>1137</v>
      </c>
      <c r="O1138" s="91">
        <f t="shared" si="36"/>
        <v>7</v>
      </c>
      <c r="P1138" s="8">
        <v>2</v>
      </c>
      <c r="Q1138" s="160">
        <v>2</v>
      </c>
      <c r="R1138" s="8">
        <v>0</v>
      </c>
      <c r="S1138" s="8">
        <v>0</v>
      </c>
      <c r="T1138" s="8">
        <v>930</v>
      </c>
      <c r="U1138" s="8">
        <v>2</v>
      </c>
      <c r="V1138" s="8">
        <v>1</v>
      </c>
      <c r="W1138" s="8">
        <v>0</v>
      </c>
      <c r="X1138" s="8">
        <v>0</v>
      </c>
      <c r="Y1138" s="8">
        <v>0</v>
      </c>
      <c r="Z1138" s="126"/>
      <c r="AA1138" s="6"/>
      <c r="AB1138" s="8">
        <v>1205</v>
      </c>
      <c r="AC1138" s="6"/>
      <c r="AD1138" s="8">
        <v>11</v>
      </c>
      <c r="AE1138" s="6"/>
      <c r="AF1138" s="6"/>
      <c r="AG1138" s="6"/>
      <c r="AH1138" s="6"/>
      <c r="AI1138" s="6"/>
      <c r="AJ1138" s="6"/>
      <c r="AK1138" s="6"/>
      <c r="AL1138" s="6"/>
      <c r="AM1138" s="6"/>
      <c r="AN1138" s="6" t="s">
        <v>106</v>
      </c>
      <c r="AO1138" s="6" t="s">
        <v>107</v>
      </c>
      <c r="AP1138" s="6">
        <v>7</v>
      </c>
      <c r="AQ1138" s="161" t="s">
        <v>54</v>
      </c>
      <c r="AR1138" s="7">
        <v>56</v>
      </c>
      <c r="AS1138" s="10" t="s">
        <v>151</v>
      </c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</row>
    <row r="1139" spans="1:61" ht="16.5">
      <c r="A1139" s="158">
        <v>57</v>
      </c>
      <c r="B1139" s="8" t="s">
        <v>104</v>
      </c>
      <c r="C1139" s="159">
        <f t="shared" si="37"/>
        <v>87.11</v>
      </c>
      <c r="D1139" s="159">
        <v>6.11</v>
      </c>
      <c r="E1139" s="159">
        <v>1.01</v>
      </c>
      <c r="F1139" s="159">
        <v>2.1</v>
      </c>
      <c r="G1139" s="159">
        <v>0</v>
      </c>
      <c r="H1139" s="159">
        <v>0</v>
      </c>
      <c r="I1139" s="159">
        <v>1.03</v>
      </c>
      <c r="J1139" s="159">
        <v>1.71</v>
      </c>
      <c r="K1139" s="159">
        <v>0</v>
      </c>
      <c r="L1139" s="159">
        <v>0.93</v>
      </c>
      <c r="M1139" s="74" t="str">
        <f t="array" ref="M1139">_xlfn.TEXTJOIN("-", TRUE, IF(C1139:L1139&gt;0, $C$2:$L$2, ""))</f>
        <v xml:space="preserve"> Ti-Al-Zr-Mo-Nb-Cr-Sn</v>
      </c>
      <c r="N1139" s="90">
        <f t="shared" si="35"/>
        <v>1137</v>
      </c>
      <c r="O1139" s="91">
        <f t="shared" si="36"/>
        <v>7</v>
      </c>
      <c r="P1139" s="8">
        <v>2</v>
      </c>
      <c r="Q1139" s="160">
        <v>2</v>
      </c>
      <c r="R1139" s="8">
        <v>0</v>
      </c>
      <c r="S1139" s="8">
        <v>0</v>
      </c>
      <c r="T1139" s="8">
        <v>950</v>
      </c>
      <c r="U1139" s="8">
        <v>2</v>
      </c>
      <c r="V1139" s="8">
        <v>1</v>
      </c>
      <c r="W1139" s="8">
        <v>0</v>
      </c>
      <c r="X1139" s="8">
        <v>0</v>
      </c>
      <c r="Y1139" s="8">
        <v>0</v>
      </c>
      <c r="Z1139" s="126"/>
      <c r="AA1139" s="6"/>
      <c r="AB1139" s="8">
        <v>1322</v>
      </c>
      <c r="AC1139" s="6"/>
      <c r="AD1139" s="8">
        <v>7</v>
      </c>
      <c r="AE1139" s="6"/>
      <c r="AF1139" s="6"/>
      <c r="AG1139" s="6"/>
      <c r="AH1139" s="6"/>
      <c r="AI1139" s="6"/>
      <c r="AJ1139" s="6"/>
      <c r="AK1139" s="6"/>
      <c r="AL1139" s="6"/>
      <c r="AM1139" s="6"/>
      <c r="AN1139" s="6" t="s">
        <v>106</v>
      </c>
      <c r="AO1139" s="6" t="s">
        <v>107</v>
      </c>
      <c r="AP1139" s="6">
        <v>7</v>
      </c>
      <c r="AQ1139" s="161" t="s">
        <v>54</v>
      </c>
      <c r="AR1139" s="7">
        <v>57</v>
      </c>
      <c r="AS1139" s="10" t="s">
        <v>151</v>
      </c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</row>
    <row r="1140" spans="1:61" ht="16.5">
      <c r="A1140" s="158">
        <v>58</v>
      </c>
      <c r="B1140" s="8" t="s">
        <v>104</v>
      </c>
      <c r="C1140" s="159">
        <f t="shared" si="37"/>
        <v>87.11</v>
      </c>
      <c r="D1140" s="159">
        <v>6.11</v>
      </c>
      <c r="E1140" s="159">
        <v>1.01</v>
      </c>
      <c r="F1140" s="159">
        <v>2.1</v>
      </c>
      <c r="G1140" s="159">
        <v>0</v>
      </c>
      <c r="H1140" s="159">
        <v>0</v>
      </c>
      <c r="I1140" s="159">
        <v>1.03</v>
      </c>
      <c r="J1140" s="159">
        <v>1.71</v>
      </c>
      <c r="K1140" s="159">
        <v>0</v>
      </c>
      <c r="L1140" s="159">
        <v>0.93</v>
      </c>
      <c r="M1140" s="74" t="str">
        <f t="array" ref="M1140">_xlfn.TEXTJOIN("-", TRUE, IF(C1140:L1140&gt;0, $C$2:$L$2, ""))</f>
        <v xml:space="preserve"> Ti-Al-Zr-Mo-Nb-Cr-Sn</v>
      </c>
      <c r="N1140" s="90">
        <f t="shared" si="35"/>
        <v>1137</v>
      </c>
      <c r="O1140" s="91">
        <f t="shared" si="36"/>
        <v>7</v>
      </c>
      <c r="P1140" s="8">
        <v>2</v>
      </c>
      <c r="Q1140" s="160">
        <v>2</v>
      </c>
      <c r="R1140" s="8">
        <v>0</v>
      </c>
      <c r="S1140" s="8">
        <v>0</v>
      </c>
      <c r="T1140" s="8">
        <v>970</v>
      </c>
      <c r="U1140" s="8">
        <v>2</v>
      </c>
      <c r="V1140" s="8">
        <v>1</v>
      </c>
      <c r="W1140" s="8">
        <v>0</v>
      </c>
      <c r="X1140" s="8">
        <v>0</v>
      </c>
      <c r="Y1140" s="8">
        <v>0</v>
      </c>
      <c r="Z1140" s="126"/>
      <c r="AA1140" s="6"/>
      <c r="AB1140" s="8">
        <v>1215</v>
      </c>
      <c r="AC1140" s="6"/>
      <c r="AD1140" s="8">
        <v>2.4500000000000002</v>
      </c>
      <c r="AE1140" s="6"/>
      <c r="AF1140" s="6"/>
      <c r="AG1140" s="6"/>
      <c r="AH1140" s="6"/>
      <c r="AI1140" s="6"/>
      <c r="AJ1140" s="6"/>
      <c r="AK1140" s="6"/>
      <c r="AL1140" s="6"/>
      <c r="AM1140" s="6"/>
      <c r="AN1140" s="6" t="s">
        <v>106</v>
      </c>
      <c r="AO1140" s="6" t="s">
        <v>107</v>
      </c>
      <c r="AP1140" s="6">
        <v>7</v>
      </c>
      <c r="AQ1140" s="161" t="s">
        <v>54</v>
      </c>
      <c r="AR1140" s="7">
        <v>58</v>
      </c>
      <c r="AS1140" s="10" t="s">
        <v>151</v>
      </c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</row>
    <row r="1141" spans="1:61" ht="16.5">
      <c r="A1141" s="158">
        <v>59</v>
      </c>
      <c r="B1141" s="8" t="s">
        <v>104</v>
      </c>
      <c r="C1141" s="159">
        <f t="shared" si="37"/>
        <v>87.11</v>
      </c>
      <c r="D1141" s="159">
        <v>6.11</v>
      </c>
      <c r="E1141" s="159">
        <v>1.01</v>
      </c>
      <c r="F1141" s="159">
        <v>2.1</v>
      </c>
      <c r="G1141" s="159">
        <v>0</v>
      </c>
      <c r="H1141" s="159">
        <v>0</v>
      </c>
      <c r="I1141" s="159">
        <v>1.03</v>
      </c>
      <c r="J1141" s="159">
        <v>1.71</v>
      </c>
      <c r="K1141" s="159">
        <v>0</v>
      </c>
      <c r="L1141" s="159">
        <v>0.93</v>
      </c>
      <c r="M1141" s="74" t="str">
        <f t="array" ref="M1141">_xlfn.TEXTJOIN("-", TRUE, IF(C1141:L1141&gt;0, $C$2:$L$2, ""))</f>
        <v xml:space="preserve"> Ti-Al-Zr-Mo-Nb-Cr-Sn</v>
      </c>
      <c r="N1141" s="90">
        <f t="shared" si="35"/>
        <v>1137</v>
      </c>
      <c r="O1141" s="91">
        <f t="shared" si="36"/>
        <v>7</v>
      </c>
      <c r="P1141" s="8">
        <v>2</v>
      </c>
      <c r="Q1141" s="160">
        <v>2</v>
      </c>
      <c r="R1141" s="8">
        <v>0</v>
      </c>
      <c r="S1141" s="8">
        <v>0</v>
      </c>
      <c r="T1141" s="8">
        <v>990</v>
      </c>
      <c r="U1141" s="8">
        <v>2</v>
      </c>
      <c r="V1141" s="8">
        <v>1</v>
      </c>
      <c r="W1141" s="8">
        <v>0</v>
      </c>
      <c r="X1141" s="8">
        <v>0</v>
      </c>
      <c r="Y1141" s="8">
        <v>0</v>
      </c>
      <c r="Z1141" s="126"/>
      <c r="AA1141" s="6"/>
      <c r="AB1141" s="8">
        <v>1213</v>
      </c>
      <c r="AC1141" s="6"/>
      <c r="AD1141" s="8">
        <v>2.4500000000000002</v>
      </c>
      <c r="AE1141" s="6"/>
      <c r="AF1141" s="6"/>
      <c r="AG1141" s="6"/>
      <c r="AH1141" s="6"/>
      <c r="AI1141" s="6"/>
      <c r="AJ1141" s="6"/>
      <c r="AK1141" s="6"/>
      <c r="AL1141" s="6"/>
      <c r="AM1141" s="6"/>
      <c r="AN1141" s="6" t="s">
        <v>106</v>
      </c>
      <c r="AO1141" s="6" t="s">
        <v>107</v>
      </c>
      <c r="AP1141" s="6">
        <v>7</v>
      </c>
      <c r="AQ1141" s="161" t="s">
        <v>54</v>
      </c>
      <c r="AR1141" s="7">
        <v>59</v>
      </c>
      <c r="AS1141" s="10" t="s">
        <v>151</v>
      </c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</row>
    <row r="1142" spans="1:61" ht="16.5">
      <c r="A1142" s="158">
        <v>60</v>
      </c>
      <c r="B1142" s="8" t="s">
        <v>104</v>
      </c>
      <c r="C1142" s="159">
        <f t="shared" si="37"/>
        <v>87.11</v>
      </c>
      <c r="D1142" s="159">
        <v>6.11</v>
      </c>
      <c r="E1142" s="159">
        <v>1.01</v>
      </c>
      <c r="F1142" s="159">
        <v>2.1</v>
      </c>
      <c r="G1142" s="159">
        <v>0</v>
      </c>
      <c r="H1142" s="159">
        <v>0</v>
      </c>
      <c r="I1142" s="159">
        <v>1.03</v>
      </c>
      <c r="J1142" s="159">
        <v>1.71</v>
      </c>
      <c r="K1142" s="159">
        <v>0</v>
      </c>
      <c r="L1142" s="159">
        <v>0.93</v>
      </c>
      <c r="M1142" s="74" t="str">
        <f t="array" ref="M1142">_xlfn.TEXTJOIN("-", TRUE, IF(C1142:L1142&gt;0, $C$2:$L$2, ""))</f>
        <v xml:space="preserve"> Ti-Al-Zr-Mo-Nb-Cr-Sn</v>
      </c>
      <c r="N1142" s="90">
        <f t="shared" si="35"/>
        <v>1137</v>
      </c>
      <c r="O1142" s="91">
        <f t="shared" si="36"/>
        <v>7</v>
      </c>
      <c r="P1142" s="8">
        <v>2</v>
      </c>
      <c r="Q1142" s="160">
        <v>2</v>
      </c>
      <c r="R1142" s="8">
        <v>0</v>
      </c>
      <c r="S1142" s="8">
        <v>0</v>
      </c>
      <c r="T1142" s="8">
        <v>1010</v>
      </c>
      <c r="U1142" s="8">
        <v>2</v>
      </c>
      <c r="V1142" s="8">
        <v>1</v>
      </c>
      <c r="W1142" s="8">
        <v>0</v>
      </c>
      <c r="X1142" s="8">
        <v>0</v>
      </c>
      <c r="Y1142" s="8">
        <v>0</v>
      </c>
      <c r="Z1142" s="126"/>
      <c r="AA1142" s="6"/>
      <c r="AB1142" s="8">
        <v>1210</v>
      </c>
      <c r="AC1142" s="6"/>
      <c r="AD1142" s="8">
        <v>1.98</v>
      </c>
      <c r="AE1142" s="6"/>
      <c r="AF1142" s="6"/>
      <c r="AG1142" s="6"/>
      <c r="AH1142" s="6"/>
      <c r="AI1142" s="6"/>
      <c r="AJ1142" s="6"/>
      <c r="AK1142" s="6"/>
      <c r="AL1142" s="6"/>
      <c r="AM1142" s="6"/>
      <c r="AN1142" s="6" t="s">
        <v>106</v>
      </c>
      <c r="AO1142" s="6" t="s">
        <v>107</v>
      </c>
      <c r="AP1142" s="6">
        <v>7</v>
      </c>
      <c r="AQ1142" s="161" t="s">
        <v>54</v>
      </c>
      <c r="AR1142" s="7">
        <v>60</v>
      </c>
      <c r="AS1142" s="10" t="s">
        <v>151</v>
      </c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</row>
    <row r="1143" spans="1:61" ht="16.5">
      <c r="A1143" s="158">
        <v>61</v>
      </c>
      <c r="B1143" s="6"/>
      <c r="C1143" s="159">
        <f t="shared" si="37"/>
        <v>82.97</v>
      </c>
      <c r="D1143" s="159">
        <v>6.42</v>
      </c>
      <c r="E1143" s="159">
        <v>2.25</v>
      </c>
      <c r="F1143" s="159">
        <v>3.05</v>
      </c>
      <c r="G1143" s="159">
        <v>0</v>
      </c>
      <c r="H1143" s="159">
        <v>0</v>
      </c>
      <c r="I1143" s="159">
        <v>1.93</v>
      </c>
      <c r="J1143" s="159">
        <v>1.26</v>
      </c>
      <c r="K1143" s="159">
        <v>0</v>
      </c>
      <c r="L1143" s="159">
        <v>2.12</v>
      </c>
      <c r="M1143" s="74" t="str">
        <f t="array" ref="M1143">_xlfn.TEXTJOIN("-", TRUE, IF(C1143:L1143&gt;0, $C$2:$L$2, ""))</f>
        <v xml:space="preserve"> Ti-Al-Zr-Mo-Nb-Cr-Sn</v>
      </c>
      <c r="N1143" s="90">
        <f t="shared" si="35"/>
        <v>1137</v>
      </c>
      <c r="O1143" s="91">
        <f t="shared" si="36"/>
        <v>7</v>
      </c>
      <c r="P1143" s="160">
        <v>2</v>
      </c>
      <c r="Q1143" s="94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126"/>
      <c r="AA1143" s="6"/>
      <c r="AB1143" s="165">
        <v>1043</v>
      </c>
      <c r="AC1143" s="165">
        <v>908</v>
      </c>
      <c r="AD1143" s="165">
        <v>9.4</v>
      </c>
      <c r="AE1143" s="165">
        <v>20.100000000000001</v>
      </c>
      <c r="AF1143" s="6"/>
      <c r="AG1143" s="6"/>
      <c r="AH1143" s="6"/>
      <c r="AI1143" s="6"/>
      <c r="AJ1143" s="6"/>
      <c r="AK1143" s="6"/>
      <c r="AL1143" s="6"/>
      <c r="AM1143" s="6"/>
      <c r="AN1143" s="6"/>
      <c r="AO1143" s="104" t="s">
        <v>108</v>
      </c>
      <c r="AP1143" s="6">
        <v>8</v>
      </c>
      <c r="AQ1143" s="161" t="s">
        <v>54</v>
      </c>
      <c r="AR1143" s="7">
        <v>61</v>
      </c>
      <c r="AS1143" s="10" t="s">
        <v>151</v>
      </c>
      <c r="AT1143" s="162" t="s">
        <v>608</v>
      </c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</row>
    <row r="1144" spans="1:61" ht="16.5">
      <c r="A1144" s="158">
        <v>62</v>
      </c>
      <c r="B1144" s="6"/>
      <c r="C1144" s="159">
        <f t="shared" si="37"/>
        <v>82.97</v>
      </c>
      <c r="D1144" s="159">
        <v>6.42</v>
      </c>
      <c r="E1144" s="159">
        <v>2.25</v>
      </c>
      <c r="F1144" s="159">
        <v>3.05</v>
      </c>
      <c r="G1144" s="159">
        <v>0</v>
      </c>
      <c r="H1144" s="159">
        <v>0</v>
      </c>
      <c r="I1144" s="159">
        <v>1.93</v>
      </c>
      <c r="J1144" s="159">
        <v>1.26</v>
      </c>
      <c r="K1144" s="159">
        <v>0</v>
      </c>
      <c r="L1144" s="159">
        <v>2.12</v>
      </c>
      <c r="M1144" s="74" t="str">
        <f t="array" ref="M1144">_xlfn.TEXTJOIN("-", TRUE, IF(C1144:L1144&gt;0, $C$2:$L$2, ""))</f>
        <v xml:space="preserve"> Ti-Al-Zr-Mo-Nb-Cr-Sn</v>
      </c>
      <c r="N1144" s="90">
        <f t="shared" si="35"/>
        <v>1137</v>
      </c>
      <c r="O1144" s="91">
        <f t="shared" si="36"/>
        <v>7</v>
      </c>
      <c r="P1144" s="160">
        <v>2</v>
      </c>
      <c r="Q1144" s="94">
        <v>0</v>
      </c>
      <c r="R1144" s="8">
        <v>0</v>
      </c>
      <c r="S1144" s="8">
        <v>0</v>
      </c>
      <c r="T1144" s="8">
        <v>900</v>
      </c>
      <c r="U1144" s="8">
        <v>2</v>
      </c>
      <c r="V1144" s="8">
        <v>2</v>
      </c>
      <c r="W1144" s="8">
        <v>590</v>
      </c>
      <c r="X1144" s="8">
        <v>4</v>
      </c>
      <c r="Y1144" s="8">
        <v>2</v>
      </c>
      <c r="Z1144" s="126"/>
      <c r="AA1144" s="6"/>
      <c r="AB1144" s="165">
        <v>1181</v>
      </c>
      <c r="AC1144" s="165">
        <v>1063</v>
      </c>
      <c r="AD1144" s="165">
        <v>6.6</v>
      </c>
      <c r="AE1144" s="165">
        <v>13.6</v>
      </c>
      <c r="AF1144" s="6"/>
      <c r="AG1144" s="6"/>
      <c r="AH1144" s="6"/>
      <c r="AI1144" s="6"/>
      <c r="AJ1144" s="6"/>
      <c r="AK1144" s="6"/>
      <c r="AL1144" s="6"/>
      <c r="AM1144" s="6"/>
      <c r="AN1144" s="6"/>
      <c r="AO1144" s="6" t="s">
        <v>109</v>
      </c>
      <c r="AP1144" s="6">
        <v>8</v>
      </c>
      <c r="AQ1144" s="161" t="s">
        <v>54</v>
      </c>
      <c r="AR1144" s="7">
        <v>62</v>
      </c>
      <c r="AS1144" s="10" t="s">
        <v>151</v>
      </c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</row>
    <row r="1145" spans="1:61" ht="16.5">
      <c r="A1145" s="158">
        <v>63</v>
      </c>
      <c r="B1145" s="6"/>
      <c r="C1145" s="159">
        <f t="shared" si="37"/>
        <v>82.97</v>
      </c>
      <c r="D1145" s="159">
        <v>6.42</v>
      </c>
      <c r="E1145" s="159">
        <v>2.25</v>
      </c>
      <c r="F1145" s="159">
        <v>3.05</v>
      </c>
      <c r="G1145" s="159">
        <v>0</v>
      </c>
      <c r="H1145" s="159">
        <v>0</v>
      </c>
      <c r="I1145" s="159">
        <v>1.93</v>
      </c>
      <c r="J1145" s="159">
        <v>1.26</v>
      </c>
      <c r="K1145" s="159">
        <v>0</v>
      </c>
      <c r="L1145" s="159">
        <v>2.12</v>
      </c>
      <c r="M1145" s="74" t="str">
        <f t="array" ref="M1145">_xlfn.TEXTJOIN("-", TRUE, IF(C1145:L1145&gt;0, $C$2:$L$2, ""))</f>
        <v xml:space="preserve"> Ti-Al-Zr-Mo-Nb-Cr-Sn</v>
      </c>
      <c r="N1145" s="90">
        <f t="shared" si="35"/>
        <v>1137</v>
      </c>
      <c r="O1145" s="91">
        <f t="shared" si="36"/>
        <v>7</v>
      </c>
      <c r="P1145" s="160">
        <v>2</v>
      </c>
      <c r="Q1145" s="94">
        <v>0</v>
      </c>
      <c r="R1145" s="8">
        <v>0</v>
      </c>
      <c r="S1145" s="8">
        <v>0</v>
      </c>
      <c r="T1145" s="8">
        <v>915</v>
      </c>
      <c r="U1145" s="8">
        <v>2</v>
      </c>
      <c r="V1145" s="8">
        <v>2</v>
      </c>
      <c r="W1145" s="8">
        <v>590</v>
      </c>
      <c r="X1145" s="8">
        <v>4</v>
      </c>
      <c r="Y1145" s="8">
        <v>2</v>
      </c>
      <c r="Z1145" s="126"/>
      <c r="AA1145" s="6"/>
      <c r="AB1145" s="165">
        <v>1213</v>
      </c>
      <c r="AC1145" s="165">
        <v>1086</v>
      </c>
      <c r="AD1145" s="165">
        <v>5.6</v>
      </c>
      <c r="AE1145" s="165">
        <v>11</v>
      </c>
      <c r="AF1145" s="6"/>
      <c r="AG1145" s="6"/>
      <c r="AH1145" s="6"/>
      <c r="AI1145" s="6"/>
      <c r="AJ1145" s="6"/>
      <c r="AK1145" s="6"/>
      <c r="AL1145" s="6"/>
      <c r="AM1145" s="6"/>
      <c r="AN1145" s="6"/>
      <c r="AO1145" s="6" t="s">
        <v>109</v>
      </c>
      <c r="AP1145" s="6">
        <v>8</v>
      </c>
      <c r="AQ1145" s="161" t="s">
        <v>54</v>
      </c>
      <c r="AR1145" s="7">
        <v>63</v>
      </c>
      <c r="AS1145" s="10" t="s">
        <v>151</v>
      </c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</row>
    <row r="1146" spans="1:61" ht="16.5">
      <c r="A1146" s="158">
        <v>64</v>
      </c>
      <c r="B1146" s="6"/>
      <c r="C1146" s="159">
        <f t="shared" si="37"/>
        <v>82.97</v>
      </c>
      <c r="D1146" s="159">
        <v>6.42</v>
      </c>
      <c r="E1146" s="159">
        <v>2.25</v>
      </c>
      <c r="F1146" s="159">
        <v>3.05</v>
      </c>
      <c r="G1146" s="159">
        <v>0</v>
      </c>
      <c r="H1146" s="159">
        <v>0</v>
      </c>
      <c r="I1146" s="159">
        <v>1.93</v>
      </c>
      <c r="J1146" s="159">
        <v>1.26</v>
      </c>
      <c r="K1146" s="159">
        <v>0</v>
      </c>
      <c r="L1146" s="159">
        <v>2.12</v>
      </c>
      <c r="M1146" s="74" t="str">
        <f t="array" ref="M1146">_xlfn.TEXTJOIN("-", TRUE, IF(C1146:L1146&gt;0, $C$2:$L$2, ""))</f>
        <v xml:space="preserve"> Ti-Al-Zr-Mo-Nb-Cr-Sn</v>
      </c>
      <c r="N1146" s="90">
        <f t="shared" si="35"/>
        <v>1137</v>
      </c>
      <c r="O1146" s="91">
        <f t="shared" si="36"/>
        <v>7</v>
      </c>
      <c r="P1146" s="160">
        <v>2</v>
      </c>
      <c r="Q1146" s="94">
        <v>0</v>
      </c>
      <c r="R1146" s="8">
        <v>0</v>
      </c>
      <c r="S1146" s="8">
        <v>0</v>
      </c>
      <c r="T1146" s="8">
        <v>930</v>
      </c>
      <c r="U1146" s="8">
        <v>2</v>
      </c>
      <c r="V1146" s="8">
        <v>2</v>
      </c>
      <c r="W1146" s="8">
        <v>590</v>
      </c>
      <c r="X1146" s="8">
        <v>4</v>
      </c>
      <c r="Y1146" s="8">
        <v>2</v>
      </c>
      <c r="Z1146" s="126"/>
      <c r="AA1146" s="6"/>
      <c r="AB1146" s="165">
        <v>1244</v>
      </c>
      <c r="AC1146" s="165">
        <v>1101</v>
      </c>
      <c r="AD1146" s="165">
        <v>4.3</v>
      </c>
      <c r="AE1146" s="165">
        <v>15.2</v>
      </c>
      <c r="AF1146" s="6"/>
      <c r="AG1146" s="6"/>
      <c r="AH1146" s="6"/>
      <c r="AI1146" s="6"/>
      <c r="AJ1146" s="6"/>
      <c r="AK1146" s="6"/>
      <c r="AL1146" s="6"/>
      <c r="AM1146" s="6"/>
      <c r="AN1146" s="6"/>
      <c r="AO1146" s="6" t="s">
        <v>109</v>
      </c>
      <c r="AP1146" s="6">
        <v>8</v>
      </c>
      <c r="AQ1146" s="161" t="s">
        <v>54</v>
      </c>
      <c r="AR1146" s="7">
        <v>64</v>
      </c>
      <c r="AS1146" s="10" t="s">
        <v>151</v>
      </c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</row>
    <row r="1147" spans="1:61" ht="16.5">
      <c r="A1147" s="158">
        <v>65</v>
      </c>
      <c r="B1147" s="6"/>
      <c r="C1147" s="159">
        <f t="shared" si="37"/>
        <v>82.97</v>
      </c>
      <c r="D1147" s="159">
        <v>6.42</v>
      </c>
      <c r="E1147" s="159">
        <v>2.25</v>
      </c>
      <c r="F1147" s="159">
        <v>3.05</v>
      </c>
      <c r="G1147" s="159">
        <v>0</v>
      </c>
      <c r="H1147" s="159">
        <v>0</v>
      </c>
      <c r="I1147" s="159">
        <v>1.93</v>
      </c>
      <c r="J1147" s="159">
        <v>1.26</v>
      </c>
      <c r="K1147" s="159">
        <v>0</v>
      </c>
      <c r="L1147" s="159">
        <v>2.12</v>
      </c>
      <c r="M1147" s="74" t="str">
        <f t="array" ref="M1147">_xlfn.TEXTJOIN("-", TRUE, IF(C1147:L1147&gt;0, $C$2:$L$2, ""))</f>
        <v xml:space="preserve"> Ti-Al-Zr-Mo-Nb-Cr-Sn</v>
      </c>
      <c r="N1147" s="90">
        <f t="shared" si="35"/>
        <v>1137</v>
      </c>
      <c r="O1147" s="91">
        <f t="shared" si="36"/>
        <v>7</v>
      </c>
      <c r="P1147" s="160">
        <v>2</v>
      </c>
      <c r="Q1147" s="94">
        <v>0</v>
      </c>
      <c r="R1147" s="8">
        <v>0</v>
      </c>
      <c r="S1147" s="8">
        <v>0</v>
      </c>
      <c r="T1147" s="8">
        <v>945</v>
      </c>
      <c r="U1147" s="8">
        <v>2</v>
      </c>
      <c r="V1147" s="8">
        <v>2</v>
      </c>
      <c r="W1147" s="8">
        <v>590</v>
      </c>
      <c r="X1147" s="8">
        <v>4</v>
      </c>
      <c r="Y1147" s="8">
        <v>2</v>
      </c>
      <c r="Z1147" s="126"/>
      <c r="AA1147" s="6"/>
      <c r="AB1147" s="165">
        <v>1266</v>
      </c>
      <c r="AC1147" s="165">
        <v>1140</v>
      </c>
      <c r="AD1147" s="165">
        <v>5.5</v>
      </c>
      <c r="AE1147" s="165">
        <v>6.05</v>
      </c>
      <c r="AF1147" s="6"/>
      <c r="AG1147" s="6"/>
      <c r="AH1147" s="6"/>
      <c r="AI1147" s="6"/>
      <c r="AJ1147" s="6"/>
      <c r="AK1147" s="6"/>
      <c r="AL1147" s="6"/>
      <c r="AM1147" s="6"/>
      <c r="AN1147" s="6"/>
      <c r="AO1147" s="6" t="s">
        <v>109</v>
      </c>
      <c r="AP1147" s="6">
        <v>8</v>
      </c>
      <c r="AQ1147" s="161" t="s">
        <v>54</v>
      </c>
      <c r="AR1147" s="7">
        <v>65</v>
      </c>
      <c r="AS1147" s="10" t="s">
        <v>151</v>
      </c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</row>
    <row r="1148" spans="1:61" ht="16.5">
      <c r="A1148" s="158">
        <v>66</v>
      </c>
      <c r="B1148" s="6"/>
      <c r="C1148" s="159">
        <f>100-SUM(D1148:L1148)</f>
        <v>82.97</v>
      </c>
      <c r="D1148" s="159">
        <v>6.42</v>
      </c>
      <c r="E1148" s="159">
        <v>2.25</v>
      </c>
      <c r="F1148" s="159">
        <v>3.05</v>
      </c>
      <c r="G1148" s="159">
        <v>0</v>
      </c>
      <c r="H1148" s="159">
        <v>0</v>
      </c>
      <c r="I1148" s="159">
        <v>1.93</v>
      </c>
      <c r="J1148" s="159">
        <v>1.26</v>
      </c>
      <c r="K1148" s="159">
        <v>0</v>
      </c>
      <c r="L1148" s="159">
        <v>2.12</v>
      </c>
      <c r="M1148" s="74" t="str">
        <f t="array" ref="M1148">_xlfn.TEXTJOIN("-", TRUE, IF(C1148:L1148&gt;0, $C$2:$L$2, ""))</f>
        <v xml:space="preserve"> Ti-Al-Zr-Mo-Nb-Cr-Sn</v>
      </c>
      <c r="N1148" s="90">
        <f t="shared" si="35"/>
        <v>1137</v>
      </c>
      <c r="O1148" s="91">
        <f>COUNTIF(C1148:L1148, "&lt;&gt;0")</f>
        <v>7</v>
      </c>
      <c r="P1148" s="160">
        <v>2</v>
      </c>
      <c r="Q1148" s="94">
        <v>0</v>
      </c>
      <c r="R1148" s="8">
        <v>0</v>
      </c>
      <c r="S1148" s="8">
        <v>0</v>
      </c>
      <c r="T1148" s="8">
        <v>930</v>
      </c>
      <c r="U1148" s="8">
        <v>2</v>
      </c>
      <c r="V1148" s="8">
        <v>2</v>
      </c>
      <c r="W1148" s="8">
        <v>590</v>
      </c>
      <c r="X1148" s="8">
        <v>2</v>
      </c>
      <c r="Y1148" s="8">
        <v>2</v>
      </c>
      <c r="Z1148" s="126"/>
      <c r="AA1148" s="6"/>
      <c r="AB1148" s="165">
        <v>1237.8</v>
      </c>
      <c r="AC1148" s="165">
        <v>1107.5999999999999</v>
      </c>
      <c r="AD1148" s="165">
        <v>3.74</v>
      </c>
      <c r="AE1148" s="165">
        <v>9.94</v>
      </c>
      <c r="AF1148" s="6"/>
      <c r="AG1148" s="6"/>
      <c r="AH1148" s="6"/>
      <c r="AI1148" s="6"/>
      <c r="AJ1148" s="6"/>
      <c r="AK1148" s="6"/>
      <c r="AL1148" s="6"/>
      <c r="AM1148" s="6"/>
      <c r="AN1148" s="6"/>
      <c r="AO1148" s="6" t="s">
        <v>109</v>
      </c>
      <c r="AP1148" s="6">
        <v>8</v>
      </c>
      <c r="AQ1148" s="161" t="s">
        <v>54</v>
      </c>
      <c r="AR1148" s="7">
        <v>66</v>
      </c>
      <c r="AS1148" s="10" t="s">
        <v>151</v>
      </c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</row>
    <row r="1149" spans="1:61" ht="16.5">
      <c r="A1149" s="158">
        <v>66</v>
      </c>
      <c r="B1149" s="6"/>
      <c r="C1149" s="159">
        <f>100-SUM(D1149:L1149)</f>
        <v>82.97</v>
      </c>
      <c r="D1149" s="159">
        <v>6.42</v>
      </c>
      <c r="E1149" s="159">
        <v>2.25</v>
      </c>
      <c r="F1149" s="159">
        <v>3.05</v>
      </c>
      <c r="G1149" s="159">
        <v>0</v>
      </c>
      <c r="H1149" s="159">
        <v>0</v>
      </c>
      <c r="I1149" s="159">
        <v>1.93</v>
      </c>
      <c r="J1149" s="159">
        <v>1.26</v>
      </c>
      <c r="K1149" s="159">
        <v>0</v>
      </c>
      <c r="L1149" s="159">
        <v>2.12</v>
      </c>
      <c r="M1149" s="74" t="str">
        <f t="array" ref="M1149">_xlfn.TEXTJOIN("-", TRUE, IF(C1149:L1149&gt;0, $C$2:$L$2, ""))</f>
        <v xml:space="preserve"> Ti-Al-Zr-Mo-Nb-Cr-Sn</v>
      </c>
      <c r="N1149" s="90">
        <f t="shared" si="35"/>
        <v>1137</v>
      </c>
      <c r="O1149" s="91">
        <f>COUNTIF(C1149:L1149, "&lt;&gt;0")</f>
        <v>7</v>
      </c>
      <c r="P1149" s="165">
        <v>2</v>
      </c>
      <c r="Q1149" s="165">
        <v>0</v>
      </c>
      <c r="R1149" s="165">
        <v>0</v>
      </c>
      <c r="S1149" s="165">
        <v>0</v>
      </c>
      <c r="T1149" s="165">
        <v>930</v>
      </c>
      <c r="U1149" s="165">
        <v>2</v>
      </c>
      <c r="V1149" s="165">
        <v>2</v>
      </c>
      <c r="W1149" s="165">
        <v>590</v>
      </c>
      <c r="X1149" s="165">
        <v>4</v>
      </c>
      <c r="Y1149" s="165">
        <v>2</v>
      </c>
      <c r="Z1149" s="126"/>
      <c r="AA1149" s="6"/>
      <c r="AB1149" s="165">
        <v>1237</v>
      </c>
      <c r="AC1149" s="165">
        <v>1094.4000000000001</v>
      </c>
      <c r="AD1149" s="165">
        <v>4.3</v>
      </c>
      <c r="AE1149" s="165">
        <v>14.93</v>
      </c>
      <c r="AF1149" s="6"/>
      <c r="AG1149" s="6"/>
      <c r="AH1149" s="6"/>
      <c r="AI1149" s="6"/>
      <c r="AJ1149" s="6"/>
      <c r="AK1149" s="6"/>
      <c r="AL1149" s="6"/>
      <c r="AM1149" s="6"/>
      <c r="AN1149" s="6"/>
      <c r="AO1149" s="6" t="s">
        <v>109</v>
      </c>
      <c r="AP1149" s="6">
        <v>8</v>
      </c>
      <c r="AQ1149" s="161" t="s">
        <v>54</v>
      </c>
      <c r="AR1149" s="7">
        <v>66</v>
      </c>
      <c r="AS1149" s="10" t="s">
        <v>151</v>
      </c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</row>
    <row r="1150" spans="1:61" ht="16.5">
      <c r="A1150" s="158">
        <v>67</v>
      </c>
      <c r="B1150" s="6"/>
      <c r="C1150" s="159">
        <f t="shared" ref="C1150:C1155" si="38">100-SUM(D1150:L1150)</f>
        <v>82.97</v>
      </c>
      <c r="D1150" s="159">
        <v>6.42</v>
      </c>
      <c r="E1150" s="159">
        <v>2.25</v>
      </c>
      <c r="F1150" s="159">
        <v>3.05</v>
      </c>
      <c r="G1150" s="159">
        <v>0</v>
      </c>
      <c r="H1150" s="159">
        <v>0</v>
      </c>
      <c r="I1150" s="159">
        <v>1.93</v>
      </c>
      <c r="J1150" s="159">
        <v>1.26</v>
      </c>
      <c r="K1150" s="159">
        <v>0</v>
      </c>
      <c r="L1150" s="159">
        <v>2.12</v>
      </c>
      <c r="M1150" s="74" t="str">
        <f t="array" ref="M1150">_xlfn.TEXTJOIN("-", TRUE, IF(C1150:L1150&gt;0, $C$2:$L$2, ""))</f>
        <v xml:space="preserve"> Ti-Al-Zr-Mo-Nb-Cr-Sn</v>
      </c>
      <c r="N1150" s="90">
        <f t="shared" si="35"/>
        <v>1137</v>
      </c>
      <c r="O1150" s="91">
        <f t="shared" ref="O1150:O1206" si="39">COUNTIF(C1150:L1150, "&lt;&gt;0")</f>
        <v>7</v>
      </c>
      <c r="P1150" s="160">
        <v>2</v>
      </c>
      <c r="Q1150" s="94">
        <v>0</v>
      </c>
      <c r="R1150" s="8">
        <v>0</v>
      </c>
      <c r="S1150" s="8">
        <v>0</v>
      </c>
      <c r="T1150" s="8">
        <v>930</v>
      </c>
      <c r="U1150" s="8">
        <v>2</v>
      </c>
      <c r="V1150" s="8">
        <v>2</v>
      </c>
      <c r="W1150" s="8">
        <v>590</v>
      </c>
      <c r="X1150" s="8">
        <v>6</v>
      </c>
      <c r="Y1150" s="8">
        <v>2</v>
      </c>
      <c r="Z1150" s="126"/>
      <c r="AA1150" s="6"/>
      <c r="AB1150" s="165">
        <v>1248.5999999999999</v>
      </c>
      <c r="AC1150" s="165">
        <v>1123</v>
      </c>
      <c r="AD1150" s="165">
        <v>5.55</v>
      </c>
      <c r="AE1150" s="165">
        <v>6.06</v>
      </c>
      <c r="AF1150" s="6"/>
      <c r="AG1150" s="6"/>
      <c r="AH1150" s="6"/>
      <c r="AI1150" s="6"/>
      <c r="AJ1150" s="6"/>
      <c r="AK1150" s="6"/>
      <c r="AL1150" s="6"/>
      <c r="AM1150" s="6"/>
      <c r="AN1150" s="6"/>
      <c r="AO1150" s="6" t="s">
        <v>109</v>
      </c>
      <c r="AP1150" s="6">
        <v>8</v>
      </c>
      <c r="AQ1150" s="161" t="s">
        <v>54</v>
      </c>
      <c r="AR1150" s="7">
        <v>67</v>
      </c>
      <c r="AS1150" s="10" t="s">
        <v>151</v>
      </c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</row>
    <row r="1151" spans="1:61" ht="16.5">
      <c r="A1151" s="158">
        <v>68</v>
      </c>
      <c r="B1151" s="6"/>
      <c r="C1151" s="159">
        <f t="shared" si="38"/>
        <v>82.97</v>
      </c>
      <c r="D1151" s="159">
        <v>6.42</v>
      </c>
      <c r="E1151" s="159">
        <v>2.25</v>
      </c>
      <c r="F1151" s="159">
        <v>3.05</v>
      </c>
      <c r="G1151" s="159">
        <v>0</v>
      </c>
      <c r="H1151" s="159">
        <v>0</v>
      </c>
      <c r="I1151" s="159">
        <v>1.93</v>
      </c>
      <c r="J1151" s="159">
        <v>1.26</v>
      </c>
      <c r="K1151" s="159">
        <v>0</v>
      </c>
      <c r="L1151" s="159">
        <v>2.12</v>
      </c>
      <c r="M1151" s="74" t="str">
        <f t="array" ref="M1151">_xlfn.TEXTJOIN("-", TRUE, IF(C1151:L1151&gt;0, $C$2:$L$2, ""))</f>
        <v xml:space="preserve"> Ti-Al-Zr-Mo-Nb-Cr-Sn</v>
      </c>
      <c r="N1151" s="90">
        <f t="shared" si="35"/>
        <v>1137</v>
      </c>
      <c r="O1151" s="91">
        <f t="shared" si="39"/>
        <v>7</v>
      </c>
      <c r="P1151" s="160">
        <v>2</v>
      </c>
      <c r="Q1151" s="94">
        <v>0</v>
      </c>
      <c r="R1151" s="8">
        <v>0</v>
      </c>
      <c r="S1151" s="8">
        <v>0</v>
      </c>
      <c r="T1151" s="8">
        <v>930</v>
      </c>
      <c r="U1151" s="8">
        <v>2</v>
      </c>
      <c r="V1151" s="8">
        <v>2</v>
      </c>
      <c r="W1151" s="8">
        <v>590</v>
      </c>
      <c r="X1151" s="8">
        <v>8</v>
      </c>
      <c r="Y1151" s="8">
        <v>2</v>
      </c>
      <c r="Z1151" s="126"/>
      <c r="AA1151" s="6"/>
      <c r="AB1151" s="165">
        <v>1226</v>
      </c>
      <c r="AC1151" s="165">
        <v>1119.2</v>
      </c>
      <c r="AD1151" s="165">
        <v>4.13</v>
      </c>
      <c r="AE1151" s="165">
        <v>9.92</v>
      </c>
      <c r="AF1151" s="6"/>
      <c r="AG1151" s="6"/>
      <c r="AH1151" s="6"/>
      <c r="AI1151" s="6"/>
      <c r="AJ1151" s="6"/>
      <c r="AK1151" s="6"/>
      <c r="AL1151" s="6"/>
      <c r="AM1151" s="6"/>
      <c r="AN1151" s="6"/>
      <c r="AO1151" s="6" t="s">
        <v>109</v>
      </c>
      <c r="AP1151" s="6">
        <v>8</v>
      </c>
      <c r="AQ1151" s="161" t="s">
        <v>54</v>
      </c>
      <c r="AR1151" s="7">
        <v>68</v>
      </c>
      <c r="AS1151" s="10" t="s">
        <v>151</v>
      </c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</row>
    <row r="1152" spans="1:61" ht="16.5">
      <c r="A1152" s="158">
        <v>69</v>
      </c>
      <c r="B1152" s="6"/>
      <c r="C1152" s="159">
        <f t="shared" si="38"/>
        <v>82.97</v>
      </c>
      <c r="D1152" s="159">
        <v>6.42</v>
      </c>
      <c r="E1152" s="159">
        <v>2.25</v>
      </c>
      <c r="F1152" s="159">
        <v>3.05</v>
      </c>
      <c r="G1152" s="159">
        <v>0</v>
      </c>
      <c r="H1152" s="159">
        <v>0</v>
      </c>
      <c r="I1152" s="159">
        <v>1.93</v>
      </c>
      <c r="J1152" s="159">
        <v>1.26</v>
      </c>
      <c r="K1152" s="159">
        <v>0</v>
      </c>
      <c r="L1152" s="159">
        <v>2.12</v>
      </c>
      <c r="M1152" s="74" t="str">
        <f t="array" ref="M1152">_xlfn.TEXTJOIN("-", TRUE, IF(C1152:L1152&gt;0, $C$2:$L$2, ""))</f>
        <v xml:space="preserve"> Ti-Al-Zr-Mo-Nb-Cr-Sn</v>
      </c>
      <c r="N1152" s="90">
        <f t="shared" si="35"/>
        <v>1137</v>
      </c>
      <c r="O1152" s="91">
        <f t="shared" si="39"/>
        <v>7</v>
      </c>
      <c r="P1152" s="160">
        <v>2</v>
      </c>
      <c r="Q1152" s="94">
        <v>0</v>
      </c>
      <c r="R1152" s="8">
        <v>0</v>
      </c>
      <c r="S1152" s="8">
        <v>0</v>
      </c>
      <c r="T1152" s="8">
        <v>930</v>
      </c>
      <c r="U1152" s="8">
        <v>2</v>
      </c>
      <c r="V1152" s="8">
        <v>2</v>
      </c>
      <c r="W1152" s="8">
        <v>500</v>
      </c>
      <c r="X1152" s="8">
        <v>4</v>
      </c>
      <c r="Y1152" s="8">
        <v>2</v>
      </c>
      <c r="Z1152" s="126"/>
      <c r="AA1152" s="6"/>
      <c r="AB1152" s="165">
        <v>1255</v>
      </c>
      <c r="AC1152" s="165">
        <v>1108</v>
      </c>
      <c r="AD1152" s="165">
        <v>2.5</v>
      </c>
      <c r="AE1152" s="165">
        <v>9.6</v>
      </c>
      <c r="AF1152" s="6"/>
      <c r="AG1152" s="6"/>
      <c r="AH1152" s="6"/>
      <c r="AI1152" s="6"/>
      <c r="AJ1152" s="6"/>
      <c r="AK1152" s="6"/>
      <c r="AL1152" s="6"/>
      <c r="AM1152" s="6"/>
      <c r="AN1152" s="6"/>
      <c r="AO1152" s="6" t="s">
        <v>109</v>
      </c>
      <c r="AP1152" s="6">
        <v>8</v>
      </c>
      <c r="AQ1152" s="161" t="s">
        <v>54</v>
      </c>
      <c r="AR1152" s="7">
        <v>69</v>
      </c>
      <c r="AS1152" s="10" t="s">
        <v>151</v>
      </c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</row>
    <row r="1153" spans="1:61" ht="16.5">
      <c r="A1153" s="158">
        <v>70</v>
      </c>
      <c r="B1153" s="6"/>
      <c r="C1153" s="159">
        <f t="shared" si="38"/>
        <v>82.97</v>
      </c>
      <c r="D1153" s="159">
        <v>6.42</v>
      </c>
      <c r="E1153" s="159">
        <v>2.25</v>
      </c>
      <c r="F1153" s="159">
        <v>3.05</v>
      </c>
      <c r="G1153" s="159">
        <v>0</v>
      </c>
      <c r="H1153" s="159">
        <v>0</v>
      </c>
      <c r="I1153" s="159">
        <v>1.93</v>
      </c>
      <c r="J1153" s="159">
        <v>1.26</v>
      </c>
      <c r="K1153" s="159">
        <v>0</v>
      </c>
      <c r="L1153" s="159">
        <v>2.12</v>
      </c>
      <c r="M1153" s="74" t="str">
        <f t="array" ref="M1153">_xlfn.TEXTJOIN("-", TRUE, IF(C1153:L1153&gt;0, $C$2:$L$2, ""))</f>
        <v xml:space="preserve"> Ti-Al-Zr-Mo-Nb-Cr-Sn</v>
      </c>
      <c r="N1153" s="90">
        <f t="shared" si="35"/>
        <v>1137</v>
      </c>
      <c r="O1153" s="91">
        <f t="shared" si="39"/>
        <v>7</v>
      </c>
      <c r="P1153" s="160">
        <v>2</v>
      </c>
      <c r="Q1153" s="94">
        <v>0</v>
      </c>
      <c r="R1153" s="8">
        <v>0</v>
      </c>
      <c r="S1153" s="8">
        <v>0</v>
      </c>
      <c r="T1153" s="8">
        <v>930</v>
      </c>
      <c r="U1153" s="8">
        <v>2</v>
      </c>
      <c r="V1153" s="8">
        <v>2</v>
      </c>
      <c r="W1153" s="8">
        <v>530</v>
      </c>
      <c r="X1153" s="8">
        <v>4</v>
      </c>
      <c r="Y1153" s="8">
        <v>2</v>
      </c>
      <c r="Z1153" s="126"/>
      <c r="AA1153" s="6"/>
      <c r="AB1153" s="165">
        <v>1261</v>
      </c>
      <c r="AC1153" s="165">
        <v>1109</v>
      </c>
      <c r="AD1153" s="165">
        <v>5.35</v>
      </c>
      <c r="AE1153" s="165">
        <v>9.0500000000000007</v>
      </c>
      <c r="AF1153" s="6"/>
      <c r="AG1153" s="6"/>
      <c r="AH1153" s="6"/>
      <c r="AI1153" s="6"/>
      <c r="AJ1153" s="6"/>
      <c r="AK1153" s="6"/>
      <c r="AL1153" s="6"/>
      <c r="AM1153" s="6"/>
      <c r="AN1153" s="6"/>
      <c r="AO1153" s="6" t="s">
        <v>109</v>
      </c>
      <c r="AP1153" s="6">
        <v>8</v>
      </c>
      <c r="AQ1153" s="161" t="s">
        <v>54</v>
      </c>
      <c r="AR1153" s="7">
        <v>70</v>
      </c>
      <c r="AS1153" s="10" t="s">
        <v>151</v>
      </c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</row>
    <row r="1154" spans="1:61" ht="16.5">
      <c r="A1154" s="158">
        <v>71</v>
      </c>
      <c r="B1154" s="6"/>
      <c r="C1154" s="159">
        <f t="shared" si="38"/>
        <v>82.97</v>
      </c>
      <c r="D1154" s="159">
        <v>6.42</v>
      </c>
      <c r="E1154" s="159">
        <v>2.25</v>
      </c>
      <c r="F1154" s="159">
        <v>3.05</v>
      </c>
      <c r="G1154" s="159">
        <v>0</v>
      </c>
      <c r="H1154" s="159">
        <v>0</v>
      </c>
      <c r="I1154" s="159">
        <v>1.93</v>
      </c>
      <c r="J1154" s="159">
        <v>1.26</v>
      </c>
      <c r="K1154" s="159">
        <v>0</v>
      </c>
      <c r="L1154" s="159">
        <v>2.12</v>
      </c>
      <c r="M1154" s="74" t="str">
        <f t="array" ref="M1154">_xlfn.TEXTJOIN("-", TRUE, IF(C1154:L1154&gt;0, $C$2:$L$2, ""))</f>
        <v xml:space="preserve"> Ti-Al-Zr-Mo-Nb-Cr-Sn</v>
      </c>
      <c r="N1154" s="90">
        <f t="shared" si="35"/>
        <v>1137</v>
      </c>
      <c r="O1154" s="91">
        <f t="shared" si="39"/>
        <v>7</v>
      </c>
      <c r="P1154" s="160">
        <v>2</v>
      </c>
      <c r="Q1154" s="94">
        <v>0</v>
      </c>
      <c r="R1154" s="8">
        <v>0</v>
      </c>
      <c r="S1154" s="8">
        <v>0</v>
      </c>
      <c r="T1154" s="8">
        <v>930</v>
      </c>
      <c r="U1154" s="8">
        <v>2</v>
      </c>
      <c r="V1154" s="8">
        <v>2</v>
      </c>
      <c r="W1154" s="8">
        <v>560</v>
      </c>
      <c r="X1154" s="8">
        <v>4</v>
      </c>
      <c r="Y1154" s="8">
        <v>2</v>
      </c>
      <c r="Z1154" s="126"/>
      <c r="AA1154" s="6"/>
      <c r="AB1154" s="165">
        <v>1265</v>
      </c>
      <c r="AC1154" s="165">
        <v>1124</v>
      </c>
      <c r="AD1154" s="165">
        <v>2.94</v>
      </c>
      <c r="AE1154" s="165">
        <v>9.6199999999999992</v>
      </c>
      <c r="AF1154" s="6"/>
      <c r="AG1154" s="6"/>
      <c r="AH1154" s="6"/>
      <c r="AI1154" s="6"/>
      <c r="AJ1154" s="6"/>
      <c r="AK1154" s="6"/>
      <c r="AL1154" s="6"/>
      <c r="AM1154" s="6"/>
      <c r="AN1154" s="6"/>
      <c r="AO1154" s="6" t="s">
        <v>109</v>
      </c>
      <c r="AP1154" s="6">
        <v>8</v>
      </c>
      <c r="AQ1154" s="161" t="s">
        <v>54</v>
      </c>
      <c r="AR1154" s="7">
        <v>71</v>
      </c>
      <c r="AS1154" s="10" t="s">
        <v>151</v>
      </c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</row>
    <row r="1155" spans="1:61" ht="16.5">
      <c r="A1155" s="158">
        <v>71</v>
      </c>
      <c r="B1155" s="6"/>
      <c r="C1155" s="159">
        <f t="shared" si="38"/>
        <v>82.97</v>
      </c>
      <c r="D1155" s="159">
        <v>6.42</v>
      </c>
      <c r="E1155" s="159">
        <v>2.25</v>
      </c>
      <c r="F1155" s="159">
        <v>3.05</v>
      </c>
      <c r="G1155" s="159">
        <v>0</v>
      </c>
      <c r="H1155" s="159">
        <v>0</v>
      </c>
      <c r="I1155" s="159">
        <v>1.93</v>
      </c>
      <c r="J1155" s="159">
        <v>1.26</v>
      </c>
      <c r="K1155" s="159">
        <v>0</v>
      </c>
      <c r="L1155" s="159">
        <v>2.12</v>
      </c>
      <c r="M1155" s="74" t="str">
        <f t="array" ref="M1155">_xlfn.TEXTJOIN("-", TRUE, IF(C1155:L1155&gt;0, $C$2:$L$2, ""))</f>
        <v xml:space="preserve"> Ti-Al-Zr-Mo-Nb-Cr-Sn</v>
      </c>
      <c r="N1155" s="90">
        <f t="shared" ref="N1155:N1207" si="40">IF(COUNTIF(M$3:M$1206, M1155)&gt;1, MATCH(M1155, M:M, 0), "")</f>
        <v>1137</v>
      </c>
      <c r="O1155" s="91">
        <f t="shared" si="39"/>
        <v>7</v>
      </c>
      <c r="P1155" s="165">
        <v>2</v>
      </c>
      <c r="Q1155" s="165">
        <v>0</v>
      </c>
      <c r="R1155" s="165">
        <v>0</v>
      </c>
      <c r="S1155" s="165">
        <v>0</v>
      </c>
      <c r="T1155" s="165">
        <v>930</v>
      </c>
      <c r="U1155" s="165">
        <v>2</v>
      </c>
      <c r="V1155" s="165">
        <v>2</v>
      </c>
      <c r="W1155" s="165">
        <v>590</v>
      </c>
      <c r="X1155" s="165">
        <v>4</v>
      </c>
      <c r="Y1155" s="165">
        <v>2</v>
      </c>
      <c r="Z1155" s="126"/>
      <c r="AA1155" s="6"/>
      <c r="AB1155" s="165">
        <v>1238</v>
      </c>
      <c r="AC1155" s="165">
        <v>1095</v>
      </c>
      <c r="AD1155" s="165">
        <v>4.3600000000000003</v>
      </c>
      <c r="AE1155" s="165">
        <v>15.03</v>
      </c>
      <c r="AF1155" s="6"/>
      <c r="AG1155" s="6"/>
      <c r="AH1155" s="6"/>
      <c r="AI1155" s="6"/>
      <c r="AJ1155" s="6"/>
      <c r="AK1155" s="6"/>
      <c r="AL1155" s="6"/>
      <c r="AM1155" s="6"/>
      <c r="AN1155" s="6"/>
      <c r="AO1155" s="6" t="s">
        <v>109</v>
      </c>
      <c r="AP1155" s="6">
        <v>8</v>
      </c>
      <c r="AQ1155" s="161" t="s">
        <v>54</v>
      </c>
      <c r="AR1155" s="7">
        <v>71</v>
      </c>
      <c r="AS1155" s="10" t="s">
        <v>151</v>
      </c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</row>
    <row r="1156" spans="1:61" ht="16.5">
      <c r="A1156" s="44">
        <v>90</v>
      </c>
      <c r="B1156" s="10"/>
      <c r="C1156" s="44">
        <v>83.4</v>
      </c>
      <c r="D1156" s="44">
        <v>6</v>
      </c>
      <c r="E1156" s="44">
        <v>2</v>
      </c>
      <c r="F1156" s="44">
        <v>3</v>
      </c>
      <c r="G1156" s="44">
        <v>0</v>
      </c>
      <c r="H1156" s="44">
        <v>0</v>
      </c>
      <c r="I1156" s="44">
        <v>2</v>
      </c>
      <c r="J1156" s="44">
        <v>1.5</v>
      </c>
      <c r="K1156" s="44">
        <v>0</v>
      </c>
      <c r="L1156" s="44">
        <v>2</v>
      </c>
      <c r="M1156" s="74" t="str">
        <f t="array" ref="M1156">_xlfn.TEXTJOIN("-", TRUE, IF(C1156:L1156&gt;0, $C$2:$L$2, ""))</f>
        <v xml:space="preserve"> Ti-Al-Zr-Mo-Nb-Cr-Sn</v>
      </c>
      <c r="N1156" s="90">
        <f t="shared" si="40"/>
        <v>1137</v>
      </c>
      <c r="O1156" s="91">
        <f t="shared" si="39"/>
        <v>7</v>
      </c>
      <c r="P1156" s="10">
        <v>2</v>
      </c>
      <c r="Q1156" s="10" t="s">
        <v>81</v>
      </c>
      <c r="R1156" s="10" t="s">
        <v>81</v>
      </c>
      <c r="S1156" s="10" t="s">
        <v>81</v>
      </c>
      <c r="T1156" s="10">
        <v>850</v>
      </c>
      <c r="U1156" s="10">
        <v>1</v>
      </c>
      <c r="V1156" s="10">
        <v>2</v>
      </c>
      <c r="W1156" s="10">
        <v>600</v>
      </c>
      <c r="X1156" s="10">
        <v>4</v>
      </c>
      <c r="Y1156" s="10">
        <v>2</v>
      </c>
      <c r="Z1156" s="44"/>
      <c r="AA1156" s="10"/>
      <c r="AB1156" s="10">
        <v>1213</v>
      </c>
      <c r="AC1156" s="10">
        <v>1136</v>
      </c>
      <c r="AD1156" s="10">
        <v>10</v>
      </c>
      <c r="AE1156" s="10">
        <v>37</v>
      </c>
      <c r="AF1156" s="10"/>
      <c r="AG1156" s="10"/>
      <c r="AH1156" s="10"/>
      <c r="AI1156" s="10"/>
      <c r="AJ1156" s="10"/>
      <c r="AK1156" s="10"/>
      <c r="AL1156" s="10">
        <v>11.8</v>
      </c>
      <c r="AM1156" s="10"/>
      <c r="AN1156" s="11"/>
      <c r="AO1156" s="11" t="s">
        <v>110</v>
      </c>
      <c r="AP1156" s="10">
        <v>22</v>
      </c>
      <c r="AQ1156" s="163" t="s">
        <v>83</v>
      </c>
      <c r="AR1156" s="11" t="s">
        <v>609</v>
      </c>
      <c r="AS1156" s="10" t="s">
        <v>151</v>
      </c>
      <c r="AT1156" s="11"/>
    </row>
    <row r="1157" spans="1:61" ht="16.5">
      <c r="A1157" s="44">
        <v>91</v>
      </c>
      <c r="B1157" s="10"/>
      <c r="C1157" s="44">
        <v>83.4</v>
      </c>
      <c r="D1157" s="44">
        <v>6</v>
      </c>
      <c r="E1157" s="44">
        <v>2</v>
      </c>
      <c r="F1157" s="44">
        <v>3</v>
      </c>
      <c r="G1157" s="44">
        <v>0</v>
      </c>
      <c r="H1157" s="44">
        <v>0</v>
      </c>
      <c r="I1157" s="44">
        <v>2</v>
      </c>
      <c r="J1157" s="44">
        <v>1.5</v>
      </c>
      <c r="K1157" s="44">
        <v>0</v>
      </c>
      <c r="L1157" s="44">
        <v>2</v>
      </c>
      <c r="M1157" s="74" t="str">
        <f t="array" ref="M1157">_xlfn.TEXTJOIN("-", TRUE, IF(C1157:L1157&gt;0, $C$2:$L$2, ""))</f>
        <v xml:space="preserve"> Ti-Al-Zr-Mo-Nb-Cr-Sn</v>
      </c>
      <c r="N1157" s="90">
        <f t="shared" si="40"/>
        <v>1137</v>
      </c>
      <c r="O1157" s="91">
        <f t="shared" si="39"/>
        <v>7</v>
      </c>
      <c r="P1157" s="10">
        <v>2</v>
      </c>
      <c r="Q1157" s="10" t="s">
        <v>81</v>
      </c>
      <c r="R1157" s="10" t="s">
        <v>81</v>
      </c>
      <c r="S1157" s="10" t="s">
        <v>81</v>
      </c>
      <c r="T1157" s="10">
        <v>900</v>
      </c>
      <c r="U1157" s="10">
        <v>1</v>
      </c>
      <c r="V1157" s="10">
        <v>2</v>
      </c>
      <c r="W1157" s="10">
        <v>600</v>
      </c>
      <c r="X1157" s="10">
        <v>4</v>
      </c>
      <c r="Y1157" s="10">
        <v>2</v>
      </c>
      <c r="Z1157" s="44"/>
      <c r="AA1157" s="10"/>
      <c r="AB1157" s="10">
        <v>1340</v>
      </c>
      <c r="AC1157" s="10">
        <v>1248</v>
      </c>
      <c r="AD1157" s="10">
        <v>9</v>
      </c>
      <c r="AE1157" s="10">
        <v>33</v>
      </c>
      <c r="AF1157" s="10"/>
      <c r="AG1157" s="10"/>
      <c r="AH1157" s="10"/>
      <c r="AI1157" s="10"/>
      <c r="AJ1157" s="10"/>
      <c r="AK1157" s="10"/>
      <c r="AL1157" s="10">
        <v>12.3</v>
      </c>
      <c r="AM1157" s="10"/>
      <c r="AN1157" s="11"/>
      <c r="AO1157" s="11" t="s">
        <v>110</v>
      </c>
      <c r="AP1157" s="10">
        <v>22</v>
      </c>
      <c r="AQ1157" s="163" t="s">
        <v>83</v>
      </c>
      <c r="AR1157" s="11" t="s">
        <v>110</v>
      </c>
      <c r="AS1157" s="10" t="s">
        <v>151</v>
      </c>
      <c r="AT1157" s="11"/>
    </row>
    <row r="1158" spans="1:61" ht="16.5">
      <c r="A1158" s="44">
        <v>92</v>
      </c>
      <c r="B1158" s="10"/>
      <c r="C1158" s="44">
        <v>83.4</v>
      </c>
      <c r="D1158" s="44">
        <v>6</v>
      </c>
      <c r="E1158" s="44">
        <v>2</v>
      </c>
      <c r="F1158" s="44">
        <v>3</v>
      </c>
      <c r="G1158" s="44">
        <v>0</v>
      </c>
      <c r="H1158" s="44">
        <v>0</v>
      </c>
      <c r="I1158" s="44">
        <v>2</v>
      </c>
      <c r="J1158" s="44">
        <v>1.5</v>
      </c>
      <c r="K1158" s="44">
        <v>0</v>
      </c>
      <c r="L1158" s="44">
        <v>2</v>
      </c>
      <c r="M1158" s="74" t="str">
        <f t="array" ref="M1158">_xlfn.TEXTJOIN("-", TRUE, IF(C1158:L1158&gt;0, $C$2:$L$2, ""))</f>
        <v xml:space="preserve"> Ti-Al-Zr-Mo-Nb-Cr-Sn</v>
      </c>
      <c r="N1158" s="90">
        <f t="shared" si="40"/>
        <v>1137</v>
      </c>
      <c r="O1158" s="91">
        <f t="shared" si="39"/>
        <v>7</v>
      </c>
      <c r="P1158" s="10">
        <v>2</v>
      </c>
      <c r="Q1158" s="10" t="s">
        <v>81</v>
      </c>
      <c r="R1158" s="10" t="s">
        <v>81</v>
      </c>
      <c r="S1158" s="10" t="s">
        <v>81</v>
      </c>
      <c r="T1158" s="10">
        <v>920</v>
      </c>
      <c r="U1158" s="10">
        <v>1</v>
      </c>
      <c r="V1158" s="10">
        <v>2</v>
      </c>
      <c r="W1158" s="10">
        <v>600</v>
      </c>
      <c r="X1158" s="10">
        <v>4</v>
      </c>
      <c r="Y1158" s="10">
        <v>2</v>
      </c>
      <c r="Z1158" s="44"/>
      <c r="AA1158" s="10"/>
      <c r="AB1158" s="10">
        <v>1259</v>
      </c>
      <c r="AC1158" s="10">
        <v>1175</v>
      </c>
      <c r="AD1158" s="10">
        <v>8</v>
      </c>
      <c r="AE1158" s="10">
        <v>31</v>
      </c>
      <c r="AF1158" s="10"/>
      <c r="AG1158" s="10"/>
      <c r="AH1158" s="10"/>
      <c r="AI1158" s="10"/>
      <c r="AJ1158" s="10"/>
      <c r="AK1158" s="10"/>
      <c r="AL1158" s="10">
        <v>16.2</v>
      </c>
      <c r="AM1158" s="10"/>
      <c r="AN1158" s="11"/>
      <c r="AO1158" s="11" t="s">
        <v>110</v>
      </c>
      <c r="AP1158" s="10">
        <v>22</v>
      </c>
      <c r="AQ1158" s="163" t="s">
        <v>83</v>
      </c>
      <c r="AR1158" s="11" t="s">
        <v>110</v>
      </c>
      <c r="AS1158" s="10" t="s">
        <v>151</v>
      </c>
      <c r="AT1158" s="11"/>
    </row>
    <row r="1159" spans="1:61" ht="20.25">
      <c r="A1159" s="44">
        <v>93</v>
      </c>
      <c r="B1159" s="10"/>
      <c r="C1159" s="44">
        <v>83.4</v>
      </c>
      <c r="D1159" s="44">
        <v>6</v>
      </c>
      <c r="E1159" s="44">
        <v>2</v>
      </c>
      <c r="F1159" s="44">
        <v>3</v>
      </c>
      <c r="G1159" s="44">
        <v>0</v>
      </c>
      <c r="H1159" s="44">
        <v>0</v>
      </c>
      <c r="I1159" s="44">
        <v>2</v>
      </c>
      <c r="J1159" s="44">
        <v>1.5</v>
      </c>
      <c r="K1159" s="44">
        <v>0</v>
      </c>
      <c r="L1159" s="44">
        <v>2</v>
      </c>
      <c r="M1159" s="74" t="str">
        <f t="array" ref="M1159">_xlfn.TEXTJOIN("-", TRUE, IF(C1159:L1159&gt;0, $C$2:$L$2, ""))</f>
        <v xml:space="preserve"> Ti-Al-Zr-Mo-Nb-Cr-Sn</v>
      </c>
      <c r="N1159" s="90">
        <f t="shared" si="40"/>
        <v>1137</v>
      </c>
      <c r="O1159" s="91">
        <f t="shared" si="39"/>
        <v>7</v>
      </c>
      <c r="P1159" s="10">
        <v>2</v>
      </c>
      <c r="Q1159" s="10" t="s">
        <v>81</v>
      </c>
      <c r="R1159" s="10" t="s">
        <v>81</v>
      </c>
      <c r="S1159" s="10" t="s">
        <v>81</v>
      </c>
      <c r="T1159" s="10">
        <v>920</v>
      </c>
      <c r="U1159" s="10">
        <v>1</v>
      </c>
      <c r="V1159" s="166" t="s">
        <v>474</v>
      </c>
      <c r="W1159" s="10">
        <v>0</v>
      </c>
      <c r="X1159" s="10">
        <v>0</v>
      </c>
      <c r="Y1159" s="10">
        <v>0</v>
      </c>
      <c r="Z1159" s="44"/>
      <c r="AA1159" s="10"/>
      <c r="AB1159" s="10">
        <v>1018</v>
      </c>
      <c r="AC1159" s="10">
        <v>943</v>
      </c>
      <c r="AD1159" s="10">
        <v>20</v>
      </c>
      <c r="AE1159" s="10">
        <v>55</v>
      </c>
      <c r="AF1159" s="10"/>
      <c r="AG1159" s="10"/>
      <c r="AH1159" s="10"/>
      <c r="AI1159" s="10"/>
      <c r="AJ1159" s="10"/>
      <c r="AK1159" s="10"/>
      <c r="AL1159" s="10">
        <v>34.5</v>
      </c>
      <c r="AM1159" s="10"/>
      <c r="AN1159" s="11"/>
      <c r="AO1159" s="11" t="s">
        <v>110</v>
      </c>
      <c r="AP1159" s="10">
        <v>22</v>
      </c>
      <c r="AQ1159" s="163" t="s">
        <v>83</v>
      </c>
      <c r="AR1159" s="11" t="s">
        <v>110</v>
      </c>
      <c r="AS1159" s="10" t="s">
        <v>151</v>
      </c>
      <c r="AT1159" s="11"/>
    </row>
    <row r="1160" spans="1:61" ht="16.5">
      <c r="A1160" s="44">
        <v>94</v>
      </c>
      <c r="B1160" s="10"/>
      <c r="C1160" s="44">
        <v>83.4</v>
      </c>
      <c r="D1160" s="44">
        <v>6</v>
      </c>
      <c r="E1160" s="44">
        <v>2</v>
      </c>
      <c r="F1160" s="44">
        <v>3</v>
      </c>
      <c r="G1160" s="44">
        <v>0</v>
      </c>
      <c r="H1160" s="44">
        <v>0</v>
      </c>
      <c r="I1160" s="44">
        <v>2</v>
      </c>
      <c r="J1160" s="44">
        <v>1.5</v>
      </c>
      <c r="K1160" s="44">
        <v>0</v>
      </c>
      <c r="L1160" s="44">
        <v>2</v>
      </c>
      <c r="M1160" s="74" t="str">
        <f t="array" ref="M1160">_xlfn.TEXTJOIN("-", TRUE, IF(C1160:L1160&gt;0, $C$2:$L$2, ""))</f>
        <v xml:space="preserve"> Ti-Al-Zr-Mo-Nb-Cr-Sn</v>
      </c>
      <c r="N1160" s="90">
        <f t="shared" si="40"/>
        <v>1137</v>
      </c>
      <c r="O1160" s="91">
        <f t="shared" si="39"/>
        <v>7</v>
      </c>
      <c r="P1160" s="10">
        <v>2</v>
      </c>
      <c r="Q1160" s="10" t="s">
        <v>81</v>
      </c>
      <c r="R1160" s="10" t="s">
        <v>81</v>
      </c>
      <c r="S1160" s="10" t="s">
        <v>81</v>
      </c>
      <c r="T1160" s="10">
        <v>970</v>
      </c>
      <c r="U1160" s="10">
        <v>1</v>
      </c>
      <c r="V1160" s="10">
        <v>2</v>
      </c>
      <c r="W1160" s="10">
        <v>600</v>
      </c>
      <c r="X1160" s="10">
        <v>4</v>
      </c>
      <c r="Y1160" s="10">
        <v>2</v>
      </c>
      <c r="Z1160" s="44"/>
      <c r="AA1160" s="10"/>
      <c r="AB1160" s="10">
        <v>1318</v>
      </c>
      <c r="AC1160" s="10">
        <v>1299</v>
      </c>
      <c r="AD1160" s="10">
        <v>1</v>
      </c>
      <c r="AE1160" s="10">
        <v>3</v>
      </c>
      <c r="AF1160" s="10"/>
      <c r="AG1160" s="10"/>
      <c r="AH1160" s="10"/>
      <c r="AI1160" s="10"/>
      <c r="AJ1160" s="10"/>
      <c r="AK1160" s="10"/>
      <c r="AL1160" s="10">
        <v>9.5</v>
      </c>
      <c r="AM1160" s="10"/>
      <c r="AN1160" s="11"/>
      <c r="AO1160" s="11" t="s">
        <v>110</v>
      </c>
      <c r="AP1160" s="10">
        <v>22</v>
      </c>
      <c r="AQ1160" s="163" t="s">
        <v>83</v>
      </c>
      <c r="AR1160" s="11" t="s">
        <v>110</v>
      </c>
      <c r="AS1160" s="10" t="s">
        <v>151</v>
      </c>
      <c r="AT1160" s="11"/>
    </row>
    <row r="1161" spans="1:61" ht="20.25">
      <c r="A1161" s="44">
        <v>95</v>
      </c>
      <c r="B1161" s="10"/>
      <c r="C1161" s="44">
        <v>83.4</v>
      </c>
      <c r="D1161" s="44">
        <v>6</v>
      </c>
      <c r="E1161" s="44">
        <v>2</v>
      </c>
      <c r="F1161" s="44">
        <v>3</v>
      </c>
      <c r="G1161" s="44">
        <v>0</v>
      </c>
      <c r="H1161" s="44">
        <v>0</v>
      </c>
      <c r="I1161" s="44">
        <v>2</v>
      </c>
      <c r="J1161" s="44">
        <v>1.5</v>
      </c>
      <c r="K1161" s="44">
        <v>0</v>
      </c>
      <c r="L1161" s="44">
        <v>2</v>
      </c>
      <c r="M1161" s="74" t="str">
        <f t="array" ref="M1161">_xlfn.TEXTJOIN("-", TRUE, IF(C1161:L1161&gt;0, $C$2:$L$2, ""))</f>
        <v xml:space="preserve"> Ti-Al-Zr-Mo-Nb-Cr-Sn</v>
      </c>
      <c r="N1161" s="90">
        <f t="shared" si="40"/>
        <v>1137</v>
      </c>
      <c r="O1161" s="91">
        <f t="shared" si="39"/>
        <v>7</v>
      </c>
      <c r="P1161" s="10">
        <v>2</v>
      </c>
      <c r="Q1161" s="10" t="s">
        <v>81</v>
      </c>
      <c r="R1161" s="10" t="s">
        <v>81</v>
      </c>
      <c r="S1161" s="10" t="s">
        <v>81</v>
      </c>
      <c r="T1161" s="10">
        <v>970</v>
      </c>
      <c r="U1161" s="10">
        <v>1</v>
      </c>
      <c r="V1161" s="166" t="s">
        <v>474</v>
      </c>
      <c r="W1161" s="10">
        <v>600</v>
      </c>
      <c r="X1161" s="10">
        <v>4</v>
      </c>
      <c r="Y1161" s="10">
        <v>2</v>
      </c>
      <c r="Z1161" s="44"/>
      <c r="AA1161" s="10"/>
      <c r="AB1161" s="10">
        <v>1064</v>
      </c>
      <c r="AC1161" s="10">
        <v>938</v>
      </c>
      <c r="AD1161" s="10">
        <v>9</v>
      </c>
      <c r="AE1161" s="10">
        <v>19</v>
      </c>
      <c r="AF1161" s="10"/>
      <c r="AG1161" s="10"/>
      <c r="AH1161" s="10"/>
      <c r="AI1161" s="10"/>
      <c r="AJ1161" s="10"/>
      <c r="AK1161" s="10"/>
      <c r="AL1161" s="10">
        <v>28.6</v>
      </c>
      <c r="AM1161" s="10"/>
      <c r="AN1161" s="11"/>
      <c r="AO1161" s="11" t="s">
        <v>110</v>
      </c>
      <c r="AP1161" s="10">
        <v>22</v>
      </c>
      <c r="AQ1161" s="163" t="s">
        <v>83</v>
      </c>
      <c r="AR1161" s="11" t="s">
        <v>110</v>
      </c>
      <c r="AS1161" s="10" t="s">
        <v>151</v>
      </c>
      <c r="AT1161" s="11"/>
    </row>
    <row r="1162" spans="1:61" ht="20.25">
      <c r="A1162" s="44">
        <v>96</v>
      </c>
      <c r="B1162" s="10"/>
      <c r="C1162" s="44">
        <v>83.4</v>
      </c>
      <c r="D1162" s="44">
        <v>6</v>
      </c>
      <c r="E1162" s="44">
        <v>2</v>
      </c>
      <c r="F1162" s="44">
        <v>3</v>
      </c>
      <c r="G1162" s="44">
        <v>0</v>
      </c>
      <c r="H1162" s="44">
        <v>0</v>
      </c>
      <c r="I1162" s="44">
        <v>2</v>
      </c>
      <c r="J1162" s="44">
        <v>1.5</v>
      </c>
      <c r="K1162" s="44">
        <v>0</v>
      </c>
      <c r="L1162" s="44">
        <v>2</v>
      </c>
      <c r="M1162" s="74" t="str">
        <f t="array" ref="M1162">_xlfn.TEXTJOIN("-", TRUE, IF(C1162:L1162&gt;0, $C$2:$L$2, ""))</f>
        <v xml:space="preserve"> Ti-Al-Zr-Mo-Nb-Cr-Sn</v>
      </c>
      <c r="N1162" s="90">
        <f t="shared" si="40"/>
        <v>1137</v>
      </c>
      <c r="O1162" s="91">
        <f t="shared" si="39"/>
        <v>7</v>
      </c>
      <c r="P1162" s="10">
        <v>2</v>
      </c>
      <c r="Q1162" s="10" t="s">
        <v>81</v>
      </c>
      <c r="R1162" s="10" t="s">
        <v>81</v>
      </c>
      <c r="S1162" s="10" t="s">
        <v>81</v>
      </c>
      <c r="T1162" s="10">
        <v>970</v>
      </c>
      <c r="U1162" s="10">
        <v>1</v>
      </c>
      <c r="V1162" s="166" t="s">
        <v>474</v>
      </c>
      <c r="W1162" s="10">
        <v>0</v>
      </c>
      <c r="X1162" s="10">
        <v>0</v>
      </c>
      <c r="Y1162" s="10">
        <v>0</v>
      </c>
      <c r="Z1162" s="44"/>
      <c r="AA1162" s="10"/>
      <c r="AB1162" s="10">
        <v>1059</v>
      </c>
      <c r="AC1162" s="10">
        <v>950</v>
      </c>
      <c r="AD1162" s="10">
        <v>10</v>
      </c>
      <c r="AE1162" s="10">
        <v>19</v>
      </c>
      <c r="AF1162" s="10"/>
      <c r="AG1162" s="10"/>
      <c r="AH1162" s="10"/>
      <c r="AI1162" s="10"/>
      <c r="AJ1162" s="10"/>
      <c r="AK1162" s="10"/>
      <c r="AL1162" s="10">
        <v>34.1</v>
      </c>
      <c r="AM1162" s="10"/>
      <c r="AN1162" s="11"/>
      <c r="AO1162" s="11" t="s">
        <v>110</v>
      </c>
      <c r="AP1162" s="10">
        <v>22</v>
      </c>
      <c r="AQ1162" s="163" t="s">
        <v>83</v>
      </c>
      <c r="AR1162" s="11" t="s">
        <v>110</v>
      </c>
      <c r="AS1162" s="10" t="s">
        <v>151</v>
      </c>
      <c r="AT1162" s="11"/>
    </row>
    <row r="1163" spans="1:61" ht="16.5">
      <c r="A1163" s="111">
        <v>303</v>
      </c>
      <c r="B1163" s="93" t="s">
        <v>101</v>
      </c>
      <c r="C1163" s="111">
        <v>82.817999999999998</v>
      </c>
      <c r="D1163" s="111">
        <v>6.28</v>
      </c>
      <c r="E1163" s="111">
        <v>2.1800000000000002</v>
      </c>
      <c r="F1163" s="111">
        <v>3.06</v>
      </c>
      <c r="G1163" s="111">
        <v>0</v>
      </c>
      <c r="H1163" s="111">
        <v>0</v>
      </c>
      <c r="I1163" s="111">
        <v>1.89</v>
      </c>
      <c r="J1163" s="111">
        <v>1.61</v>
      </c>
      <c r="K1163" s="111">
        <v>0</v>
      </c>
      <c r="L1163" s="111">
        <v>2.04</v>
      </c>
      <c r="M1163" s="74" t="str">
        <f t="array" ref="M1163">_xlfn.TEXTJOIN("-", TRUE, IF(C1163:L1163&gt;0, $C$2:$L$2, ""))</f>
        <v xml:space="preserve"> Ti-Al-Zr-Mo-Nb-Cr-Sn</v>
      </c>
      <c r="N1163" s="90">
        <f t="shared" si="40"/>
        <v>1137</v>
      </c>
      <c r="O1163" s="91">
        <f t="shared" si="39"/>
        <v>7</v>
      </c>
      <c r="P1163" s="93">
        <v>1</v>
      </c>
      <c r="Q1163" s="93">
        <v>0</v>
      </c>
      <c r="R1163" s="93">
        <v>0</v>
      </c>
      <c r="S1163" s="93">
        <v>0</v>
      </c>
      <c r="T1163" s="94">
        <v>800</v>
      </c>
      <c r="U1163" s="94">
        <v>1</v>
      </c>
      <c r="V1163" s="8">
        <v>2</v>
      </c>
      <c r="W1163" s="94">
        <v>0</v>
      </c>
      <c r="X1163" s="94">
        <v>0</v>
      </c>
      <c r="Y1163" s="103">
        <v>0</v>
      </c>
      <c r="Z1163" s="18" t="s">
        <v>102</v>
      </c>
      <c r="AA1163" s="9" t="s">
        <v>102</v>
      </c>
      <c r="AB1163" s="93">
        <v>1184</v>
      </c>
      <c r="AC1163" s="93">
        <v>1010</v>
      </c>
      <c r="AD1163" s="93">
        <v>19</v>
      </c>
      <c r="AE1163" s="9" t="s">
        <v>101</v>
      </c>
      <c r="AF1163" s="9" t="s">
        <v>102</v>
      </c>
      <c r="AG1163" s="9" t="s">
        <v>102</v>
      </c>
      <c r="AH1163" s="9" t="s">
        <v>102</v>
      </c>
      <c r="AI1163" s="9" t="s">
        <v>102</v>
      </c>
      <c r="AJ1163" s="9" t="s">
        <v>102</v>
      </c>
      <c r="AK1163" s="9" t="s">
        <v>102</v>
      </c>
      <c r="AL1163" s="9" t="s">
        <v>102</v>
      </c>
      <c r="AN1163" s="12" t="s">
        <v>101</v>
      </c>
      <c r="AO1163" s="12" t="s">
        <v>103</v>
      </c>
      <c r="AP1163" s="94">
        <v>303</v>
      </c>
      <c r="AQ1163" s="157" t="s">
        <v>100</v>
      </c>
      <c r="AR1163" s="93">
        <v>303</v>
      </c>
    </row>
    <row r="1164" spans="1:61" ht="16.5">
      <c r="A1164" s="111">
        <v>304</v>
      </c>
      <c r="B1164" s="93" t="s">
        <v>101</v>
      </c>
      <c r="C1164" s="111">
        <v>82.817999999999998</v>
      </c>
      <c r="D1164" s="111">
        <v>6.28</v>
      </c>
      <c r="E1164" s="111">
        <v>2.1800000000000002</v>
      </c>
      <c r="F1164" s="111">
        <v>3.06</v>
      </c>
      <c r="G1164" s="111">
        <v>0</v>
      </c>
      <c r="H1164" s="111">
        <v>0</v>
      </c>
      <c r="I1164" s="111">
        <v>1.89</v>
      </c>
      <c r="J1164" s="111">
        <v>1.61</v>
      </c>
      <c r="K1164" s="111">
        <v>0</v>
      </c>
      <c r="L1164" s="111">
        <v>2.04</v>
      </c>
      <c r="M1164" s="74" t="str">
        <f t="array" ref="M1164">_xlfn.TEXTJOIN("-", TRUE, IF(C1164:L1164&gt;0, $C$2:$L$2, ""))</f>
        <v xml:space="preserve"> Ti-Al-Zr-Mo-Nb-Cr-Sn</v>
      </c>
      <c r="N1164" s="90">
        <f t="shared" si="40"/>
        <v>1137</v>
      </c>
      <c r="O1164" s="91">
        <f t="shared" si="39"/>
        <v>7</v>
      </c>
      <c r="P1164" s="93">
        <v>1</v>
      </c>
      <c r="Q1164" s="93">
        <v>0</v>
      </c>
      <c r="R1164" s="93">
        <v>0</v>
      </c>
      <c r="S1164" s="93">
        <v>0</v>
      </c>
      <c r="T1164" s="94">
        <v>800</v>
      </c>
      <c r="U1164" s="94">
        <v>3</v>
      </c>
      <c r="V1164" s="8">
        <v>2</v>
      </c>
      <c r="W1164" s="94">
        <v>0</v>
      </c>
      <c r="X1164" s="94">
        <v>0</v>
      </c>
      <c r="Y1164" s="103">
        <v>0</v>
      </c>
      <c r="Z1164" s="18" t="s">
        <v>102</v>
      </c>
      <c r="AA1164" s="9" t="s">
        <v>102</v>
      </c>
      <c r="AB1164" s="93">
        <v>1177</v>
      </c>
      <c r="AC1164" s="93">
        <v>1002</v>
      </c>
      <c r="AD1164" s="93">
        <v>19.3</v>
      </c>
      <c r="AE1164" s="9" t="s">
        <v>101</v>
      </c>
      <c r="AF1164" s="9" t="s">
        <v>102</v>
      </c>
      <c r="AG1164" s="9" t="s">
        <v>102</v>
      </c>
      <c r="AH1164" s="9" t="s">
        <v>102</v>
      </c>
      <c r="AI1164" s="9" t="s">
        <v>102</v>
      </c>
      <c r="AJ1164" s="9" t="s">
        <v>102</v>
      </c>
      <c r="AK1164" s="9" t="s">
        <v>102</v>
      </c>
      <c r="AL1164" s="9" t="s">
        <v>102</v>
      </c>
      <c r="AN1164" s="12" t="s">
        <v>101</v>
      </c>
      <c r="AO1164" s="12" t="s">
        <v>103</v>
      </c>
      <c r="AP1164" s="94">
        <v>304</v>
      </c>
      <c r="AQ1164" s="157" t="s">
        <v>100</v>
      </c>
      <c r="AR1164" s="93">
        <v>304</v>
      </c>
    </row>
    <row r="1165" spans="1:61" ht="16.5">
      <c r="A1165" s="111">
        <v>305</v>
      </c>
      <c r="B1165" s="93" t="s">
        <v>101</v>
      </c>
      <c r="C1165" s="111">
        <v>82.817999999999998</v>
      </c>
      <c r="D1165" s="111">
        <v>6.28</v>
      </c>
      <c r="E1165" s="111">
        <v>2.1800000000000002</v>
      </c>
      <c r="F1165" s="111">
        <v>3.06</v>
      </c>
      <c r="G1165" s="111">
        <v>0</v>
      </c>
      <c r="H1165" s="111">
        <v>0</v>
      </c>
      <c r="I1165" s="111">
        <v>1.89</v>
      </c>
      <c r="J1165" s="111">
        <v>1.61</v>
      </c>
      <c r="K1165" s="111">
        <v>0</v>
      </c>
      <c r="L1165" s="111">
        <v>2.04</v>
      </c>
      <c r="M1165" s="74" t="str">
        <f t="array" ref="M1165">_xlfn.TEXTJOIN("-", TRUE, IF(C1165:L1165&gt;0, $C$2:$L$2, ""))</f>
        <v xml:space="preserve"> Ti-Al-Zr-Mo-Nb-Cr-Sn</v>
      </c>
      <c r="N1165" s="90">
        <f t="shared" si="40"/>
        <v>1137</v>
      </c>
      <c r="O1165" s="91">
        <f t="shared" si="39"/>
        <v>7</v>
      </c>
      <c r="P1165" s="93">
        <v>1</v>
      </c>
      <c r="Q1165" s="93">
        <v>0</v>
      </c>
      <c r="R1165" s="93">
        <v>0</v>
      </c>
      <c r="S1165" s="93">
        <v>0</v>
      </c>
      <c r="T1165" s="94">
        <v>800</v>
      </c>
      <c r="U1165" s="94">
        <v>6</v>
      </c>
      <c r="V1165" s="8">
        <v>2</v>
      </c>
      <c r="W1165" s="94">
        <v>0</v>
      </c>
      <c r="X1165" s="94">
        <v>0</v>
      </c>
      <c r="Y1165" s="103">
        <v>0</v>
      </c>
      <c r="Z1165" s="18" t="s">
        <v>102</v>
      </c>
      <c r="AA1165" s="9" t="s">
        <v>102</v>
      </c>
      <c r="AB1165" s="93">
        <v>1156</v>
      </c>
      <c r="AC1165" s="93">
        <v>990</v>
      </c>
      <c r="AD1165" s="93">
        <v>20.100000000000001</v>
      </c>
      <c r="AE1165" s="9" t="s">
        <v>101</v>
      </c>
      <c r="AF1165" s="9" t="s">
        <v>102</v>
      </c>
      <c r="AG1165" s="9" t="s">
        <v>102</v>
      </c>
      <c r="AH1165" s="9" t="s">
        <v>102</v>
      </c>
      <c r="AI1165" s="9" t="s">
        <v>102</v>
      </c>
      <c r="AJ1165" s="9" t="s">
        <v>102</v>
      </c>
      <c r="AK1165" s="9" t="s">
        <v>102</v>
      </c>
      <c r="AL1165" s="9" t="s">
        <v>102</v>
      </c>
      <c r="AN1165" s="12" t="s">
        <v>101</v>
      </c>
      <c r="AO1165" s="12" t="s">
        <v>103</v>
      </c>
      <c r="AP1165" s="94">
        <v>305</v>
      </c>
      <c r="AQ1165" s="157" t="s">
        <v>100</v>
      </c>
      <c r="AR1165" s="93">
        <v>305</v>
      </c>
    </row>
    <row r="1166" spans="1:61" ht="16.5">
      <c r="A1166" s="111">
        <v>306</v>
      </c>
      <c r="B1166" s="93" t="s">
        <v>101</v>
      </c>
      <c r="C1166" s="111">
        <v>82.817999999999998</v>
      </c>
      <c r="D1166" s="111">
        <v>6.28</v>
      </c>
      <c r="E1166" s="111">
        <v>2.1800000000000002</v>
      </c>
      <c r="F1166" s="111">
        <v>3.06</v>
      </c>
      <c r="G1166" s="111">
        <v>0</v>
      </c>
      <c r="H1166" s="111">
        <v>0</v>
      </c>
      <c r="I1166" s="111">
        <v>1.89</v>
      </c>
      <c r="J1166" s="111">
        <v>1.61</v>
      </c>
      <c r="K1166" s="111">
        <v>0</v>
      </c>
      <c r="L1166" s="111">
        <v>2.04</v>
      </c>
      <c r="M1166" s="74" t="str">
        <f t="array" ref="M1166">_xlfn.TEXTJOIN("-", TRUE, IF(C1166:L1166&gt;0, $C$2:$L$2, ""))</f>
        <v xml:space="preserve"> Ti-Al-Zr-Mo-Nb-Cr-Sn</v>
      </c>
      <c r="N1166" s="90">
        <f t="shared" si="40"/>
        <v>1137</v>
      </c>
      <c r="O1166" s="91">
        <f t="shared" si="39"/>
        <v>7</v>
      </c>
      <c r="P1166" s="93">
        <v>1</v>
      </c>
      <c r="Q1166" s="93">
        <v>0</v>
      </c>
      <c r="R1166" s="93">
        <v>0</v>
      </c>
      <c r="S1166" s="93">
        <v>0</v>
      </c>
      <c r="T1166" s="94">
        <v>880</v>
      </c>
      <c r="U1166" s="94">
        <v>1</v>
      </c>
      <c r="V1166" s="8">
        <v>2</v>
      </c>
      <c r="W1166" s="94">
        <v>0</v>
      </c>
      <c r="X1166" s="94">
        <v>0</v>
      </c>
      <c r="Y1166" s="103">
        <v>0</v>
      </c>
      <c r="Z1166" s="18" t="s">
        <v>102</v>
      </c>
      <c r="AA1166" s="9" t="s">
        <v>102</v>
      </c>
      <c r="AB1166" s="93">
        <v>1340</v>
      </c>
      <c r="AC1166" s="93">
        <v>695</v>
      </c>
      <c r="AD1166" s="93">
        <v>20.3</v>
      </c>
      <c r="AE1166" s="9" t="s">
        <v>101</v>
      </c>
      <c r="AF1166" s="9" t="s">
        <v>102</v>
      </c>
      <c r="AG1166" s="9" t="s">
        <v>102</v>
      </c>
      <c r="AH1166" s="9" t="s">
        <v>102</v>
      </c>
      <c r="AI1166" s="9" t="s">
        <v>102</v>
      </c>
      <c r="AJ1166" s="9" t="s">
        <v>102</v>
      </c>
      <c r="AK1166" s="9" t="s">
        <v>102</v>
      </c>
      <c r="AL1166" s="9" t="s">
        <v>102</v>
      </c>
      <c r="AN1166" s="12" t="s">
        <v>101</v>
      </c>
      <c r="AO1166" s="12" t="s">
        <v>103</v>
      </c>
      <c r="AP1166" s="94">
        <v>306</v>
      </c>
      <c r="AQ1166" s="157" t="s">
        <v>100</v>
      </c>
      <c r="AR1166" s="93">
        <v>306</v>
      </c>
    </row>
    <row r="1167" spans="1:61" ht="16.5">
      <c r="A1167" s="111">
        <v>307</v>
      </c>
      <c r="B1167" s="93" t="s">
        <v>101</v>
      </c>
      <c r="C1167" s="111">
        <v>82.817999999999998</v>
      </c>
      <c r="D1167" s="111">
        <v>6.28</v>
      </c>
      <c r="E1167" s="111">
        <v>2.1800000000000002</v>
      </c>
      <c r="F1167" s="111">
        <v>3.06</v>
      </c>
      <c r="G1167" s="111">
        <v>0</v>
      </c>
      <c r="H1167" s="111">
        <v>0</v>
      </c>
      <c r="I1167" s="111">
        <v>1.89</v>
      </c>
      <c r="J1167" s="111">
        <v>1.61</v>
      </c>
      <c r="K1167" s="111">
        <v>0</v>
      </c>
      <c r="L1167" s="111">
        <v>2.04</v>
      </c>
      <c r="M1167" s="74" t="str">
        <f t="array" ref="M1167">_xlfn.TEXTJOIN("-", TRUE, IF(C1167:L1167&gt;0, $C$2:$L$2, ""))</f>
        <v xml:space="preserve"> Ti-Al-Zr-Mo-Nb-Cr-Sn</v>
      </c>
      <c r="N1167" s="90">
        <f t="shared" si="40"/>
        <v>1137</v>
      </c>
      <c r="O1167" s="91">
        <f t="shared" si="39"/>
        <v>7</v>
      </c>
      <c r="P1167" s="93">
        <v>1</v>
      </c>
      <c r="Q1167" s="93">
        <v>0</v>
      </c>
      <c r="R1167" s="93">
        <v>0</v>
      </c>
      <c r="S1167" s="93">
        <v>0</v>
      </c>
      <c r="T1167" s="94">
        <v>880</v>
      </c>
      <c r="U1167" s="94">
        <v>3</v>
      </c>
      <c r="V1167" s="8">
        <v>2</v>
      </c>
      <c r="W1167" s="94">
        <v>0</v>
      </c>
      <c r="X1167" s="94">
        <v>0</v>
      </c>
      <c r="Y1167" s="103">
        <v>0</v>
      </c>
      <c r="Z1167" s="18" t="s">
        <v>102</v>
      </c>
      <c r="AA1167" s="9" t="s">
        <v>102</v>
      </c>
      <c r="AB1167" s="93">
        <v>1333</v>
      </c>
      <c r="AC1167" s="93">
        <v>674</v>
      </c>
      <c r="AD1167" s="93">
        <v>20.399999999999999</v>
      </c>
      <c r="AE1167" s="9" t="s">
        <v>101</v>
      </c>
      <c r="AF1167" s="9" t="s">
        <v>102</v>
      </c>
      <c r="AG1167" s="9" t="s">
        <v>102</v>
      </c>
      <c r="AH1167" s="9" t="s">
        <v>102</v>
      </c>
      <c r="AI1167" s="9" t="s">
        <v>102</v>
      </c>
      <c r="AJ1167" s="9" t="s">
        <v>102</v>
      </c>
      <c r="AK1167" s="9" t="s">
        <v>102</v>
      </c>
      <c r="AL1167" s="9" t="s">
        <v>102</v>
      </c>
      <c r="AN1167" s="12" t="s">
        <v>101</v>
      </c>
      <c r="AO1167" s="12" t="s">
        <v>103</v>
      </c>
      <c r="AP1167" s="94">
        <v>307</v>
      </c>
      <c r="AQ1167" s="157" t="s">
        <v>100</v>
      </c>
      <c r="AR1167" s="93">
        <v>307</v>
      </c>
    </row>
    <row r="1168" spans="1:61" ht="16.5">
      <c r="A1168" s="111">
        <v>308</v>
      </c>
      <c r="B1168" s="93" t="s">
        <v>101</v>
      </c>
      <c r="C1168" s="111">
        <v>82.817999999999998</v>
      </c>
      <c r="D1168" s="93">
        <v>6.28</v>
      </c>
      <c r="E1168" s="111">
        <v>2.1800000000000002</v>
      </c>
      <c r="F1168" s="111">
        <v>3.06</v>
      </c>
      <c r="G1168" s="93">
        <v>0</v>
      </c>
      <c r="H1168" s="111">
        <v>0</v>
      </c>
      <c r="I1168" s="111">
        <v>1.89</v>
      </c>
      <c r="J1168" s="93">
        <v>1.61</v>
      </c>
      <c r="K1168" s="93">
        <v>0</v>
      </c>
      <c r="L1168" s="111">
        <v>2.04</v>
      </c>
      <c r="M1168" s="74" t="str">
        <f t="array" ref="M1168">_xlfn.TEXTJOIN("-", TRUE, IF(C1168:L1168&gt;0, $C$2:$L$2, ""))</f>
        <v xml:space="preserve"> Ti-Al-Zr-Mo-Nb-Cr-Sn</v>
      </c>
      <c r="N1168" s="90">
        <f t="shared" si="40"/>
        <v>1137</v>
      </c>
      <c r="O1168" s="91">
        <f t="shared" si="39"/>
        <v>7</v>
      </c>
      <c r="P1168" s="93">
        <v>1</v>
      </c>
      <c r="Q1168" s="93">
        <v>0</v>
      </c>
      <c r="R1168" s="93">
        <v>0</v>
      </c>
      <c r="S1168" s="93">
        <v>0</v>
      </c>
      <c r="T1168" s="94">
        <v>880</v>
      </c>
      <c r="U1168" s="94">
        <v>6</v>
      </c>
      <c r="V1168" s="8">
        <v>2</v>
      </c>
      <c r="W1168" s="94">
        <v>0</v>
      </c>
      <c r="X1168" s="94">
        <v>0</v>
      </c>
      <c r="Y1168" s="103">
        <v>0</v>
      </c>
      <c r="Z1168" s="18" t="s">
        <v>102</v>
      </c>
      <c r="AA1168" s="9" t="s">
        <v>102</v>
      </c>
      <c r="AB1168" s="93">
        <v>1317</v>
      </c>
      <c r="AC1168" s="93">
        <v>656</v>
      </c>
      <c r="AD1168" s="93">
        <v>20.7</v>
      </c>
      <c r="AE1168" s="9" t="s">
        <v>101</v>
      </c>
      <c r="AF1168" s="9" t="s">
        <v>102</v>
      </c>
      <c r="AG1168" s="9" t="s">
        <v>102</v>
      </c>
      <c r="AH1168" s="9" t="s">
        <v>102</v>
      </c>
      <c r="AI1168" s="9" t="s">
        <v>102</v>
      </c>
      <c r="AJ1168" s="9" t="s">
        <v>102</v>
      </c>
      <c r="AK1168" s="9" t="s">
        <v>102</v>
      </c>
      <c r="AL1168" s="9" t="s">
        <v>102</v>
      </c>
      <c r="AN1168" s="12" t="s">
        <v>101</v>
      </c>
      <c r="AO1168" s="12" t="s">
        <v>103</v>
      </c>
      <c r="AP1168" s="94">
        <v>308</v>
      </c>
      <c r="AQ1168" s="157" t="s">
        <v>100</v>
      </c>
      <c r="AR1168" s="93">
        <v>308</v>
      </c>
    </row>
    <row r="1169" spans="1:46" ht="16.5">
      <c r="A1169" s="111">
        <v>309</v>
      </c>
      <c r="B1169" s="93" t="s">
        <v>101</v>
      </c>
      <c r="C1169" s="111">
        <v>82.817999999999998</v>
      </c>
      <c r="D1169" s="93">
        <v>6.28</v>
      </c>
      <c r="E1169" s="111">
        <v>2.1800000000000002</v>
      </c>
      <c r="F1169" s="111">
        <v>3.06</v>
      </c>
      <c r="G1169" s="93">
        <v>0</v>
      </c>
      <c r="H1169" s="111">
        <v>0</v>
      </c>
      <c r="I1169" s="111">
        <v>1.89</v>
      </c>
      <c r="J1169" s="93">
        <v>1.61</v>
      </c>
      <c r="K1169" s="93">
        <v>0</v>
      </c>
      <c r="L1169" s="111">
        <v>2.04</v>
      </c>
      <c r="M1169" s="74" t="str">
        <f t="array" ref="M1169">_xlfn.TEXTJOIN("-", TRUE, IF(C1169:L1169&gt;0, $C$2:$L$2, ""))</f>
        <v xml:space="preserve"> Ti-Al-Zr-Mo-Nb-Cr-Sn</v>
      </c>
      <c r="N1169" s="90">
        <f t="shared" si="40"/>
        <v>1137</v>
      </c>
      <c r="O1169" s="91">
        <f t="shared" si="39"/>
        <v>7</v>
      </c>
      <c r="P1169" s="93">
        <v>1</v>
      </c>
      <c r="Q1169" s="93">
        <v>0</v>
      </c>
      <c r="R1169" s="93">
        <v>0</v>
      </c>
      <c r="S1169" s="93">
        <v>0</v>
      </c>
      <c r="T1169" s="94">
        <v>920</v>
      </c>
      <c r="U1169" s="94">
        <v>1</v>
      </c>
      <c r="V1169" s="8">
        <v>2</v>
      </c>
      <c r="W1169" s="94">
        <v>0</v>
      </c>
      <c r="X1169" s="94">
        <v>0</v>
      </c>
      <c r="Y1169" s="103">
        <v>0</v>
      </c>
      <c r="Z1169" s="18" t="s">
        <v>102</v>
      </c>
      <c r="AA1169" s="9" t="s">
        <v>102</v>
      </c>
      <c r="AB1169" s="93">
        <v>1582</v>
      </c>
      <c r="AC1169" s="93">
        <v>1126</v>
      </c>
      <c r="AD1169" s="93">
        <v>10.1</v>
      </c>
      <c r="AE1169" s="9" t="s">
        <v>101</v>
      </c>
      <c r="AF1169" s="9" t="s">
        <v>102</v>
      </c>
      <c r="AG1169" s="9" t="s">
        <v>102</v>
      </c>
      <c r="AH1169" s="9" t="s">
        <v>102</v>
      </c>
      <c r="AI1169" s="9" t="s">
        <v>102</v>
      </c>
      <c r="AJ1169" s="9" t="s">
        <v>102</v>
      </c>
      <c r="AK1169" s="9" t="s">
        <v>102</v>
      </c>
      <c r="AL1169" s="9" t="s">
        <v>102</v>
      </c>
      <c r="AN1169" s="12" t="s">
        <v>101</v>
      </c>
      <c r="AO1169" s="12" t="s">
        <v>103</v>
      </c>
      <c r="AP1169" s="94">
        <v>309</v>
      </c>
      <c r="AQ1169" s="157" t="s">
        <v>100</v>
      </c>
      <c r="AR1169" s="93">
        <v>309</v>
      </c>
    </row>
    <row r="1170" spans="1:46" ht="16.5">
      <c r="A1170" s="111">
        <v>310</v>
      </c>
      <c r="B1170" s="93" t="s">
        <v>101</v>
      </c>
      <c r="C1170" s="111">
        <v>82.817999999999998</v>
      </c>
      <c r="D1170" s="93">
        <v>6.28</v>
      </c>
      <c r="E1170" s="111">
        <v>2.1800000000000002</v>
      </c>
      <c r="F1170" s="111">
        <v>3.06</v>
      </c>
      <c r="G1170" s="93">
        <v>0</v>
      </c>
      <c r="H1170" s="111">
        <v>0</v>
      </c>
      <c r="I1170" s="111">
        <v>1.89</v>
      </c>
      <c r="J1170" s="93">
        <v>1.61</v>
      </c>
      <c r="K1170" s="93">
        <v>0</v>
      </c>
      <c r="L1170" s="111">
        <v>2.04</v>
      </c>
      <c r="M1170" s="74" t="str">
        <f t="array" ref="M1170">_xlfn.TEXTJOIN("-", TRUE, IF(C1170:L1170&gt;0, $C$2:$L$2, ""))</f>
        <v xml:space="preserve"> Ti-Al-Zr-Mo-Nb-Cr-Sn</v>
      </c>
      <c r="N1170" s="90">
        <f t="shared" si="40"/>
        <v>1137</v>
      </c>
      <c r="O1170" s="91">
        <f t="shared" si="39"/>
        <v>7</v>
      </c>
      <c r="P1170" s="93">
        <v>1</v>
      </c>
      <c r="Q1170" s="93">
        <v>0</v>
      </c>
      <c r="R1170" s="93">
        <v>0</v>
      </c>
      <c r="S1170" s="93">
        <v>0</v>
      </c>
      <c r="T1170" s="94">
        <v>920</v>
      </c>
      <c r="U1170" s="94">
        <v>3</v>
      </c>
      <c r="V1170" s="8">
        <v>2</v>
      </c>
      <c r="W1170" s="94">
        <v>0</v>
      </c>
      <c r="X1170" s="94">
        <v>0</v>
      </c>
      <c r="Y1170" s="103">
        <v>0</v>
      </c>
      <c r="Z1170" s="18" t="s">
        <v>102</v>
      </c>
      <c r="AA1170" s="9" t="s">
        <v>102</v>
      </c>
      <c r="AB1170" s="93">
        <v>1565</v>
      </c>
      <c r="AC1170" s="93">
        <v>1040</v>
      </c>
      <c r="AD1170" s="93">
        <v>10.7</v>
      </c>
      <c r="AE1170" s="9" t="s">
        <v>101</v>
      </c>
      <c r="AF1170" s="9" t="s">
        <v>102</v>
      </c>
      <c r="AG1170" s="9" t="s">
        <v>102</v>
      </c>
      <c r="AH1170" s="9" t="s">
        <v>102</v>
      </c>
      <c r="AI1170" s="9" t="s">
        <v>102</v>
      </c>
      <c r="AJ1170" s="9" t="s">
        <v>102</v>
      </c>
      <c r="AK1170" s="9" t="s">
        <v>102</v>
      </c>
      <c r="AL1170" s="9" t="s">
        <v>102</v>
      </c>
      <c r="AN1170" s="12" t="s">
        <v>101</v>
      </c>
      <c r="AO1170" s="12" t="s">
        <v>103</v>
      </c>
      <c r="AP1170" s="94">
        <v>310</v>
      </c>
      <c r="AQ1170" s="157" t="s">
        <v>100</v>
      </c>
      <c r="AR1170" s="93">
        <v>310</v>
      </c>
    </row>
    <row r="1171" spans="1:46" ht="16.5">
      <c r="A1171" s="111">
        <v>311</v>
      </c>
      <c r="B1171" s="93" t="s">
        <v>101</v>
      </c>
      <c r="C1171" s="111">
        <v>82.817999999999998</v>
      </c>
      <c r="D1171" s="111">
        <v>6.28</v>
      </c>
      <c r="E1171" s="111">
        <v>2.1800000000000002</v>
      </c>
      <c r="F1171" s="111">
        <v>3.06</v>
      </c>
      <c r="G1171" s="111">
        <v>0</v>
      </c>
      <c r="H1171" s="111">
        <v>0</v>
      </c>
      <c r="I1171" s="111">
        <v>1.89</v>
      </c>
      <c r="J1171" s="111">
        <v>1.61</v>
      </c>
      <c r="K1171" s="111">
        <v>0</v>
      </c>
      <c r="L1171" s="111">
        <v>2.04</v>
      </c>
      <c r="M1171" s="74" t="str">
        <f t="array" ref="M1171">_xlfn.TEXTJOIN("-", TRUE, IF(C1171:L1171&gt;0, $C$2:$L$2, ""))</f>
        <v xml:space="preserve"> Ti-Al-Zr-Mo-Nb-Cr-Sn</v>
      </c>
      <c r="N1171" s="90">
        <f t="shared" si="40"/>
        <v>1137</v>
      </c>
      <c r="O1171" s="91">
        <f t="shared" si="39"/>
        <v>7</v>
      </c>
      <c r="P1171" s="93">
        <v>1</v>
      </c>
      <c r="Q1171" s="93">
        <v>0</v>
      </c>
      <c r="R1171" s="93">
        <v>0</v>
      </c>
      <c r="S1171" s="93">
        <v>0</v>
      </c>
      <c r="T1171" s="94">
        <v>920</v>
      </c>
      <c r="U1171" s="94">
        <v>6</v>
      </c>
      <c r="V1171" s="8">
        <v>2</v>
      </c>
      <c r="W1171" s="94">
        <v>0</v>
      </c>
      <c r="X1171" s="94">
        <v>0</v>
      </c>
      <c r="Y1171" s="103">
        <v>0</v>
      </c>
      <c r="Z1171" s="18" t="s">
        <v>102</v>
      </c>
      <c r="AA1171" s="9" t="s">
        <v>102</v>
      </c>
      <c r="AB1171" s="93">
        <v>1605</v>
      </c>
      <c r="AC1171" s="93">
        <v>1051</v>
      </c>
      <c r="AD1171" s="93">
        <v>10.7</v>
      </c>
      <c r="AE1171" s="9" t="s">
        <v>101</v>
      </c>
      <c r="AF1171" s="9" t="s">
        <v>102</v>
      </c>
      <c r="AG1171" s="9" t="s">
        <v>102</v>
      </c>
      <c r="AH1171" s="9" t="s">
        <v>102</v>
      </c>
      <c r="AI1171" s="9" t="s">
        <v>102</v>
      </c>
      <c r="AJ1171" s="9" t="s">
        <v>102</v>
      </c>
      <c r="AK1171" s="9" t="s">
        <v>102</v>
      </c>
      <c r="AL1171" s="9" t="s">
        <v>102</v>
      </c>
      <c r="AN1171" s="12" t="s">
        <v>101</v>
      </c>
      <c r="AO1171" s="12" t="s">
        <v>103</v>
      </c>
      <c r="AP1171" s="94">
        <v>311</v>
      </c>
      <c r="AQ1171" s="157" t="s">
        <v>100</v>
      </c>
      <c r="AR1171" s="93">
        <v>311</v>
      </c>
    </row>
    <row r="1172" spans="1:46" ht="16.5">
      <c r="A1172" s="44">
        <v>140</v>
      </c>
      <c r="B1172" s="10"/>
      <c r="C1172" s="44">
        <f>100-SUM(D1172:L1172)</f>
        <v>83.5</v>
      </c>
      <c r="D1172" s="44">
        <v>6.17</v>
      </c>
      <c r="E1172" s="44">
        <v>1.93</v>
      </c>
      <c r="F1172" s="44">
        <v>3.01</v>
      </c>
      <c r="G1172" s="44">
        <v>0</v>
      </c>
      <c r="H1172" s="44">
        <v>0</v>
      </c>
      <c r="I1172" s="44">
        <v>2.0099999999999998</v>
      </c>
      <c r="J1172" s="44">
        <v>1.41</v>
      </c>
      <c r="K1172" s="44">
        <v>0</v>
      </c>
      <c r="L1172" s="44">
        <v>1.97</v>
      </c>
      <c r="M1172" s="74" t="str">
        <f t="array" ref="M1172">_xlfn.TEXTJOIN("-", TRUE, IF(C1172:L1172&gt;0, $C$2:$L$2, ""))</f>
        <v xml:space="preserve"> Ti-Al-Zr-Mo-Nb-Cr-Sn</v>
      </c>
      <c r="N1172" s="90">
        <f t="shared" si="40"/>
        <v>1137</v>
      </c>
      <c r="O1172" s="91">
        <f t="shared" si="39"/>
        <v>7</v>
      </c>
      <c r="P1172" s="10" t="s">
        <v>81</v>
      </c>
      <c r="Q1172" s="10" t="s">
        <v>81</v>
      </c>
      <c r="R1172" s="10" t="s">
        <v>81</v>
      </c>
      <c r="S1172" s="10" t="s">
        <v>81</v>
      </c>
      <c r="T1172" s="10" t="s">
        <v>81</v>
      </c>
      <c r="U1172" s="10" t="s">
        <v>81</v>
      </c>
      <c r="V1172" s="10" t="s">
        <v>81</v>
      </c>
      <c r="W1172" s="10" t="s">
        <v>81</v>
      </c>
      <c r="X1172" s="10" t="s">
        <v>81</v>
      </c>
      <c r="Y1172" s="10" t="s">
        <v>81</v>
      </c>
      <c r="Z1172" s="44"/>
      <c r="AA1172" s="10"/>
      <c r="AB1172" s="10">
        <v>1183</v>
      </c>
      <c r="AC1172" s="10">
        <v>1136</v>
      </c>
      <c r="AD1172" s="10">
        <v>7.5</v>
      </c>
      <c r="AE1172" s="10"/>
      <c r="AF1172" s="10"/>
      <c r="AG1172" s="10"/>
      <c r="AH1172" s="10"/>
      <c r="AI1172" s="10"/>
      <c r="AJ1172" s="10"/>
      <c r="AK1172" s="10">
        <v>110</v>
      </c>
      <c r="AL1172" s="10"/>
      <c r="AM1172" s="10"/>
      <c r="AN1172" s="11"/>
      <c r="AO1172" s="11" t="s">
        <v>264</v>
      </c>
      <c r="AP1172" s="10">
        <v>36</v>
      </c>
      <c r="AQ1172" s="163" t="s">
        <v>83</v>
      </c>
      <c r="AR1172" s="10">
        <v>140</v>
      </c>
    </row>
    <row r="1173" spans="1:46" ht="16.5">
      <c r="A1173" s="44">
        <v>141</v>
      </c>
      <c r="B1173" s="10"/>
      <c r="C1173" s="44">
        <f>100-SUM(D1173:L1173)</f>
        <v>83.5</v>
      </c>
      <c r="D1173" s="44">
        <v>6.17</v>
      </c>
      <c r="E1173" s="44">
        <v>1.93</v>
      </c>
      <c r="F1173" s="44">
        <v>3.01</v>
      </c>
      <c r="G1173" s="44">
        <v>0</v>
      </c>
      <c r="H1173" s="44">
        <v>0</v>
      </c>
      <c r="I1173" s="44">
        <v>2.0099999999999998</v>
      </c>
      <c r="J1173" s="44">
        <v>1.41</v>
      </c>
      <c r="K1173" s="44">
        <v>0</v>
      </c>
      <c r="L1173" s="44">
        <v>1.97</v>
      </c>
      <c r="M1173" s="74" t="str">
        <f t="array" ref="M1173">_xlfn.TEXTJOIN("-", TRUE, IF(C1173:L1173&gt;0, $C$2:$L$2, ""))</f>
        <v xml:space="preserve"> Ti-Al-Zr-Mo-Nb-Cr-Sn</v>
      </c>
      <c r="N1173" s="90">
        <f t="shared" si="40"/>
        <v>1137</v>
      </c>
      <c r="O1173" s="91">
        <f t="shared" si="39"/>
        <v>7</v>
      </c>
      <c r="P1173" s="10" t="s">
        <v>81</v>
      </c>
      <c r="Q1173" s="10" t="s">
        <v>81</v>
      </c>
      <c r="R1173" s="10" t="s">
        <v>81</v>
      </c>
      <c r="S1173" s="10" t="s">
        <v>81</v>
      </c>
      <c r="T1173" s="10">
        <v>880</v>
      </c>
      <c r="U1173" s="10">
        <v>1</v>
      </c>
      <c r="V1173" s="10">
        <v>2</v>
      </c>
      <c r="W1173" s="10">
        <v>590</v>
      </c>
      <c r="X1173" s="10">
        <v>2</v>
      </c>
      <c r="Y1173" s="10"/>
      <c r="Z1173" s="44"/>
      <c r="AA1173" s="10"/>
      <c r="AB1173" s="10">
        <v>1145</v>
      </c>
      <c r="AC1173" s="10"/>
      <c r="AD1173" s="10">
        <v>12.5</v>
      </c>
      <c r="AE1173" s="10"/>
      <c r="AF1173" s="10"/>
      <c r="AG1173" s="10"/>
      <c r="AH1173" s="10"/>
      <c r="AI1173" s="10"/>
      <c r="AJ1173" s="10"/>
      <c r="AK1173" s="10">
        <v>270</v>
      </c>
      <c r="AL1173" s="10"/>
      <c r="AM1173" s="10"/>
      <c r="AN1173" s="11"/>
      <c r="AO1173" s="11" t="s">
        <v>264</v>
      </c>
      <c r="AP1173" s="10">
        <v>36</v>
      </c>
      <c r="AQ1173" s="163" t="s">
        <v>83</v>
      </c>
      <c r="AR1173" s="10">
        <v>141</v>
      </c>
    </row>
    <row r="1174" spans="1:46" ht="16.5">
      <c r="A1174" s="44">
        <v>40</v>
      </c>
      <c r="B1174" s="10" t="s">
        <v>610</v>
      </c>
      <c r="C1174" s="44">
        <v>80.63</v>
      </c>
      <c r="D1174" s="44">
        <v>5.21</v>
      </c>
      <c r="E1174" s="55">
        <v>1.1000000000000001</v>
      </c>
      <c r="F1174" s="55">
        <v>5</v>
      </c>
      <c r="G1174" s="44">
        <v>4.91</v>
      </c>
      <c r="H1174" s="44">
        <v>0</v>
      </c>
      <c r="I1174" s="44">
        <v>0</v>
      </c>
      <c r="J1174" s="44">
        <v>2.76</v>
      </c>
      <c r="K1174" s="44">
        <v>0.39</v>
      </c>
      <c r="L1174" s="44">
        <v>0</v>
      </c>
      <c r="M1174" s="74" t="str">
        <f t="array" ref="M1174">_xlfn.TEXTJOIN("-", TRUE, IF(C1174:L1174&gt;0, $C$2:$L$2, ""))</f>
        <v xml:space="preserve"> Ti-Al-Zr-Mo-V-Cr-Fe</v>
      </c>
      <c r="N1174" s="90">
        <f t="shared" si="40"/>
        <v>1174</v>
      </c>
      <c r="O1174" s="91">
        <f t="shared" si="39"/>
        <v>7</v>
      </c>
      <c r="P1174" s="10">
        <v>2</v>
      </c>
      <c r="Q1174" s="10">
        <v>0</v>
      </c>
      <c r="R1174" s="10" t="s">
        <v>81</v>
      </c>
      <c r="S1174" s="10" t="s">
        <v>81</v>
      </c>
      <c r="T1174" s="10">
        <v>840</v>
      </c>
      <c r="U1174" s="10">
        <v>1.5</v>
      </c>
      <c r="V1174" s="10">
        <v>3</v>
      </c>
      <c r="W1174" s="10">
        <v>580</v>
      </c>
      <c r="X1174" s="10">
        <v>8</v>
      </c>
      <c r="Y1174" s="10">
        <v>2</v>
      </c>
      <c r="Z1174" s="44"/>
      <c r="AA1174" s="10"/>
      <c r="AB1174" s="10">
        <v>1154</v>
      </c>
      <c r="AC1174" s="10"/>
      <c r="AD1174" s="10">
        <v>16.899999999999999</v>
      </c>
      <c r="AE1174" s="10"/>
      <c r="AF1174" s="10"/>
      <c r="AG1174" s="10"/>
      <c r="AH1174" s="10"/>
      <c r="AI1174" s="10"/>
      <c r="AJ1174" s="10"/>
      <c r="AK1174" s="10">
        <v>26.9</v>
      </c>
      <c r="AL1174" s="10"/>
      <c r="AM1174" s="10"/>
      <c r="AN1174" s="11"/>
      <c r="AO1174" s="11" t="s">
        <v>611</v>
      </c>
      <c r="AP1174" s="10">
        <v>8</v>
      </c>
      <c r="AQ1174" s="163" t="s">
        <v>83</v>
      </c>
      <c r="AR1174" s="11" t="s">
        <v>611</v>
      </c>
      <c r="AS1174" s="10" t="s">
        <v>151</v>
      </c>
      <c r="AT1174" s="11" t="s">
        <v>612</v>
      </c>
    </row>
    <row r="1175" spans="1:46" ht="16.5">
      <c r="A1175" s="44">
        <v>41</v>
      </c>
      <c r="B1175" s="10" t="s">
        <v>610</v>
      </c>
      <c r="C1175" s="44">
        <v>80.63</v>
      </c>
      <c r="D1175" s="44">
        <v>5.21</v>
      </c>
      <c r="E1175" s="55">
        <v>1.1000000000000001</v>
      </c>
      <c r="F1175" s="55">
        <v>5</v>
      </c>
      <c r="G1175" s="44">
        <v>4.91</v>
      </c>
      <c r="H1175" s="44">
        <v>0</v>
      </c>
      <c r="I1175" s="44">
        <v>0</v>
      </c>
      <c r="J1175" s="44">
        <v>2.76</v>
      </c>
      <c r="K1175" s="44">
        <v>0.39</v>
      </c>
      <c r="L1175" s="44">
        <v>0</v>
      </c>
      <c r="M1175" s="74" t="str">
        <f t="array" ref="M1175">_xlfn.TEXTJOIN("-", TRUE, IF(C1175:L1175&gt;0, $C$2:$L$2, ""))</f>
        <v xml:space="preserve"> Ti-Al-Zr-Mo-V-Cr-Fe</v>
      </c>
      <c r="N1175" s="90">
        <f t="shared" si="40"/>
        <v>1174</v>
      </c>
      <c r="O1175" s="91">
        <f t="shared" si="39"/>
        <v>7</v>
      </c>
      <c r="P1175" s="10">
        <v>2</v>
      </c>
      <c r="Q1175" s="10">
        <v>0</v>
      </c>
      <c r="R1175" s="10" t="s">
        <v>81</v>
      </c>
      <c r="S1175" s="10" t="s">
        <v>81</v>
      </c>
      <c r="T1175" s="10">
        <v>860</v>
      </c>
      <c r="U1175" s="10">
        <v>1.5</v>
      </c>
      <c r="V1175" s="10">
        <v>3</v>
      </c>
      <c r="W1175" s="10">
        <v>580</v>
      </c>
      <c r="X1175" s="10">
        <v>8</v>
      </c>
      <c r="Y1175" s="10">
        <v>2</v>
      </c>
      <c r="Z1175" s="44"/>
      <c r="AA1175" s="10"/>
      <c r="AB1175" s="10">
        <v>1158</v>
      </c>
      <c r="AC1175" s="10"/>
      <c r="AD1175" s="10">
        <v>17.3</v>
      </c>
      <c r="AE1175" s="10"/>
      <c r="AF1175" s="10"/>
      <c r="AG1175" s="10"/>
      <c r="AH1175" s="10"/>
      <c r="AI1175" s="10"/>
      <c r="AJ1175" s="10"/>
      <c r="AK1175" s="10">
        <v>24.6</v>
      </c>
      <c r="AL1175" s="10"/>
      <c r="AM1175" s="10"/>
      <c r="AN1175" s="11"/>
      <c r="AO1175" s="11" t="s">
        <v>204</v>
      </c>
      <c r="AP1175" s="10">
        <v>8</v>
      </c>
      <c r="AQ1175" s="163" t="s">
        <v>83</v>
      </c>
      <c r="AR1175" s="11" t="s">
        <v>204</v>
      </c>
      <c r="AS1175" s="10" t="s">
        <v>151</v>
      </c>
      <c r="AT1175" s="11" t="s">
        <v>612</v>
      </c>
    </row>
    <row r="1176" spans="1:46" ht="16.5">
      <c r="A1176" s="44">
        <v>42</v>
      </c>
      <c r="B1176" s="10" t="s">
        <v>610</v>
      </c>
      <c r="C1176" s="44">
        <v>80.63</v>
      </c>
      <c r="D1176" s="44">
        <v>5.21</v>
      </c>
      <c r="E1176" s="55">
        <v>1.1000000000000001</v>
      </c>
      <c r="F1176" s="55">
        <v>5</v>
      </c>
      <c r="G1176" s="44">
        <v>4.91</v>
      </c>
      <c r="H1176" s="44">
        <v>0</v>
      </c>
      <c r="I1176" s="44">
        <v>0</v>
      </c>
      <c r="J1176" s="44">
        <v>2.76</v>
      </c>
      <c r="K1176" s="44">
        <v>0.39</v>
      </c>
      <c r="L1176" s="44">
        <v>0</v>
      </c>
      <c r="M1176" s="74" t="str">
        <f t="array" ref="M1176">_xlfn.TEXTJOIN("-", TRUE, IF(C1176:L1176&gt;0, $C$2:$L$2, ""))</f>
        <v xml:space="preserve"> Ti-Al-Zr-Mo-V-Cr-Fe</v>
      </c>
      <c r="N1176" s="90">
        <f t="shared" si="40"/>
        <v>1174</v>
      </c>
      <c r="O1176" s="91">
        <f t="shared" si="39"/>
        <v>7</v>
      </c>
      <c r="P1176" s="10">
        <v>2</v>
      </c>
      <c r="Q1176" s="10">
        <v>0</v>
      </c>
      <c r="R1176" s="10" t="s">
        <v>81</v>
      </c>
      <c r="S1176" s="10" t="s">
        <v>81</v>
      </c>
      <c r="T1176" s="10">
        <v>870</v>
      </c>
      <c r="U1176" s="10">
        <v>1.5</v>
      </c>
      <c r="V1176" s="10">
        <v>3</v>
      </c>
      <c r="W1176" s="10">
        <v>580</v>
      </c>
      <c r="X1176" s="10">
        <v>8</v>
      </c>
      <c r="Y1176" s="10">
        <v>2</v>
      </c>
      <c r="Z1176" s="44"/>
      <c r="AA1176" s="10"/>
      <c r="AB1176" s="10">
        <v>1156</v>
      </c>
      <c r="AC1176" s="10"/>
      <c r="AD1176" s="10">
        <v>15.7</v>
      </c>
      <c r="AE1176" s="10"/>
      <c r="AF1176" s="10"/>
      <c r="AG1176" s="10"/>
      <c r="AH1176" s="10"/>
      <c r="AI1176" s="10"/>
      <c r="AJ1176" s="10"/>
      <c r="AK1176" s="10">
        <v>25.5</v>
      </c>
      <c r="AL1176" s="10"/>
      <c r="AM1176" s="10"/>
      <c r="AN1176" s="11"/>
      <c r="AO1176" s="11" t="s">
        <v>204</v>
      </c>
      <c r="AP1176" s="10">
        <v>8</v>
      </c>
      <c r="AQ1176" s="163" t="s">
        <v>83</v>
      </c>
      <c r="AR1176" s="11" t="s">
        <v>204</v>
      </c>
      <c r="AS1176" s="10" t="s">
        <v>151</v>
      </c>
      <c r="AT1176" s="11" t="s">
        <v>612</v>
      </c>
    </row>
    <row r="1177" spans="1:46" ht="16.5">
      <c r="A1177" s="44">
        <v>43</v>
      </c>
      <c r="B1177" s="10" t="s">
        <v>610</v>
      </c>
      <c r="C1177" s="44">
        <v>80.63</v>
      </c>
      <c r="D1177" s="44">
        <v>5.21</v>
      </c>
      <c r="E1177" s="55">
        <v>1.1000000000000001</v>
      </c>
      <c r="F1177" s="55">
        <v>5</v>
      </c>
      <c r="G1177" s="44">
        <v>4.91</v>
      </c>
      <c r="H1177" s="44">
        <v>0</v>
      </c>
      <c r="I1177" s="44">
        <v>0</v>
      </c>
      <c r="J1177" s="44">
        <v>2.76</v>
      </c>
      <c r="K1177" s="44">
        <v>0.39</v>
      </c>
      <c r="L1177" s="44">
        <v>0</v>
      </c>
      <c r="M1177" s="74" t="str">
        <f t="array" ref="M1177">_xlfn.TEXTJOIN("-", TRUE, IF(C1177:L1177&gt;0, $C$2:$L$2, ""))</f>
        <v xml:space="preserve"> Ti-Al-Zr-Mo-V-Cr-Fe</v>
      </c>
      <c r="N1177" s="90">
        <f t="shared" si="40"/>
        <v>1174</v>
      </c>
      <c r="O1177" s="91">
        <f t="shared" si="39"/>
        <v>7</v>
      </c>
      <c r="P1177" s="10">
        <v>2</v>
      </c>
      <c r="Q1177" s="10">
        <v>0</v>
      </c>
      <c r="R1177" s="10" t="s">
        <v>81</v>
      </c>
      <c r="S1177" s="10" t="s">
        <v>81</v>
      </c>
      <c r="T1177" s="10">
        <v>880</v>
      </c>
      <c r="U1177" s="10">
        <v>1.5</v>
      </c>
      <c r="V1177" s="10">
        <v>3</v>
      </c>
      <c r="W1177" s="10">
        <v>580</v>
      </c>
      <c r="X1177" s="10">
        <v>8</v>
      </c>
      <c r="Y1177" s="10">
        <v>2</v>
      </c>
      <c r="Z1177" s="44"/>
      <c r="AA1177" s="10"/>
      <c r="AB1177" s="10">
        <v>1150</v>
      </c>
      <c r="AC1177" s="10"/>
      <c r="AD1177" s="10">
        <v>14.9</v>
      </c>
      <c r="AE1177" s="10"/>
      <c r="AF1177" s="10"/>
      <c r="AG1177" s="10"/>
      <c r="AH1177" s="10"/>
      <c r="AI1177" s="10"/>
      <c r="AJ1177" s="10"/>
      <c r="AK1177" s="10">
        <v>26.2</v>
      </c>
      <c r="AL1177" s="10"/>
      <c r="AM1177" s="10"/>
      <c r="AN1177" s="11"/>
      <c r="AO1177" s="11" t="s">
        <v>204</v>
      </c>
      <c r="AP1177" s="10">
        <v>8</v>
      </c>
      <c r="AQ1177" s="163" t="s">
        <v>83</v>
      </c>
      <c r="AR1177" s="11" t="s">
        <v>204</v>
      </c>
      <c r="AS1177" s="10" t="s">
        <v>151</v>
      </c>
      <c r="AT1177" s="11" t="s">
        <v>612</v>
      </c>
    </row>
    <row r="1178" spans="1:46" ht="16.5">
      <c r="A1178" s="44">
        <v>44</v>
      </c>
      <c r="B1178" s="10" t="s">
        <v>610</v>
      </c>
      <c r="C1178" s="44">
        <v>80.63</v>
      </c>
      <c r="D1178" s="44">
        <v>5.21</v>
      </c>
      <c r="E1178" s="55">
        <v>1.1000000000000001</v>
      </c>
      <c r="F1178" s="55">
        <v>5</v>
      </c>
      <c r="G1178" s="44">
        <v>4.91</v>
      </c>
      <c r="H1178" s="44">
        <v>0</v>
      </c>
      <c r="I1178" s="44">
        <v>0</v>
      </c>
      <c r="J1178" s="44">
        <v>2.76</v>
      </c>
      <c r="K1178" s="44">
        <v>0.39</v>
      </c>
      <c r="L1178" s="44">
        <v>0</v>
      </c>
      <c r="M1178" s="74" t="str">
        <f t="array" ref="M1178">_xlfn.TEXTJOIN("-", TRUE, IF(C1178:L1178&gt;0, $C$2:$L$2, ""))</f>
        <v xml:space="preserve"> Ti-Al-Zr-Mo-V-Cr-Fe</v>
      </c>
      <c r="N1178" s="90">
        <f t="shared" si="40"/>
        <v>1174</v>
      </c>
      <c r="O1178" s="91">
        <f t="shared" si="39"/>
        <v>7</v>
      </c>
      <c r="P1178" s="10">
        <v>2</v>
      </c>
      <c r="Q1178" s="10">
        <v>0</v>
      </c>
      <c r="R1178" s="10" t="s">
        <v>81</v>
      </c>
      <c r="S1178" s="10" t="s">
        <v>81</v>
      </c>
      <c r="T1178" s="10">
        <v>900</v>
      </c>
      <c r="U1178" s="10">
        <v>1.5</v>
      </c>
      <c r="V1178" s="10">
        <v>3</v>
      </c>
      <c r="W1178" s="10">
        <v>580</v>
      </c>
      <c r="X1178" s="10">
        <v>8</v>
      </c>
      <c r="Y1178" s="10">
        <v>2</v>
      </c>
      <c r="Z1178" s="44"/>
      <c r="AA1178" s="10"/>
      <c r="AB1178" s="10">
        <v>1176</v>
      </c>
      <c r="AC1178" s="10"/>
      <c r="AD1178" s="10">
        <v>13.8</v>
      </c>
      <c r="AE1178" s="10"/>
      <c r="AF1178" s="10"/>
      <c r="AG1178" s="10"/>
      <c r="AH1178" s="10"/>
      <c r="AI1178" s="10"/>
      <c r="AJ1178" s="10"/>
      <c r="AK1178" s="10">
        <v>23.6</v>
      </c>
      <c r="AL1178" s="10"/>
      <c r="AM1178" s="10"/>
      <c r="AN1178" s="11"/>
      <c r="AO1178" s="11" t="s">
        <v>204</v>
      </c>
      <c r="AP1178" s="10">
        <v>8</v>
      </c>
      <c r="AQ1178" s="163" t="s">
        <v>83</v>
      </c>
      <c r="AR1178" s="11" t="s">
        <v>204</v>
      </c>
      <c r="AS1178" s="10" t="s">
        <v>151</v>
      </c>
      <c r="AT1178" s="11" t="s">
        <v>612</v>
      </c>
    </row>
    <row r="1179" spans="1:46" ht="16.5">
      <c r="A1179" s="44">
        <v>45</v>
      </c>
      <c r="B1179" s="10" t="s">
        <v>610</v>
      </c>
      <c r="C1179" s="44">
        <v>80.63</v>
      </c>
      <c r="D1179" s="44">
        <v>5.21</v>
      </c>
      <c r="E1179" s="55">
        <v>1.1000000000000001</v>
      </c>
      <c r="F1179" s="55">
        <v>5</v>
      </c>
      <c r="G1179" s="44">
        <v>4.91</v>
      </c>
      <c r="H1179" s="44">
        <v>0</v>
      </c>
      <c r="I1179" s="44">
        <v>0</v>
      </c>
      <c r="J1179" s="44">
        <v>2.76</v>
      </c>
      <c r="K1179" s="44">
        <v>0.39</v>
      </c>
      <c r="L1179" s="44">
        <v>0</v>
      </c>
      <c r="M1179" s="74" t="str">
        <f t="array" ref="M1179">_xlfn.TEXTJOIN("-", TRUE, IF(C1179:L1179&gt;0, $C$2:$L$2, ""))</f>
        <v xml:space="preserve"> Ti-Al-Zr-Mo-V-Cr-Fe</v>
      </c>
      <c r="N1179" s="90">
        <f t="shared" si="40"/>
        <v>1174</v>
      </c>
      <c r="O1179" s="91">
        <f t="shared" si="39"/>
        <v>7</v>
      </c>
      <c r="P1179" s="10">
        <v>2</v>
      </c>
      <c r="Q1179" s="10">
        <v>0</v>
      </c>
      <c r="R1179" s="10" t="s">
        <v>81</v>
      </c>
      <c r="S1179" s="10" t="s">
        <v>81</v>
      </c>
      <c r="T1179" s="10">
        <v>790</v>
      </c>
      <c r="U1179" s="10">
        <v>1</v>
      </c>
      <c r="V1179" s="10">
        <v>2</v>
      </c>
      <c r="W1179" s="10">
        <v>580</v>
      </c>
      <c r="X1179" s="10">
        <v>8</v>
      </c>
      <c r="Y1179" s="10">
        <v>2</v>
      </c>
      <c r="Z1179" s="44"/>
      <c r="AA1179" s="10"/>
      <c r="AB1179" s="10">
        <v>1037</v>
      </c>
      <c r="AC1179" s="10"/>
      <c r="AD1179" s="10">
        <v>13.8</v>
      </c>
      <c r="AE1179" s="10"/>
      <c r="AF1179" s="10"/>
      <c r="AG1179" s="10"/>
      <c r="AH1179" s="10"/>
      <c r="AI1179" s="10"/>
      <c r="AJ1179" s="10"/>
      <c r="AK1179" s="10">
        <v>18.3</v>
      </c>
      <c r="AL1179" s="10"/>
      <c r="AM1179" s="10"/>
      <c r="AN1179" s="11"/>
      <c r="AO1179" s="11" t="s">
        <v>204</v>
      </c>
      <c r="AP1179" s="10">
        <v>8</v>
      </c>
      <c r="AQ1179" s="163" t="s">
        <v>83</v>
      </c>
      <c r="AR1179" s="11" t="s">
        <v>204</v>
      </c>
      <c r="AS1179" s="10" t="s">
        <v>151</v>
      </c>
      <c r="AT1179" s="11"/>
    </row>
    <row r="1180" spans="1:46" ht="16.5">
      <c r="A1180" s="44">
        <v>46</v>
      </c>
      <c r="B1180" s="10" t="s">
        <v>610</v>
      </c>
      <c r="C1180" s="44">
        <v>80.63</v>
      </c>
      <c r="D1180" s="44">
        <v>5.21</v>
      </c>
      <c r="E1180" s="55">
        <v>1.1000000000000001</v>
      </c>
      <c r="F1180" s="55">
        <v>5</v>
      </c>
      <c r="G1180" s="44">
        <v>4.91</v>
      </c>
      <c r="H1180" s="44">
        <v>0</v>
      </c>
      <c r="I1180" s="44">
        <v>0</v>
      </c>
      <c r="J1180" s="44">
        <v>2.76</v>
      </c>
      <c r="K1180" s="44">
        <v>0.39</v>
      </c>
      <c r="L1180" s="44">
        <v>0</v>
      </c>
      <c r="M1180" s="74" t="str">
        <f t="array" ref="M1180">_xlfn.TEXTJOIN("-", TRUE, IF(C1180:L1180&gt;0, $C$2:$L$2, ""))</f>
        <v xml:space="preserve"> Ti-Al-Zr-Mo-V-Cr-Fe</v>
      </c>
      <c r="N1180" s="90">
        <f t="shared" si="40"/>
        <v>1174</v>
      </c>
      <c r="O1180" s="91">
        <f t="shared" si="39"/>
        <v>7</v>
      </c>
      <c r="P1180" s="10">
        <v>2</v>
      </c>
      <c r="Q1180" s="10">
        <v>0</v>
      </c>
      <c r="R1180" s="10" t="s">
        <v>81</v>
      </c>
      <c r="S1180" s="10" t="s">
        <v>81</v>
      </c>
      <c r="T1180" s="10">
        <v>800</v>
      </c>
      <c r="U1180" s="10">
        <v>1</v>
      </c>
      <c r="V1180" s="10">
        <v>2</v>
      </c>
      <c r="W1180" s="10">
        <v>580</v>
      </c>
      <c r="X1180" s="10">
        <v>8</v>
      </c>
      <c r="Y1180" s="10">
        <v>2</v>
      </c>
      <c r="Z1180" s="44"/>
      <c r="AA1180" s="10"/>
      <c r="AB1180" s="10">
        <v>1357</v>
      </c>
      <c r="AC1180" s="10"/>
      <c r="AD1180" s="10">
        <v>13.1</v>
      </c>
      <c r="AE1180" s="10"/>
      <c r="AF1180" s="10"/>
      <c r="AG1180" s="10"/>
      <c r="AH1180" s="10"/>
      <c r="AI1180" s="10"/>
      <c r="AJ1180" s="10"/>
      <c r="AK1180" s="10">
        <v>17.8</v>
      </c>
      <c r="AL1180" s="10"/>
      <c r="AM1180" s="10"/>
      <c r="AN1180" s="11"/>
      <c r="AO1180" s="11" t="s">
        <v>204</v>
      </c>
      <c r="AP1180" s="10">
        <v>8</v>
      </c>
      <c r="AQ1180" s="163" t="s">
        <v>83</v>
      </c>
      <c r="AR1180" s="11" t="s">
        <v>204</v>
      </c>
      <c r="AS1180" s="10" t="s">
        <v>151</v>
      </c>
      <c r="AT1180" s="11"/>
    </row>
    <row r="1181" spans="1:46" ht="16.5">
      <c r="A1181" s="44">
        <v>47</v>
      </c>
      <c r="B1181" s="10" t="s">
        <v>610</v>
      </c>
      <c r="C1181" s="44">
        <v>80.63</v>
      </c>
      <c r="D1181" s="44">
        <v>5.21</v>
      </c>
      <c r="E1181" s="55">
        <v>1.1000000000000001</v>
      </c>
      <c r="F1181" s="55">
        <v>5</v>
      </c>
      <c r="G1181" s="44">
        <v>4.91</v>
      </c>
      <c r="H1181" s="44">
        <v>0</v>
      </c>
      <c r="I1181" s="44">
        <v>0</v>
      </c>
      <c r="J1181" s="44">
        <v>2.76</v>
      </c>
      <c r="K1181" s="44">
        <v>0.39</v>
      </c>
      <c r="L1181" s="44">
        <v>0</v>
      </c>
      <c r="M1181" s="74" t="str">
        <f t="array" ref="M1181">_xlfn.TEXTJOIN("-", TRUE, IF(C1181:L1181&gt;0, $C$2:$L$2, ""))</f>
        <v xml:space="preserve"> Ti-Al-Zr-Mo-V-Cr-Fe</v>
      </c>
      <c r="N1181" s="90">
        <f t="shared" si="40"/>
        <v>1174</v>
      </c>
      <c r="O1181" s="91">
        <f t="shared" si="39"/>
        <v>7</v>
      </c>
      <c r="P1181" s="10">
        <v>2</v>
      </c>
      <c r="Q1181" s="10">
        <v>0</v>
      </c>
      <c r="R1181" s="10" t="s">
        <v>81</v>
      </c>
      <c r="S1181" s="10" t="s">
        <v>81</v>
      </c>
      <c r="T1181" s="10">
        <v>805</v>
      </c>
      <c r="U1181" s="10">
        <v>1</v>
      </c>
      <c r="V1181" s="10">
        <v>2</v>
      </c>
      <c r="W1181" s="10">
        <v>580</v>
      </c>
      <c r="X1181" s="10">
        <v>8</v>
      </c>
      <c r="Y1181" s="10">
        <v>2</v>
      </c>
      <c r="Z1181" s="44"/>
      <c r="AA1181" s="10"/>
      <c r="AB1181" s="10">
        <v>1311</v>
      </c>
      <c r="AC1181" s="10"/>
      <c r="AD1181" s="10">
        <v>15.7</v>
      </c>
      <c r="AE1181" s="10"/>
      <c r="AF1181" s="10"/>
      <c r="AG1181" s="10"/>
      <c r="AH1181" s="10"/>
      <c r="AI1181" s="10"/>
      <c r="AJ1181" s="10"/>
      <c r="AK1181" s="10">
        <v>16.7</v>
      </c>
      <c r="AL1181" s="10"/>
      <c r="AM1181" s="10"/>
      <c r="AN1181" s="11"/>
      <c r="AO1181" s="11" t="s">
        <v>204</v>
      </c>
      <c r="AP1181" s="10">
        <v>8</v>
      </c>
      <c r="AQ1181" s="163" t="s">
        <v>83</v>
      </c>
      <c r="AR1181" s="11" t="s">
        <v>204</v>
      </c>
      <c r="AS1181" s="10" t="s">
        <v>151</v>
      </c>
      <c r="AT1181" s="11"/>
    </row>
    <row r="1182" spans="1:46" ht="16.5">
      <c r="A1182" s="44">
        <v>48</v>
      </c>
      <c r="B1182" s="10" t="s">
        <v>610</v>
      </c>
      <c r="C1182" s="44">
        <v>80.63</v>
      </c>
      <c r="D1182" s="44">
        <v>5.21</v>
      </c>
      <c r="E1182" s="55">
        <v>1.1000000000000001</v>
      </c>
      <c r="F1182" s="55">
        <v>5</v>
      </c>
      <c r="G1182" s="44">
        <v>4.91</v>
      </c>
      <c r="H1182" s="44">
        <v>0</v>
      </c>
      <c r="I1182" s="44">
        <v>0</v>
      </c>
      <c r="J1182" s="44">
        <v>2.76</v>
      </c>
      <c r="K1182" s="44">
        <v>0.39</v>
      </c>
      <c r="L1182" s="44">
        <v>0</v>
      </c>
      <c r="M1182" s="74" t="str">
        <f t="array" ref="M1182">_xlfn.TEXTJOIN("-", TRUE, IF(C1182:L1182&gt;0, $C$2:$L$2, ""))</f>
        <v xml:space="preserve"> Ti-Al-Zr-Mo-V-Cr-Fe</v>
      </c>
      <c r="N1182" s="90">
        <f t="shared" si="40"/>
        <v>1174</v>
      </c>
      <c r="O1182" s="91">
        <f t="shared" si="39"/>
        <v>7</v>
      </c>
      <c r="P1182" s="10">
        <v>2</v>
      </c>
      <c r="Q1182" s="10">
        <v>0</v>
      </c>
      <c r="R1182" s="10" t="s">
        <v>81</v>
      </c>
      <c r="S1182" s="10" t="s">
        <v>81</v>
      </c>
      <c r="T1182" s="10">
        <v>810</v>
      </c>
      <c r="U1182" s="10">
        <v>1</v>
      </c>
      <c r="V1182" s="10">
        <v>2</v>
      </c>
      <c r="W1182" s="10">
        <v>580</v>
      </c>
      <c r="X1182" s="10">
        <v>8</v>
      </c>
      <c r="Y1182" s="10">
        <v>2</v>
      </c>
      <c r="Z1182" s="44"/>
      <c r="AA1182" s="10"/>
      <c r="AB1182" s="10">
        <v>1311</v>
      </c>
      <c r="AC1182" s="10"/>
      <c r="AD1182" s="10">
        <v>16.7</v>
      </c>
      <c r="AE1182" s="10"/>
      <c r="AF1182" s="10"/>
      <c r="AG1182" s="10"/>
      <c r="AH1182" s="10"/>
      <c r="AI1182" s="10"/>
      <c r="AJ1182" s="10"/>
      <c r="AK1182" s="10">
        <v>18.8</v>
      </c>
      <c r="AL1182" s="10"/>
      <c r="AM1182" s="10"/>
      <c r="AN1182" s="11"/>
      <c r="AO1182" s="11" t="s">
        <v>204</v>
      </c>
      <c r="AP1182" s="10">
        <v>8</v>
      </c>
      <c r="AQ1182" s="163" t="s">
        <v>83</v>
      </c>
      <c r="AR1182" s="11" t="s">
        <v>204</v>
      </c>
      <c r="AS1182" s="10" t="s">
        <v>151</v>
      </c>
      <c r="AT1182" s="11"/>
    </row>
    <row r="1183" spans="1:46" ht="16.5">
      <c r="A1183" s="44">
        <v>49</v>
      </c>
      <c r="B1183" s="10" t="s">
        <v>610</v>
      </c>
      <c r="C1183" s="44">
        <v>80.63</v>
      </c>
      <c r="D1183" s="44">
        <v>5.21</v>
      </c>
      <c r="E1183" s="55">
        <v>1.1000000000000001</v>
      </c>
      <c r="F1183" s="55">
        <v>5</v>
      </c>
      <c r="G1183" s="44">
        <v>4.91</v>
      </c>
      <c r="H1183" s="44">
        <v>0</v>
      </c>
      <c r="I1183" s="44">
        <v>0</v>
      </c>
      <c r="J1183" s="44">
        <v>2.76</v>
      </c>
      <c r="K1183" s="44">
        <v>0.39</v>
      </c>
      <c r="L1183" s="44">
        <v>0</v>
      </c>
      <c r="M1183" s="74" t="str">
        <f t="array" ref="M1183">_xlfn.TEXTJOIN("-", TRUE, IF(C1183:L1183&gt;0, $C$2:$L$2, ""))</f>
        <v xml:space="preserve"> Ti-Al-Zr-Mo-V-Cr-Fe</v>
      </c>
      <c r="N1183" s="90">
        <f t="shared" si="40"/>
        <v>1174</v>
      </c>
      <c r="O1183" s="91">
        <f t="shared" si="39"/>
        <v>7</v>
      </c>
      <c r="P1183" s="10">
        <v>2</v>
      </c>
      <c r="Q1183" s="10">
        <v>0</v>
      </c>
      <c r="R1183" s="10" t="s">
        <v>81</v>
      </c>
      <c r="S1183" s="10" t="s">
        <v>81</v>
      </c>
      <c r="T1183" s="10">
        <v>815</v>
      </c>
      <c r="U1183" s="10">
        <v>1</v>
      </c>
      <c r="V1183" s="10">
        <v>2</v>
      </c>
      <c r="W1183" s="10">
        <v>580</v>
      </c>
      <c r="X1183" s="10">
        <v>8</v>
      </c>
      <c r="Y1183" s="10">
        <v>2</v>
      </c>
      <c r="Z1183" s="44"/>
      <c r="AA1183" s="10"/>
      <c r="AB1183" s="10">
        <v>1342</v>
      </c>
      <c r="AC1183" s="10"/>
      <c r="AD1183" s="10">
        <v>14</v>
      </c>
      <c r="AE1183" s="10"/>
      <c r="AF1183" s="10"/>
      <c r="AG1183" s="10"/>
      <c r="AH1183" s="10"/>
      <c r="AI1183" s="10"/>
      <c r="AJ1183" s="10"/>
      <c r="AK1183" s="10">
        <v>16.3</v>
      </c>
      <c r="AL1183" s="10"/>
      <c r="AM1183" s="10"/>
      <c r="AN1183" s="11"/>
      <c r="AO1183" s="11" t="s">
        <v>204</v>
      </c>
      <c r="AP1183" s="10">
        <v>8</v>
      </c>
      <c r="AQ1183" s="163" t="s">
        <v>83</v>
      </c>
      <c r="AR1183" s="11" t="s">
        <v>204</v>
      </c>
      <c r="AS1183" s="10" t="s">
        <v>151</v>
      </c>
      <c r="AT1183" s="11"/>
    </row>
    <row r="1184" spans="1:46" ht="16.5">
      <c r="A1184" s="44">
        <v>50</v>
      </c>
      <c r="B1184" s="10" t="s">
        <v>610</v>
      </c>
      <c r="C1184" s="44">
        <v>80.63</v>
      </c>
      <c r="D1184" s="44">
        <v>5.21</v>
      </c>
      <c r="E1184" s="55">
        <v>1.1000000000000001</v>
      </c>
      <c r="F1184" s="55">
        <v>5</v>
      </c>
      <c r="G1184" s="44">
        <v>4.91</v>
      </c>
      <c r="H1184" s="44">
        <v>0</v>
      </c>
      <c r="I1184" s="44">
        <v>0</v>
      </c>
      <c r="J1184" s="44">
        <v>2.76</v>
      </c>
      <c r="K1184" s="44">
        <v>0.39</v>
      </c>
      <c r="L1184" s="44">
        <v>0</v>
      </c>
      <c r="M1184" s="74" t="str">
        <f t="array" ref="M1184">_xlfn.TEXTJOIN("-", TRUE, IF(C1184:L1184&gt;0, $C$2:$L$2, ""))</f>
        <v xml:space="preserve"> Ti-Al-Zr-Mo-V-Cr-Fe</v>
      </c>
      <c r="N1184" s="90">
        <f t="shared" si="40"/>
        <v>1174</v>
      </c>
      <c r="O1184" s="91">
        <f t="shared" si="39"/>
        <v>7</v>
      </c>
      <c r="P1184" s="10">
        <v>2</v>
      </c>
      <c r="Q1184" s="10">
        <v>0</v>
      </c>
      <c r="R1184" s="10" t="s">
        <v>81</v>
      </c>
      <c r="S1184" s="10" t="s">
        <v>81</v>
      </c>
      <c r="T1184" s="10">
        <v>820</v>
      </c>
      <c r="U1184" s="10">
        <v>1</v>
      </c>
      <c r="V1184" s="10">
        <v>2</v>
      </c>
      <c r="W1184" s="10">
        <v>580</v>
      </c>
      <c r="X1184" s="10">
        <v>8</v>
      </c>
      <c r="Y1184" s="10">
        <v>2</v>
      </c>
      <c r="Z1184" s="44"/>
      <c r="AA1184" s="10"/>
      <c r="AB1184" s="10">
        <v>1365</v>
      </c>
      <c r="AC1184" s="10"/>
      <c r="AD1184" s="10">
        <v>11.6</v>
      </c>
      <c r="AE1184" s="10"/>
      <c r="AF1184" s="10"/>
      <c r="AG1184" s="10"/>
      <c r="AH1184" s="10"/>
      <c r="AI1184" s="10"/>
      <c r="AJ1184" s="10"/>
      <c r="AK1184" s="10">
        <v>16.2</v>
      </c>
      <c r="AL1184" s="10"/>
      <c r="AM1184" s="10"/>
      <c r="AN1184" s="11"/>
      <c r="AO1184" s="11" t="s">
        <v>204</v>
      </c>
      <c r="AP1184" s="10">
        <v>8</v>
      </c>
      <c r="AQ1184" s="163" t="s">
        <v>83</v>
      </c>
      <c r="AR1184" s="11" t="s">
        <v>204</v>
      </c>
      <c r="AS1184" s="10" t="s">
        <v>151</v>
      </c>
      <c r="AT1184" s="11"/>
    </row>
    <row r="1185" spans="1:46" ht="16.5">
      <c r="A1185" s="44">
        <v>51</v>
      </c>
      <c r="B1185" s="10" t="s">
        <v>610</v>
      </c>
      <c r="C1185" s="44">
        <v>80.63</v>
      </c>
      <c r="D1185" s="44">
        <v>5.21</v>
      </c>
      <c r="E1185" s="55">
        <v>1.1000000000000001</v>
      </c>
      <c r="F1185" s="55">
        <v>5</v>
      </c>
      <c r="G1185" s="44">
        <v>4.91</v>
      </c>
      <c r="H1185" s="44">
        <v>0</v>
      </c>
      <c r="I1185" s="44">
        <v>0</v>
      </c>
      <c r="J1185" s="44">
        <v>2.76</v>
      </c>
      <c r="K1185" s="44">
        <v>0.39</v>
      </c>
      <c r="L1185" s="44">
        <v>0</v>
      </c>
      <c r="M1185" s="74" t="str">
        <f t="array" ref="M1185">_xlfn.TEXTJOIN("-", TRUE, IF(C1185:L1185&gt;0, $C$2:$L$2, ""))</f>
        <v xml:space="preserve"> Ti-Al-Zr-Mo-V-Cr-Fe</v>
      </c>
      <c r="N1185" s="90">
        <f t="shared" si="40"/>
        <v>1174</v>
      </c>
      <c r="O1185" s="91">
        <f t="shared" si="39"/>
        <v>7</v>
      </c>
      <c r="P1185" s="10">
        <v>2</v>
      </c>
      <c r="Q1185" s="10">
        <v>0</v>
      </c>
      <c r="R1185" s="10" t="s">
        <v>81</v>
      </c>
      <c r="S1185" s="10" t="s">
        <v>81</v>
      </c>
      <c r="T1185" s="10">
        <v>830</v>
      </c>
      <c r="U1185" s="10">
        <v>1</v>
      </c>
      <c r="V1185" s="10">
        <v>2</v>
      </c>
      <c r="W1185" s="10">
        <v>580</v>
      </c>
      <c r="X1185" s="10">
        <v>8</v>
      </c>
      <c r="Y1185" s="10">
        <v>2</v>
      </c>
      <c r="Z1185" s="44"/>
      <c r="AA1185" s="10"/>
      <c r="AB1185" s="10">
        <v>1356</v>
      </c>
      <c r="AC1185" s="10"/>
      <c r="AD1185" s="10">
        <v>9.4</v>
      </c>
      <c r="AE1185" s="10"/>
      <c r="AF1185" s="10"/>
      <c r="AG1185" s="10"/>
      <c r="AH1185" s="10"/>
      <c r="AI1185" s="10"/>
      <c r="AJ1185" s="10"/>
      <c r="AK1185" s="10">
        <v>16.100000000000001</v>
      </c>
      <c r="AL1185" s="10"/>
      <c r="AM1185" s="10"/>
      <c r="AN1185" s="11"/>
      <c r="AO1185" s="11" t="s">
        <v>204</v>
      </c>
      <c r="AP1185" s="10">
        <v>8</v>
      </c>
      <c r="AQ1185" s="163" t="s">
        <v>83</v>
      </c>
      <c r="AR1185" s="11" t="s">
        <v>204</v>
      </c>
      <c r="AS1185" s="10" t="s">
        <v>151</v>
      </c>
      <c r="AT1185" s="11"/>
    </row>
    <row r="1186" spans="1:46" ht="16.5">
      <c r="A1186" s="44">
        <v>85</v>
      </c>
      <c r="B1186" s="10"/>
      <c r="C1186" s="44">
        <v>80.477999999999994</v>
      </c>
      <c r="D1186" s="44">
        <v>5.01</v>
      </c>
      <c r="E1186" s="44">
        <v>1</v>
      </c>
      <c r="F1186" s="44">
        <v>4.97</v>
      </c>
      <c r="G1186" s="44">
        <v>4.9800000000000004</v>
      </c>
      <c r="H1186" s="44">
        <v>0</v>
      </c>
      <c r="I1186" s="44">
        <v>0</v>
      </c>
      <c r="J1186" s="44">
        <v>2.99</v>
      </c>
      <c r="K1186" s="44">
        <v>0.37</v>
      </c>
      <c r="L1186" s="44">
        <v>0</v>
      </c>
      <c r="M1186" s="74" t="str">
        <f t="array" ref="M1186">_xlfn.TEXTJOIN("-", TRUE, IF(C1186:L1186&gt;0, $C$2:$L$2, ""))</f>
        <v xml:space="preserve"> Ti-Al-Zr-Mo-V-Cr-Fe</v>
      </c>
      <c r="N1186" s="90">
        <f t="shared" si="40"/>
        <v>1174</v>
      </c>
      <c r="O1186" s="91">
        <f t="shared" si="39"/>
        <v>7</v>
      </c>
      <c r="P1186" s="10">
        <v>2</v>
      </c>
      <c r="Q1186" s="10">
        <v>2</v>
      </c>
      <c r="R1186" s="10" t="s">
        <v>430</v>
      </c>
      <c r="S1186" s="10" t="s">
        <v>430</v>
      </c>
      <c r="T1186" s="10">
        <v>760</v>
      </c>
      <c r="U1186" s="10">
        <v>0.5</v>
      </c>
      <c r="V1186" s="10">
        <v>2</v>
      </c>
      <c r="W1186" s="10">
        <v>600</v>
      </c>
      <c r="X1186" s="10">
        <v>6</v>
      </c>
      <c r="Y1186" s="10">
        <v>2</v>
      </c>
      <c r="Z1186" s="44"/>
      <c r="AA1186" s="10"/>
      <c r="AB1186" s="10">
        <v>1274</v>
      </c>
      <c r="AC1186" s="10">
        <v>1028</v>
      </c>
      <c r="AD1186" s="10">
        <v>4</v>
      </c>
      <c r="AE1186" s="10"/>
      <c r="AF1186" s="10"/>
      <c r="AG1186" s="10"/>
      <c r="AH1186" s="10"/>
      <c r="AI1186" s="10"/>
      <c r="AJ1186" s="10"/>
      <c r="AK1186" s="10">
        <v>12.72</v>
      </c>
      <c r="AL1186" s="10"/>
      <c r="AM1186" s="10"/>
      <c r="AN1186" s="11"/>
      <c r="AO1186" s="11" t="s">
        <v>244</v>
      </c>
      <c r="AP1186" s="10">
        <v>20</v>
      </c>
      <c r="AQ1186" s="163" t="s">
        <v>83</v>
      </c>
      <c r="AR1186" s="10" t="s">
        <v>244</v>
      </c>
      <c r="AS1186" s="10" t="s">
        <v>151</v>
      </c>
      <c r="AT1186" t="s">
        <v>613</v>
      </c>
    </row>
    <row r="1187" spans="1:46" ht="16.5">
      <c r="A1187" s="44">
        <v>86</v>
      </c>
      <c r="B1187" s="10"/>
      <c r="C1187" s="44">
        <v>80.477999999999994</v>
      </c>
      <c r="D1187" s="44">
        <v>5.01</v>
      </c>
      <c r="E1187" s="44">
        <v>1</v>
      </c>
      <c r="F1187" s="44">
        <v>4.97</v>
      </c>
      <c r="G1187" s="44">
        <v>4.9800000000000004</v>
      </c>
      <c r="H1187" s="44">
        <v>0</v>
      </c>
      <c r="I1187" s="44">
        <v>0</v>
      </c>
      <c r="J1187" s="44">
        <v>2.99</v>
      </c>
      <c r="K1187" s="44">
        <v>0.37</v>
      </c>
      <c r="L1187" s="44">
        <v>0</v>
      </c>
      <c r="M1187" s="74" t="str">
        <f t="array" ref="M1187">_xlfn.TEXTJOIN("-", TRUE, IF(C1187:L1187&gt;0, $C$2:$L$2, ""))</f>
        <v xml:space="preserve"> Ti-Al-Zr-Mo-V-Cr-Fe</v>
      </c>
      <c r="N1187" s="90">
        <f t="shared" si="40"/>
        <v>1174</v>
      </c>
      <c r="O1187" s="91">
        <f t="shared" si="39"/>
        <v>7</v>
      </c>
      <c r="P1187" s="10">
        <v>2</v>
      </c>
      <c r="Q1187" s="10">
        <v>2</v>
      </c>
      <c r="R1187" s="10" t="s">
        <v>430</v>
      </c>
      <c r="S1187" s="10" t="s">
        <v>430</v>
      </c>
      <c r="T1187" s="10">
        <v>730</v>
      </c>
      <c r="U1187" s="10">
        <v>0.5</v>
      </c>
      <c r="V1187" s="10">
        <v>2</v>
      </c>
      <c r="W1187" s="10">
        <v>600</v>
      </c>
      <c r="X1187" s="10">
        <v>6</v>
      </c>
      <c r="Y1187" s="10">
        <v>2</v>
      </c>
      <c r="Z1187" s="44"/>
      <c r="AA1187" s="10"/>
      <c r="AB1187" s="10">
        <v>1240</v>
      </c>
      <c r="AC1187" s="10">
        <v>1175</v>
      </c>
      <c r="AD1187" s="10">
        <v>4.5999999999999996</v>
      </c>
      <c r="AE1187" s="10"/>
      <c r="AF1187" s="10"/>
      <c r="AG1187" s="10"/>
      <c r="AH1187" s="10"/>
      <c r="AI1187" s="10"/>
      <c r="AJ1187" s="10"/>
      <c r="AK1187" s="10">
        <v>14.83</v>
      </c>
      <c r="AL1187" s="10"/>
      <c r="AM1187" s="10"/>
      <c r="AN1187" s="11"/>
      <c r="AO1187" s="11" t="s">
        <v>244</v>
      </c>
      <c r="AP1187" s="10">
        <v>20</v>
      </c>
      <c r="AQ1187" s="163" t="s">
        <v>83</v>
      </c>
      <c r="AR1187" s="10" t="s">
        <v>244</v>
      </c>
      <c r="AS1187" s="10" t="s">
        <v>151</v>
      </c>
      <c r="AT1187" t="s">
        <v>613</v>
      </c>
    </row>
    <row r="1188" spans="1:46" ht="16.5">
      <c r="A1188" s="44">
        <v>87</v>
      </c>
      <c r="B1188" s="10"/>
      <c r="C1188" s="44">
        <v>80.477999999999994</v>
      </c>
      <c r="D1188" s="44">
        <v>5.01</v>
      </c>
      <c r="E1188" s="44">
        <v>1</v>
      </c>
      <c r="F1188" s="44">
        <v>4.97</v>
      </c>
      <c r="G1188" s="44">
        <v>4.9800000000000004</v>
      </c>
      <c r="H1188" s="44">
        <v>0</v>
      </c>
      <c r="I1188" s="44">
        <v>0</v>
      </c>
      <c r="J1188" s="44">
        <v>2.99</v>
      </c>
      <c r="K1188" s="44">
        <v>0.37</v>
      </c>
      <c r="L1188" s="44">
        <v>0</v>
      </c>
      <c r="M1188" s="74" t="str">
        <f t="array" ref="M1188">_xlfn.TEXTJOIN("-", TRUE, IF(C1188:L1188&gt;0, $C$2:$L$2, ""))</f>
        <v xml:space="preserve"> Ti-Al-Zr-Mo-V-Cr-Fe</v>
      </c>
      <c r="N1188" s="90">
        <f t="shared" si="40"/>
        <v>1174</v>
      </c>
      <c r="O1188" s="91">
        <f t="shared" si="39"/>
        <v>7</v>
      </c>
      <c r="P1188" s="10">
        <v>2</v>
      </c>
      <c r="Q1188" s="10">
        <v>2</v>
      </c>
      <c r="R1188" s="10" t="s">
        <v>430</v>
      </c>
      <c r="S1188" s="10" t="s">
        <v>430</v>
      </c>
      <c r="T1188" s="10">
        <v>700</v>
      </c>
      <c r="U1188" s="10">
        <v>0.5</v>
      </c>
      <c r="V1188" s="10">
        <v>2</v>
      </c>
      <c r="W1188" s="10">
        <v>600</v>
      </c>
      <c r="X1188" s="10">
        <v>6</v>
      </c>
      <c r="Y1188" s="10">
        <v>2</v>
      </c>
      <c r="Z1188" s="44"/>
      <c r="AA1188" s="10"/>
      <c r="AB1188" s="10">
        <v>1194</v>
      </c>
      <c r="AC1188" s="10">
        <v>1128</v>
      </c>
      <c r="AD1188" s="10">
        <v>7.3</v>
      </c>
      <c r="AE1188" s="10"/>
      <c r="AF1188" s="10"/>
      <c r="AG1188" s="10"/>
      <c r="AH1188" s="10"/>
      <c r="AI1188" s="10"/>
      <c r="AJ1188" s="10"/>
      <c r="AK1188" s="10">
        <v>19.36</v>
      </c>
      <c r="AL1188" s="10"/>
      <c r="AM1188" s="10"/>
      <c r="AN1188" s="11"/>
      <c r="AO1188" s="11" t="s">
        <v>244</v>
      </c>
      <c r="AP1188" s="10">
        <v>20</v>
      </c>
      <c r="AQ1188" s="163" t="s">
        <v>83</v>
      </c>
      <c r="AR1188" s="10" t="s">
        <v>244</v>
      </c>
      <c r="AS1188" s="10" t="s">
        <v>151</v>
      </c>
      <c r="AT1188" t="s">
        <v>613</v>
      </c>
    </row>
    <row r="1189" spans="1:46" ht="16.5">
      <c r="A1189" s="44">
        <v>124</v>
      </c>
      <c r="B1189" s="10"/>
      <c r="C1189" s="44">
        <v>86.125</v>
      </c>
      <c r="D1189" s="44">
        <v>4.8600000000000003</v>
      </c>
      <c r="E1189" s="55">
        <v>2.5000000000000001E-2</v>
      </c>
      <c r="F1189" s="44">
        <v>1.87</v>
      </c>
      <c r="G1189" s="44">
        <v>4.87</v>
      </c>
      <c r="H1189" s="44">
        <v>0</v>
      </c>
      <c r="I1189" s="44">
        <v>0</v>
      </c>
      <c r="J1189" s="44">
        <v>1.3</v>
      </c>
      <c r="K1189" s="44">
        <v>0.8</v>
      </c>
      <c r="L1189" s="44">
        <v>0</v>
      </c>
      <c r="M1189" s="74" t="str">
        <f t="array" ref="M1189">_xlfn.TEXTJOIN("-", TRUE, IF(C1189:L1189&gt;0, $C$2:$L$2, ""))</f>
        <v xml:space="preserve"> Ti-Al-Zr-Mo-V-Cr-Fe</v>
      </c>
      <c r="N1189" s="90">
        <f t="shared" si="40"/>
        <v>1174</v>
      </c>
      <c r="O1189" s="91">
        <f t="shared" si="39"/>
        <v>7</v>
      </c>
      <c r="P1189" s="10" t="s">
        <v>81</v>
      </c>
      <c r="Q1189" s="10" t="s">
        <v>81</v>
      </c>
      <c r="R1189" s="10" t="s">
        <v>81</v>
      </c>
      <c r="S1189" s="10" t="s">
        <v>81</v>
      </c>
      <c r="T1189" s="10">
        <v>800</v>
      </c>
      <c r="U1189" s="10">
        <v>1</v>
      </c>
      <c r="V1189" s="10">
        <v>1</v>
      </c>
      <c r="W1189" s="10">
        <v>0</v>
      </c>
      <c r="X1189" s="10">
        <v>0</v>
      </c>
      <c r="Y1189" s="10">
        <v>0</v>
      </c>
      <c r="Z1189" s="44"/>
      <c r="AA1189" s="10"/>
      <c r="AB1189" s="10">
        <v>990</v>
      </c>
      <c r="AC1189" s="10">
        <v>870</v>
      </c>
      <c r="AD1189" s="10">
        <v>17</v>
      </c>
      <c r="AE1189" s="10"/>
      <c r="AF1189" s="10"/>
      <c r="AG1189" s="10"/>
      <c r="AH1189" s="10"/>
      <c r="AI1189" s="10"/>
      <c r="AJ1189" s="10"/>
      <c r="AK1189" s="10"/>
      <c r="AL1189" s="10">
        <v>23.8</v>
      </c>
      <c r="AM1189" s="10"/>
      <c r="AN1189" s="11"/>
      <c r="AO1189" s="11" t="s">
        <v>245</v>
      </c>
      <c r="AP1189" s="10">
        <v>31</v>
      </c>
      <c r="AQ1189" s="163" t="s">
        <v>83</v>
      </c>
      <c r="AR1189" s="11" t="s">
        <v>614</v>
      </c>
      <c r="AS1189" s="10" t="s">
        <v>151</v>
      </c>
      <c r="AT1189" s="11" t="s">
        <v>615</v>
      </c>
    </row>
    <row r="1190" spans="1:46" ht="16.5">
      <c r="A1190" s="44">
        <v>125</v>
      </c>
      <c r="B1190" s="10"/>
      <c r="C1190" s="44">
        <v>86.125</v>
      </c>
      <c r="D1190" s="44">
        <v>4.8600000000000003</v>
      </c>
      <c r="E1190" s="55">
        <v>2.5000000000000001E-2</v>
      </c>
      <c r="F1190" s="44">
        <v>1.87</v>
      </c>
      <c r="G1190" s="44">
        <v>4.87</v>
      </c>
      <c r="H1190" s="44">
        <v>0</v>
      </c>
      <c r="I1190" s="44">
        <v>0</v>
      </c>
      <c r="J1190" s="44">
        <v>1.3</v>
      </c>
      <c r="K1190" s="44">
        <v>0.8</v>
      </c>
      <c r="L1190" s="44">
        <v>0</v>
      </c>
      <c r="M1190" s="74" t="str">
        <f t="array" ref="M1190">_xlfn.TEXTJOIN("-", TRUE, IF(C1190:L1190&gt;0, $C$2:$L$2, ""))</f>
        <v xml:space="preserve"> Ti-Al-Zr-Mo-V-Cr-Fe</v>
      </c>
      <c r="N1190" s="90">
        <f t="shared" si="40"/>
        <v>1174</v>
      </c>
      <c r="O1190" s="91">
        <f t="shared" si="39"/>
        <v>7</v>
      </c>
      <c r="P1190" s="10" t="s">
        <v>81</v>
      </c>
      <c r="Q1190" s="10" t="s">
        <v>81</v>
      </c>
      <c r="R1190" s="10" t="s">
        <v>81</v>
      </c>
      <c r="S1190" s="10" t="s">
        <v>81</v>
      </c>
      <c r="T1190" s="10">
        <v>860</v>
      </c>
      <c r="U1190" s="10">
        <v>1</v>
      </c>
      <c r="V1190" s="10">
        <v>1</v>
      </c>
      <c r="W1190" s="10">
        <v>0</v>
      </c>
      <c r="X1190" s="10">
        <v>0</v>
      </c>
      <c r="Y1190" s="10">
        <v>0</v>
      </c>
      <c r="Z1190" s="44"/>
      <c r="AA1190" s="10"/>
      <c r="AB1190" s="10">
        <v>1050</v>
      </c>
      <c r="AC1190" s="10">
        <v>920</v>
      </c>
      <c r="AD1190" s="10">
        <v>11</v>
      </c>
      <c r="AE1190" s="10"/>
      <c r="AF1190" s="10"/>
      <c r="AG1190" s="10"/>
      <c r="AH1190" s="10"/>
      <c r="AI1190" s="10"/>
      <c r="AJ1190" s="10"/>
      <c r="AK1190" s="10"/>
      <c r="AL1190" s="10">
        <v>27.6</v>
      </c>
      <c r="AM1190" s="10"/>
      <c r="AN1190" s="11"/>
      <c r="AO1190" s="11" t="s">
        <v>245</v>
      </c>
      <c r="AP1190" s="10">
        <v>31</v>
      </c>
      <c r="AQ1190" s="163" t="s">
        <v>83</v>
      </c>
      <c r="AR1190" s="11" t="s">
        <v>245</v>
      </c>
      <c r="AS1190" s="10" t="s">
        <v>151</v>
      </c>
      <c r="AT1190" s="11" t="s">
        <v>615</v>
      </c>
    </row>
    <row r="1191" spans="1:46" ht="16.5">
      <c r="A1191" s="44">
        <v>97</v>
      </c>
      <c r="B1191" s="10"/>
      <c r="C1191" s="44">
        <v>82.14</v>
      </c>
      <c r="D1191" s="44">
        <v>5.0999999999999996</v>
      </c>
      <c r="E1191" s="44">
        <v>1.83</v>
      </c>
      <c r="F1191" s="44">
        <v>4.7</v>
      </c>
      <c r="G1191" s="44">
        <v>0</v>
      </c>
      <c r="H1191" s="44">
        <v>0</v>
      </c>
      <c r="I1191" s="44">
        <v>0</v>
      </c>
      <c r="J1191" s="44">
        <v>3.21</v>
      </c>
      <c r="K1191" s="44">
        <v>0.1</v>
      </c>
      <c r="L1191" s="44">
        <v>2.88</v>
      </c>
      <c r="M1191" s="74" t="str">
        <f t="array" ref="M1191">_xlfn.TEXTJOIN("-", TRUE, IF(C1191:L1191&gt;0, $C$2:$L$2, ""))</f>
        <v xml:space="preserve"> Ti-Al-Zr-Mo-Cr-Fe-Sn</v>
      </c>
      <c r="N1191" s="90">
        <f t="shared" si="40"/>
        <v>1191</v>
      </c>
      <c r="O1191" s="91">
        <f t="shared" si="39"/>
        <v>7</v>
      </c>
      <c r="P1191" s="10" t="s">
        <v>81</v>
      </c>
      <c r="Q1191" s="10" t="s">
        <v>81</v>
      </c>
      <c r="R1191" s="10" t="s">
        <v>81</v>
      </c>
      <c r="S1191" s="10" t="s">
        <v>81</v>
      </c>
      <c r="T1191" s="10" t="s">
        <v>81</v>
      </c>
      <c r="U1191" s="10" t="s">
        <v>81</v>
      </c>
      <c r="V1191" s="10" t="s">
        <v>81</v>
      </c>
      <c r="W1191" s="10">
        <v>630</v>
      </c>
      <c r="X1191" s="10">
        <v>8</v>
      </c>
      <c r="Y1191" s="10">
        <v>2</v>
      </c>
      <c r="Z1191" s="44"/>
      <c r="AA1191" s="10"/>
      <c r="AB1191" s="10">
        <v>1120</v>
      </c>
      <c r="AC1191" s="10">
        <v>1030</v>
      </c>
      <c r="AD1191" s="10">
        <v>7</v>
      </c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1"/>
      <c r="AO1191" s="11" t="s">
        <v>248</v>
      </c>
      <c r="AP1191" s="10">
        <v>23</v>
      </c>
      <c r="AQ1191" s="163" t="s">
        <v>83</v>
      </c>
      <c r="AR1191" s="10">
        <v>97</v>
      </c>
    </row>
    <row r="1192" spans="1:46" ht="16.5">
      <c r="A1192" s="44">
        <v>142</v>
      </c>
      <c r="B1192" s="10"/>
      <c r="C1192" s="44">
        <v>82.656999999999996</v>
      </c>
      <c r="D1192" s="44">
        <v>5.0199999999999996</v>
      </c>
      <c r="E1192" s="44">
        <v>1.95</v>
      </c>
      <c r="F1192" s="44">
        <v>3.88</v>
      </c>
      <c r="G1192" s="44">
        <v>0</v>
      </c>
      <c r="H1192" s="44">
        <v>0</v>
      </c>
      <c r="I1192" s="44">
        <v>0</v>
      </c>
      <c r="J1192" s="44">
        <v>3.93</v>
      </c>
      <c r="K1192" s="44">
        <v>0.05</v>
      </c>
      <c r="L1192" s="44">
        <v>2.37</v>
      </c>
      <c r="M1192" s="74" t="str">
        <f t="array" ref="M1192">_xlfn.TEXTJOIN("-", TRUE, IF(C1192:L1192&gt;0, $C$2:$L$2, ""))</f>
        <v xml:space="preserve"> Ti-Al-Zr-Mo-Cr-Fe-Sn</v>
      </c>
      <c r="N1192" s="90">
        <f t="shared" si="40"/>
        <v>1191</v>
      </c>
      <c r="O1192" s="91">
        <f t="shared" si="39"/>
        <v>7</v>
      </c>
      <c r="P1192" s="10">
        <v>2</v>
      </c>
      <c r="Q1192" s="10">
        <v>2</v>
      </c>
      <c r="R1192" s="10">
        <v>820</v>
      </c>
      <c r="S1192" s="10">
        <v>20</v>
      </c>
      <c r="T1192" s="10">
        <v>820</v>
      </c>
      <c r="U1192" s="10">
        <v>4</v>
      </c>
      <c r="V1192" s="10">
        <v>1</v>
      </c>
      <c r="W1192" s="10">
        <v>630</v>
      </c>
      <c r="X1192" s="10">
        <v>8</v>
      </c>
      <c r="Y1192" s="10">
        <v>2</v>
      </c>
      <c r="Z1192" s="44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>
        <v>55.33</v>
      </c>
      <c r="AK1192" s="10"/>
      <c r="AL1192" s="10"/>
      <c r="AM1192" s="10"/>
      <c r="AN1192" s="11"/>
      <c r="AO1192" s="11" t="s">
        <v>249</v>
      </c>
      <c r="AP1192" s="10">
        <v>37</v>
      </c>
      <c r="AQ1192" s="163" t="s">
        <v>83</v>
      </c>
      <c r="AR1192" s="10">
        <v>142</v>
      </c>
    </row>
    <row r="1193" spans="1:46" ht="16.5">
      <c r="A1193" s="44">
        <v>143</v>
      </c>
      <c r="B1193" s="10"/>
      <c r="C1193" s="44">
        <v>82.656999999999996</v>
      </c>
      <c r="D1193" s="44">
        <v>5.0199999999999996</v>
      </c>
      <c r="E1193" s="44">
        <v>1.95</v>
      </c>
      <c r="F1193" s="44">
        <v>3.88</v>
      </c>
      <c r="G1193" s="44">
        <v>0</v>
      </c>
      <c r="H1193" s="44">
        <v>0</v>
      </c>
      <c r="I1193" s="44">
        <v>0</v>
      </c>
      <c r="J1193" s="44">
        <v>3.93</v>
      </c>
      <c r="K1193" s="44">
        <v>0.05</v>
      </c>
      <c r="L1193" s="44">
        <v>2.37</v>
      </c>
      <c r="M1193" s="74" t="str">
        <f t="array" ref="M1193">_xlfn.TEXTJOIN("-", TRUE, IF(C1193:L1193&gt;0, $C$2:$L$2, ""))</f>
        <v xml:space="preserve"> Ti-Al-Zr-Mo-Cr-Fe-Sn</v>
      </c>
      <c r="N1193" s="90">
        <f t="shared" si="40"/>
        <v>1191</v>
      </c>
      <c r="O1193" s="91">
        <f t="shared" si="39"/>
        <v>7</v>
      </c>
      <c r="P1193" s="10">
        <v>2</v>
      </c>
      <c r="Q1193" s="10">
        <v>2</v>
      </c>
      <c r="R1193" s="10">
        <v>820</v>
      </c>
      <c r="S1193" s="10">
        <v>40</v>
      </c>
      <c r="T1193" s="10">
        <v>820</v>
      </c>
      <c r="U1193" s="10">
        <v>4</v>
      </c>
      <c r="V1193" s="10">
        <v>1</v>
      </c>
      <c r="W1193" s="10">
        <v>630</v>
      </c>
      <c r="X1193" s="10">
        <v>8</v>
      </c>
      <c r="Y1193" s="10">
        <v>2</v>
      </c>
      <c r="Z1193" s="44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>
        <v>42.33</v>
      </c>
      <c r="AK1193" s="10"/>
      <c r="AL1193" s="10"/>
      <c r="AM1193" s="10"/>
      <c r="AN1193" s="11"/>
      <c r="AO1193" s="11" t="s">
        <v>249</v>
      </c>
      <c r="AP1193" s="10">
        <v>37</v>
      </c>
      <c r="AQ1193" s="163" t="s">
        <v>83</v>
      </c>
      <c r="AR1193" s="10">
        <v>143</v>
      </c>
    </row>
    <row r="1194" spans="1:46" ht="16.5">
      <c r="A1194" s="44">
        <v>144</v>
      </c>
      <c r="B1194" s="10"/>
      <c r="C1194" s="44">
        <v>82.656999999999996</v>
      </c>
      <c r="D1194" s="44">
        <v>5.0199999999999996</v>
      </c>
      <c r="E1194" s="44">
        <v>1.95</v>
      </c>
      <c r="F1194" s="44">
        <v>3.88</v>
      </c>
      <c r="G1194" s="44">
        <v>0</v>
      </c>
      <c r="H1194" s="44">
        <v>0</v>
      </c>
      <c r="I1194" s="44">
        <v>0</v>
      </c>
      <c r="J1194" s="44">
        <v>3.93</v>
      </c>
      <c r="K1194" s="44">
        <v>0.05</v>
      </c>
      <c r="L1194" s="44">
        <v>2.37</v>
      </c>
      <c r="M1194" s="74" t="str">
        <f t="array" ref="M1194">_xlfn.TEXTJOIN("-", TRUE, IF(C1194:L1194&gt;0, $C$2:$L$2, ""))</f>
        <v xml:space="preserve"> Ti-Al-Zr-Mo-Cr-Fe-Sn</v>
      </c>
      <c r="N1194" s="90">
        <f t="shared" si="40"/>
        <v>1191</v>
      </c>
      <c r="O1194" s="91">
        <f t="shared" si="39"/>
        <v>7</v>
      </c>
      <c r="P1194" s="10">
        <v>2</v>
      </c>
      <c r="Q1194" s="10">
        <v>2</v>
      </c>
      <c r="R1194" s="10">
        <v>820</v>
      </c>
      <c r="S1194" s="10">
        <v>60</v>
      </c>
      <c r="T1194" s="10">
        <v>820</v>
      </c>
      <c r="U1194" s="10">
        <v>4</v>
      </c>
      <c r="V1194" s="10">
        <v>1</v>
      </c>
      <c r="W1194" s="10">
        <v>630</v>
      </c>
      <c r="X1194" s="10">
        <v>8</v>
      </c>
      <c r="Y1194" s="10">
        <v>2</v>
      </c>
      <c r="Z1194" s="44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>
        <v>30.67</v>
      </c>
      <c r="AK1194" s="10"/>
      <c r="AL1194" s="10"/>
      <c r="AM1194" s="10"/>
      <c r="AN1194" s="11"/>
      <c r="AO1194" s="11" t="s">
        <v>249</v>
      </c>
      <c r="AP1194" s="10">
        <v>37</v>
      </c>
      <c r="AQ1194" s="163" t="s">
        <v>83</v>
      </c>
      <c r="AR1194" s="10">
        <v>144</v>
      </c>
    </row>
    <row r="1195" spans="1:46" ht="16.5">
      <c r="A1195" s="44">
        <v>145</v>
      </c>
      <c r="B1195" s="10"/>
      <c r="C1195" s="44">
        <v>82.594999999999999</v>
      </c>
      <c r="D1195" s="44">
        <v>5.22</v>
      </c>
      <c r="E1195" s="44">
        <v>2.0499999999999998</v>
      </c>
      <c r="F1195" s="44">
        <v>4.12</v>
      </c>
      <c r="G1195" s="44">
        <v>0</v>
      </c>
      <c r="H1195" s="44">
        <v>0</v>
      </c>
      <c r="I1195" s="44">
        <v>0</v>
      </c>
      <c r="J1195" s="44">
        <v>3.66</v>
      </c>
      <c r="K1195" s="44">
        <v>0.09</v>
      </c>
      <c r="L1195" s="44">
        <v>2.15</v>
      </c>
      <c r="M1195" s="74" t="str">
        <f t="array" ref="M1195">_xlfn.TEXTJOIN("-", TRUE, IF(C1195:L1195&gt;0, $C$2:$L$2, ""))</f>
        <v xml:space="preserve"> Ti-Al-Zr-Mo-Cr-Fe-Sn</v>
      </c>
      <c r="N1195" s="90">
        <f t="shared" si="40"/>
        <v>1191</v>
      </c>
      <c r="O1195" s="91">
        <f t="shared" si="39"/>
        <v>7</v>
      </c>
      <c r="P1195" s="10" t="s">
        <v>81</v>
      </c>
      <c r="Q1195" s="10" t="s">
        <v>81</v>
      </c>
      <c r="R1195" s="10" t="s">
        <v>81</v>
      </c>
      <c r="S1195" s="10">
        <v>0</v>
      </c>
      <c r="T1195" s="10">
        <v>600</v>
      </c>
      <c r="U1195" s="10">
        <v>8</v>
      </c>
      <c r="V1195" s="10">
        <v>2</v>
      </c>
      <c r="W1195" s="10">
        <v>0</v>
      </c>
      <c r="X1195" s="10">
        <v>0</v>
      </c>
      <c r="Y1195" s="10">
        <v>0</v>
      </c>
      <c r="Z1195" s="44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1"/>
      <c r="AO1195" s="11" t="s">
        <v>250</v>
      </c>
      <c r="AP1195" s="10">
        <v>38</v>
      </c>
      <c r="AQ1195" s="163" t="s">
        <v>83</v>
      </c>
      <c r="AR1195" s="10">
        <v>145</v>
      </c>
    </row>
    <row r="1196" spans="1:46" ht="16.5">
      <c r="A1196" s="44">
        <v>146</v>
      </c>
      <c r="B1196" s="10"/>
      <c r="C1196" s="44">
        <v>82.594999999999999</v>
      </c>
      <c r="D1196" s="44">
        <v>5.22</v>
      </c>
      <c r="E1196" s="44">
        <v>2.0499999999999998</v>
      </c>
      <c r="F1196" s="44">
        <v>4.12</v>
      </c>
      <c r="G1196" s="44">
        <v>0</v>
      </c>
      <c r="H1196" s="44">
        <v>0</v>
      </c>
      <c r="I1196" s="44">
        <v>0</v>
      </c>
      <c r="J1196" s="44">
        <v>3.66</v>
      </c>
      <c r="K1196" s="44">
        <v>0.09</v>
      </c>
      <c r="L1196" s="44">
        <v>2.15</v>
      </c>
      <c r="M1196" s="74" t="str">
        <f t="array" ref="M1196">_xlfn.TEXTJOIN("-", TRUE, IF(C1196:L1196&gt;0, $C$2:$L$2, ""))</f>
        <v xml:space="preserve"> Ti-Al-Zr-Mo-Cr-Fe-Sn</v>
      </c>
      <c r="N1196" s="90">
        <f t="shared" si="40"/>
        <v>1191</v>
      </c>
      <c r="O1196" s="91">
        <f t="shared" si="39"/>
        <v>7</v>
      </c>
      <c r="P1196" s="10" t="s">
        <v>81</v>
      </c>
      <c r="Q1196" s="10" t="s">
        <v>81</v>
      </c>
      <c r="R1196" s="10" t="s">
        <v>81</v>
      </c>
      <c r="S1196" s="10">
        <v>20</v>
      </c>
      <c r="T1196" s="10">
        <v>601</v>
      </c>
      <c r="U1196" s="10">
        <v>8.0166666666666693</v>
      </c>
      <c r="V1196" s="10">
        <v>2</v>
      </c>
      <c r="W1196" s="10">
        <v>0</v>
      </c>
      <c r="X1196" s="10">
        <v>0</v>
      </c>
      <c r="Y1196" s="10">
        <v>0</v>
      </c>
      <c r="Z1196" s="44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1"/>
      <c r="AO1196" s="11" t="s">
        <v>250</v>
      </c>
      <c r="AP1196" s="10">
        <v>38</v>
      </c>
      <c r="AQ1196" s="163" t="s">
        <v>83</v>
      </c>
      <c r="AR1196" s="10">
        <v>146</v>
      </c>
    </row>
    <row r="1197" spans="1:46" ht="16.5">
      <c r="A1197" s="44">
        <v>147</v>
      </c>
      <c r="B1197" s="10"/>
      <c r="C1197" s="44">
        <v>82.594999999999999</v>
      </c>
      <c r="D1197" s="44">
        <v>5.22</v>
      </c>
      <c r="E1197" s="44">
        <v>2.0499999999999998</v>
      </c>
      <c r="F1197" s="44">
        <v>4.12</v>
      </c>
      <c r="G1197" s="44">
        <v>0</v>
      </c>
      <c r="H1197" s="44">
        <v>0</v>
      </c>
      <c r="I1197" s="44">
        <v>0</v>
      </c>
      <c r="J1197" s="44">
        <v>3.66</v>
      </c>
      <c r="K1197" s="44">
        <v>0.09</v>
      </c>
      <c r="L1197" s="44">
        <v>2.15</v>
      </c>
      <c r="M1197" s="74" t="str">
        <f t="array" ref="M1197">_xlfn.TEXTJOIN("-", TRUE, IF(C1197:L1197&gt;0, $C$2:$L$2, ""))</f>
        <v xml:space="preserve"> Ti-Al-Zr-Mo-Cr-Fe-Sn</v>
      </c>
      <c r="N1197" s="90">
        <f t="shared" si="40"/>
        <v>1191</v>
      </c>
      <c r="O1197" s="91">
        <f t="shared" si="39"/>
        <v>7</v>
      </c>
      <c r="P1197" s="10" t="s">
        <v>81</v>
      </c>
      <c r="Q1197" s="10" t="s">
        <v>81</v>
      </c>
      <c r="R1197" s="10" t="s">
        <v>81</v>
      </c>
      <c r="S1197" s="10">
        <v>40</v>
      </c>
      <c r="T1197" s="10">
        <v>602</v>
      </c>
      <c r="U1197" s="10">
        <v>8.0333333333333297</v>
      </c>
      <c r="V1197" s="10">
        <v>2</v>
      </c>
      <c r="W1197" s="10">
        <v>0</v>
      </c>
      <c r="X1197" s="10">
        <v>0</v>
      </c>
      <c r="Y1197" s="10">
        <v>0</v>
      </c>
      <c r="Z1197" s="44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>
        <v>31.52</v>
      </c>
      <c r="AK1197" s="10"/>
      <c r="AL1197" s="10"/>
      <c r="AM1197" s="10"/>
      <c r="AN1197" s="11"/>
      <c r="AO1197" s="11" t="s">
        <v>250</v>
      </c>
      <c r="AP1197" s="10">
        <v>38</v>
      </c>
      <c r="AQ1197" s="163" t="s">
        <v>83</v>
      </c>
      <c r="AR1197" s="10">
        <v>147</v>
      </c>
    </row>
    <row r="1198" spans="1:46" ht="16.5">
      <c r="A1198" s="44">
        <v>148</v>
      </c>
      <c r="B1198" s="10"/>
      <c r="C1198" s="44">
        <v>82.594999999999999</v>
      </c>
      <c r="D1198" s="44">
        <v>5.22</v>
      </c>
      <c r="E1198" s="44">
        <v>2.0499999999999998</v>
      </c>
      <c r="F1198" s="44">
        <v>4.12</v>
      </c>
      <c r="G1198" s="44">
        <v>0</v>
      </c>
      <c r="H1198" s="44">
        <v>0</v>
      </c>
      <c r="I1198" s="44">
        <v>0</v>
      </c>
      <c r="J1198" s="44">
        <v>3.66</v>
      </c>
      <c r="K1198" s="44">
        <v>0.09</v>
      </c>
      <c r="L1198" s="44">
        <v>2.15</v>
      </c>
      <c r="M1198" s="74" t="str">
        <f t="array" ref="M1198">_xlfn.TEXTJOIN("-", TRUE, IF(C1198:L1198&gt;0, $C$2:$L$2, ""))</f>
        <v xml:space="preserve"> Ti-Al-Zr-Mo-Cr-Fe-Sn</v>
      </c>
      <c r="N1198" s="90">
        <f t="shared" si="40"/>
        <v>1191</v>
      </c>
      <c r="O1198" s="91">
        <f t="shared" si="39"/>
        <v>7</v>
      </c>
      <c r="P1198" s="10" t="s">
        <v>81</v>
      </c>
      <c r="Q1198" s="10" t="s">
        <v>81</v>
      </c>
      <c r="R1198" s="10" t="s">
        <v>81</v>
      </c>
      <c r="S1198" s="10">
        <v>60</v>
      </c>
      <c r="T1198" s="10">
        <v>603</v>
      </c>
      <c r="U1198" s="10">
        <v>8.0500000000000007</v>
      </c>
      <c r="V1198" s="10">
        <v>2</v>
      </c>
      <c r="W1198" s="10">
        <v>0</v>
      </c>
      <c r="X1198" s="10">
        <v>0</v>
      </c>
      <c r="Y1198" s="10">
        <v>0</v>
      </c>
      <c r="Z1198" s="44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>
        <v>23.58</v>
      </c>
      <c r="AK1198" s="10"/>
      <c r="AL1198" s="10"/>
      <c r="AM1198" s="10"/>
      <c r="AN1198" s="11"/>
      <c r="AO1198" s="11" t="s">
        <v>250</v>
      </c>
      <c r="AP1198" s="10">
        <v>38</v>
      </c>
      <c r="AQ1198" s="163" t="s">
        <v>83</v>
      </c>
      <c r="AR1198" s="10">
        <v>148</v>
      </c>
    </row>
    <row r="1199" spans="1:46" ht="16.5">
      <c r="A1199" s="44">
        <v>149</v>
      </c>
      <c r="B1199" s="10"/>
      <c r="C1199" s="44">
        <v>83.978999999999999</v>
      </c>
      <c r="D1199" s="44">
        <v>5.93</v>
      </c>
      <c r="E1199" s="44">
        <v>2.0299999999999998</v>
      </c>
      <c r="F1199" s="44">
        <v>2.04</v>
      </c>
      <c r="G1199" s="44">
        <v>1.99</v>
      </c>
      <c r="H1199" s="44">
        <v>0</v>
      </c>
      <c r="I1199" s="44">
        <v>0</v>
      </c>
      <c r="J1199" s="55">
        <v>2</v>
      </c>
      <c r="K1199" s="44">
        <v>0</v>
      </c>
      <c r="L1199" s="44">
        <v>1.97</v>
      </c>
      <c r="M1199" s="74" t="str">
        <f t="array" ref="M1199">_xlfn.TEXTJOIN("-", TRUE, IF(C1199:L1199&gt;0, $C$2:$L$2, ""))</f>
        <v xml:space="preserve"> Ti-Al-Zr-Mo-V-Cr-Sn</v>
      </c>
      <c r="N1199" s="90">
        <f t="shared" si="40"/>
        <v>1199</v>
      </c>
      <c r="O1199" s="91">
        <f t="shared" si="39"/>
        <v>7</v>
      </c>
      <c r="P1199" s="10" t="s">
        <v>81</v>
      </c>
      <c r="Q1199" s="10" t="s">
        <v>81</v>
      </c>
      <c r="R1199" s="10" t="s">
        <v>81</v>
      </c>
      <c r="S1199" s="10" t="s">
        <v>81</v>
      </c>
      <c r="T1199" s="10" t="s">
        <v>81</v>
      </c>
      <c r="U1199" s="10" t="s">
        <v>81</v>
      </c>
      <c r="V1199" s="10" t="s">
        <v>81</v>
      </c>
      <c r="W1199" s="10" t="s">
        <v>81</v>
      </c>
      <c r="X1199" s="10" t="s">
        <v>81</v>
      </c>
      <c r="Y1199" s="10" t="s">
        <v>81</v>
      </c>
      <c r="Z1199" s="44"/>
      <c r="AA1199" s="10"/>
      <c r="AB1199" s="10">
        <v>1025</v>
      </c>
      <c r="AC1199" s="10">
        <v>943</v>
      </c>
      <c r="AD1199" s="10">
        <v>6</v>
      </c>
      <c r="AE1199" s="10">
        <v>14.7</v>
      </c>
      <c r="AF1199" s="10"/>
      <c r="AG1199" s="10"/>
      <c r="AH1199" s="10"/>
      <c r="AI1199" s="10"/>
      <c r="AJ1199" s="10"/>
      <c r="AK1199" s="10"/>
      <c r="AL1199" s="10"/>
      <c r="AM1199" s="10"/>
      <c r="AN1199" s="11"/>
      <c r="AO1199" s="11" t="s">
        <v>266</v>
      </c>
      <c r="AP1199" s="10">
        <v>39</v>
      </c>
      <c r="AQ1199" s="163" t="s">
        <v>83</v>
      </c>
      <c r="AR1199" s="10">
        <v>149</v>
      </c>
    </row>
    <row r="1200" spans="1:46" ht="16.5">
      <c r="A1200" s="44">
        <v>150</v>
      </c>
      <c r="B1200" s="10"/>
      <c r="C1200" s="44">
        <v>83.978999999999999</v>
      </c>
      <c r="D1200" s="44">
        <v>5.93</v>
      </c>
      <c r="E1200" s="44">
        <v>2.0299999999999998</v>
      </c>
      <c r="F1200" s="44">
        <v>2.04</v>
      </c>
      <c r="G1200" s="44">
        <v>1.99</v>
      </c>
      <c r="H1200" s="44">
        <v>0</v>
      </c>
      <c r="I1200" s="44">
        <v>0</v>
      </c>
      <c r="J1200" s="55">
        <v>2</v>
      </c>
      <c r="K1200" s="44">
        <v>0</v>
      </c>
      <c r="L1200" s="44">
        <v>1.97</v>
      </c>
      <c r="M1200" s="74" t="str">
        <f t="array" ref="M1200">_xlfn.TEXTJOIN("-", TRUE, IF(C1200:L1200&gt;0, $C$2:$L$2, ""))</f>
        <v xml:space="preserve"> Ti-Al-Zr-Mo-V-Cr-Sn</v>
      </c>
      <c r="N1200" s="90">
        <f t="shared" si="40"/>
        <v>1199</v>
      </c>
      <c r="O1200" s="91">
        <f t="shared" si="39"/>
        <v>7</v>
      </c>
      <c r="P1200" s="10" t="s">
        <v>81</v>
      </c>
      <c r="Q1200" s="10" t="s">
        <v>81</v>
      </c>
      <c r="R1200" s="10" t="s">
        <v>81</v>
      </c>
      <c r="S1200" s="10" t="s">
        <v>81</v>
      </c>
      <c r="T1200" s="10">
        <v>900</v>
      </c>
      <c r="U1200" s="10">
        <v>2</v>
      </c>
      <c r="V1200" s="10">
        <v>2</v>
      </c>
      <c r="W1200" s="10">
        <v>0</v>
      </c>
      <c r="X1200" s="10">
        <v>0</v>
      </c>
      <c r="Y1200" s="10">
        <v>0</v>
      </c>
      <c r="Z1200" s="44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1"/>
      <c r="AO1200" s="11" t="s">
        <v>266</v>
      </c>
      <c r="AP1200" s="10">
        <v>39</v>
      </c>
      <c r="AQ1200" s="163" t="s">
        <v>83</v>
      </c>
      <c r="AR1200" s="10">
        <v>150</v>
      </c>
    </row>
    <row r="1201" spans="1:46" ht="16.5">
      <c r="A1201" s="44">
        <v>151</v>
      </c>
      <c r="B1201" s="10"/>
      <c r="C1201" s="44">
        <v>83.978999999999999</v>
      </c>
      <c r="D1201" s="44">
        <v>5.93</v>
      </c>
      <c r="E1201" s="44">
        <v>2.0299999999999998</v>
      </c>
      <c r="F1201" s="44">
        <v>2.04</v>
      </c>
      <c r="G1201" s="44">
        <v>1.99</v>
      </c>
      <c r="H1201" s="44">
        <v>0</v>
      </c>
      <c r="I1201" s="44">
        <v>0</v>
      </c>
      <c r="J1201" s="55">
        <v>2</v>
      </c>
      <c r="K1201" s="44">
        <v>0</v>
      </c>
      <c r="L1201" s="44">
        <v>1.97</v>
      </c>
      <c r="M1201" s="74" t="str">
        <f t="array" ref="M1201">_xlfn.TEXTJOIN("-", TRUE, IF(C1201:L1201&gt;0, $C$2:$L$2, ""))</f>
        <v xml:space="preserve"> Ti-Al-Zr-Mo-V-Cr-Sn</v>
      </c>
      <c r="N1201" s="90">
        <f t="shared" si="40"/>
        <v>1199</v>
      </c>
      <c r="O1201" s="91">
        <f t="shared" si="39"/>
        <v>7</v>
      </c>
      <c r="P1201" s="10" t="s">
        <v>81</v>
      </c>
      <c r="Q1201" s="10" t="s">
        <v>81</v>
      </c>
      <c r="R1201" s="10" t="s">
        <v>81</v>
      </c>
      <c r="S1201" s="10" t="s">
        <v>81</v>
      </c>
      <c r="T1201" s="10">
        <v>920</v>
      </c>
      <c r="U1201" s="10">
        <v>2</v>
      </c>
      <c r="V1201" s="10">
        <v>2</v>
      </c>
      <c r="W1201" s="10">
        <v>540</v>
      </c>
      <c r="X1201" s="10">
        <v>4</v>
      </c>
      <c r="Y1201" s="10">
        <v>2</v>
      </c>
      <c r="Z1201" s="44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1"/>
      <c r="AO1201" s="11" t="s">
        <v>266</v>
      </c>
      <c r="AP1201" s="10">
        <v>39</v>
      </c>
      <c r="AQ1201" s="163" t="s">
        <v>83</v>
      </c>
      <c r="AR1201" s="10">
        <v>151</v>
      </c>
    </row>
    <row r="1202" spans="1:46" ht="16.5">
      <c r="A1202" s="44">
        <v>152</v>
      </c>
      <c r="B1202" s="10"/>
      <c r="C1202" s="44">
        <v>83.978999999999999</v>
      </c>
      <c r="D1202" s="44">
        <v>5.93</v>
      </c>
      <c r="E1202" s="44">
        <v>2.0299999999999998</v>
      </c>
      <c r="F1202" s="44">
        <v>2.04</v>
      </c>
      <c r="G1202" s="44">
        <v>1.99</v>
      </c>
      <c r="H1202" s="44">
        <v>0</v>
      </c>
      <c r="I1202" s="44">
        <v>0</v>
      </c>
      <c r="J1202" s="55">
        <v>2</v>
      </c>
      <c r="K1202" s="44">
        <v>0</v>
      </c>
      <c r="L1202" s="44">
        <v>1.97</v>
      </c>
      <c r="M1202" s="74" t="str">
        <f t="array" ref="M1202">_xlfn.TEXTJOIN("-", TRUE, IF(C1202:L1202&gt;0, $C$2:$L$2, ""))</f>
        <v xml:space="preserve"> Ti-Al-Zr-Mo-V-Cr-Sn</v>
      </c>
      <c r="N1202" s="90">
        <f t="shared" si="40"/>
        <v>1199</v>
      </c>
      <c r="O1202" s="91">
        <f t="shared" si="39"/>
        <v>7</v>
      </c>
      <c r="P1202" s="10" t="s">
        <v>81</v>
      </c>
      <c r="Q1202" s="10" t="s">
        <v>81</v>
      </c>
      <c r="R1202" s="10" t="s">
        <v>81</v>
      </c>
      <c r="S1202" s="10" t="s">
        <v>81</v>
      </c>
      <c r="T1202" s="10">
        <v>940</v>
      </c>
      <c r="U1202" s="10">
        <v>2</v>
      </c>
      <c r="V1202" s="10">
        <v>2</v>
      </c>
      <c r="W1202" s="10">
        <v>0</v>
      </c>
      <c r="X1202" s="10">
        <v>0</v>
      </c>
      <c r="Y1202" s="10">
        <v>0</v>
      </c>
      <c r="Z1202" s="44"/>
      <c r="AA1202" s="10"/>
      <c r="AB1202" s="10">
        <v>1197.4000000000001</v>
      </c>
      <c r="AC1202" s="10">
        <v>1080.7</v>
      </c>
      <c r="AD1202" s="10">
        <v>7.8</v>
      </c>
      <c r="AE1202" s="10">
        <v>19.2</v>
      </c>
      <c r="AF1202" s="10"/>
      <c r="AG1202" s="10"/>
      <c r="AH1202" s="10"/>
      <c r="AI1202" s="10"/>
      <c r="AJ1202" s="10"/>
      <c r="AK1202" s="10"/>
      <c r="AL1202" s="10"/>
      <c r="AM1202" s="10"/>
      <c r="AN1202" s="11"/>
      <c r="AO1202" s="11" t="s">
        <v>266</v>
      </c>
      <c r="AP1202" s="10">
        <v>39</v>
      </c>
      <c r="AQ1202" s="163" t="s">
        <v>83</v>
      </c>
      <c r="AR1202" s="10">
        <v>152</v>
      </c>
    </row>
    <row r="1203" spans="1:46" ht="16.5">
      <c r="A1203" s="111">
        <v>206</v>
      </c>
      <c r="B1203" s="93" t="s">
        <v>101</v>
      </c>
      <c r="C1203" s="111">
        <v>86.74</v>
      </c>
      <c r="D1203" s="111">
        <v>6</v>
      </c>
      <c r="E1203" s="111">
        <v>3.6</v>
      </c>
      <c r="F1203" s="111">
        <v>0.13</v>
      </c>
      <c r="G1203" s="111">
        <v>0</v>
      </c>
      <c r="H1203" s="111">
        <v>0.24</v>
      </c>
      <c r="I1203" s="111">
        <v>0.12</v>
      </c>
      <c r="J1203" s="111">
        <v>0</v>
      </c>
      <c r="K1203" s="111">
        <v>0</v>
      </c>
      <c r="L1203" s="111">
        <v>2.8</v>
      </c>
      <c r="M1203" s="74" t="str">
        <f t="array" ref="M1203">_xlfn.TEXTJOIN("-", TRUE, IF(C1203:L1203&gt;0, $C$2:$L$2, ""))</f>
        <v xml:space="preserve"> Ti-Al-Zr-Mo-Ta-Nb-Sn</v>
      </c>
      <c r="N1203" s="90" t="str">
        <f t="shared" si="40"/>
        <v/>
      </c>
      <c r="O1203" s="91">
        <f t="shared" si="39"/>
        <v>7</v>
      </c>
      <c r="P1203" s="93">
        <v>1</v>
      </c>
      <c r="Q1203" s="93">
        <v>0</v>
      </c>
      <c r="R1203" s="93">
        <v>0</v>
      </c>
      <c r="S1203" s="93">
        <v>0</v>
      </c>
      <c r="T1203" s="94">
        <v>950</v>
      </c>
      <c r="U1203" s="94">
        <v>1</v>
      </c>
      <c r="V1203" s="8">
        <v>1</v>
      </c>
      <c r="W1203" s="94">
        <v>650</v>
      </c>
      <c r="X1203" s="94">
        <v>6</v>
      </c>
      <c r="Y1203" s="103">
        <v>2</v>
      </c>
      <c r="Z1203" s="18" t="s">
        <v>102</v>
      </c>
      <c r="AA1203" s="9" t="s">
        <v>102</v>
      </c>
      <c r="AB1203" s="93">
        <v>995</v>
      </c>
      <c r="AC1203" s="93">
        <v>883</v>
      </c>
      <c r="AD1203" s="93">
        <v>8.1</v>
      </c>
      <c r="AE1203" s="9" t="s">
        <v>101</v>
      </c>
      <c r="AF1203" s="9" t="s">
        <v>102</v>
      </c>
      <c r="AG1203" s="9" t="s">
        <v>102</v>
      </c>
      <c r="AH1203" s="9" t="s">
        <v>102</v>
      </c>
      <c r="AI1203" s="9" t="s">
        <v>102</v>
      </c>
      <c r="AJ1203" s="9" t="s">
        <v>102</v>
      </c>
      <c r="AK1203" s="9" t="s">
        <v>102</v>
      </c>
      <c r="AL1203" s="9" t="s">
        <v>102</v>
      </c>
      <c r="AN1203" s="12" t="s">
        <v>101</v>
      </c>
      <c r="AO1203" s="12" t="s">
        <v>103</v>
      </c>
      <c r="AP1203" s="94">
        <v>206</v>
      </c>
      <c r="AQ1203" s="157" t="s">
        <v>100</v>
      </c>
      <c r="AR1203" s="93">
        <v>206</v>
      </c>
    </row>
    <row r="1204" spans="1:46" ht="16.5">
      <c r="A1204" s="44">
        <v>104</v>
      </c>
      <c r="B1204" t="s">
        <v>616</v>
      </c>
      <c r="C1204" s="44">
        <v>82.465999999999994</v>
      </c>
      <c r="D1204" s="44">
        <v>5.0199999999999996</v>
      </c>
      <c r="E1204" s="44">
        <v>2.0099999999999998</v>
      </c>
      <c r="F1204" s="44">
        <v>3.03</v>
      </c>
      <c r="G1204" s="44">
        <v>2.99</v>
      </c>
      <c r="H1204" s="44">
        <v>0</v>
      </c>
      <c r="I1204" s="44">
        <v>1.37</v>
      </c>
      <c r="J1204" s="44">
        <v>2.06</v>
      </c>
      <c r="K1204" s="44">
        <v>0.99</v>
      </c>
      <c r="L1204" s="44">
        <v>0</v>
      </c>
      <c r="M1204" s="74" t="str">
        <f t="array" ref="M1204">_xlfn.TEXTJOIN("-", TRUE, IF(C1204:L1204&gt;0, $C$2:$L$2, ""))</f>
        <v xml:space="preserve"> Ti-Al-Zr-Mo-V-Nb-Cr-Fe</v>
      </c>
      <c r="N1204" s="90">
        <f t="shared" si="40"/>
        <v>1204</v>
      </c>
      <c r="O1204" s="91">
        <f t="shared" si="39"/>
        <v>8</v>
      </c>
      <c r="P1204" s="10">
        <v>2</v>
      </c>
      <c r="Q1204" s="10">
        <v>1</v>
      </c>
      <c r="R1204" s="10" t="s">
        <v>81</v>
      </c>
      <c r="S1204" s="10" t="s">
        <v>81</v>
      </c>
      <c r="T1204" s="10">
        <v>830</v>
      </c>
      <c r="U1204" s="10">
        <v>1</v>
      </c>
      <c r="V1204" s="10">
        <v>2</v>
      </c>
      <c r="W1204" s="10">
        <v>570</v>
      </c>
      <c r="X1204" s="10">
        <v>8</v>
      </c>
      <c r="Y1204" s="10">
        <v>2</v>
      </c>
      <c r="Z1204" s="44"/>
      <c r="AA1204" s="10"/>
      <c r="AB1204" s="10">
        <v>1296</v>
      </c>
      <c r="AC1204" s="10">
        <v>1196</v>
      </c>
      <c r="AD1204" s="10">
        <v>12.3</v>
      </c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1"/>
      <c r="AO1204" s="11" t="s">
        <v>254</v>
      </c>
      <c r="AP1204" s="10">
        <v>25</v>
      </c>
      <c r="AQ1204" s="163" t="s">
        <v>83</v>
      </c>
      <c r="AR1204" s="11" t="s">
        <v>617</v>
      </c>
      <c r="AS1204" s="10" t="s">
        <v>151</v>
      </c>
      <c r="AT1204" s="11"/>
    </row>
    <row r="1205" spans="1:46" ht="16.5">
      <c r="A1205" s="44">
        <v>105</v>
      </c>
      <c r="B1205" s="10"/>
      <c r="C1205" s="44">
        <v>82.465999999999994</v>
      </c>
      <c r="D1205" s="44">
        <v>5.0199999999999996</v>
      </c>
      <c r="E1205" s="44">
        <v>2.0099999999999998</v>
      </c>
      <c r="F1205" s="44">
        <v>3.03</v>
      </c>
      <c r="G1205" s="44">
        <v>2.99</v>
      </c>
      <c r="H1205" s="44">
        <v>0</v>
      </c>
      <c r="I1205" s="44">
        <v>1.37</v>
      </c>
      <c r="J1205" s="44">
        <v>2.06</v>
      </c>
      <c r="K1205" s="44">
        <v>0.99</v>
      </c>
      <c r="L1205" s="44">
        <v>0</v>
      </c>
      <c r="M1205" s="74" t="str">
        <f t="array" ref="M1205">_xlfn.TEXTJOIN("-", TRUE, IF(C1205:L1205&gt;0, $C$2:$L$2, ""))</f>
        <v xml:space="preserve"> Ti-Al-Zr-Mo-V-Nb-Cr-Fe</v>
      </c>
      <c r="N1205" s="90">
        <f t="shared" si="40"/>
        <v>1204</v>
      </c>
      <c r="O1205" s="91">
        <f t="shared" si="39"/>
        <v>8</v>
      </c>
      <c r="P1205" s="10">
        <v>2</v>
      </c>
      <c r="Q1205" s="10">
        <v>1</v>
      </c>
      <c r="R1205" s="10" t="s">
        <v>81</v>
      </c>
      <c r="S1205" s="10" t="s">
        <v>81</v>
      </c>
      <c r="T1205" s="10">
        <v>830</v>
      </c>
      <c r="U1205" s="10">
        <v>1</v>
      </c>
      <c r="V1205" t="s">
        <v>618</v>
      </c>
      <c r="W1205" s="10">
        <v>570</v>
      </c>
      <c r="X1205" s="10">
        <v>8</v>
      </c>
      <c r="Y1205" s="10">
        <v>2</v>
      </c>
      <c r="Z1205" s="44"/>
      <c r="AA1205" s="10"/>
      <c r="AB1205" s="10">
        <v>1060</v>
      </c>
      <c r="AC1205" s="10">
        <v>969</v>
      </c>
      <c r="AD1205" s="10">
        <v>20</v>
      </c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1"/>
      <c r="AO1205" s="11" t="s">
        <v>254</v>
      </c>
      <c r="AP1205" s="10">
        <v>25</v>
      </c>
      <c r="AQ1205" s="163" t="s">
        <v>83</v>
      </c>
      <c r="AR1205" s="11" t="s">
        <v>254</v>
      </c>
      <c r="AS1205" s="10" t="s">
        <v>151</v>
      </c>
      <c r="AT1205" s="11"/>
    </row>
    <row r="1206" spans="1:46" ht="16.5">
      <c r="A1206" s="44">
        <v>106</v>
      </c>
      <c r="B1206" s="10"/>
      <c r="C1206" s="44">
        <v>82.465999999999994</v>
      </c>
      <c r="D1206" s="44">
        <v>5.0199999999999996</v>
      </c>
      <c r="E1206" s="44">
        <v>2.0099999999999998</v>
      </c>
      <c r="F1206" s="44">
        <v>3.03</v>
      </c>
      <c r="G1206" s="44">
        <v>2.99</v>
      </c>
      <c r="H1206" s="44">
        <v>0</v>
      </c>
      <c r="I1206" s="44">
        <v>1.37</v>
      </c>
      <c r="J1206" s="44">
        <v>2.06</v>
      </c>
      <c r="K1206" s="44">
        <v>0.99</v>
      </c>
      <c r="L1206" s="44">
        <v>0</v>
      </c>
      <c r="M1206" s="74" t="str">
        <f t="array" ref="M1206">_xlfn.TEXTJOIN("-", TRUE, IF(C1206:L1206&gt;0, $C$2:$L$2, ""))</f>
        <v xml:space="preserve"> Ti-Al-Zr-Mo-V-Nb-Cr-Fe</v>
      </c>
      <c r="N1206" s="90">
        <f t="shared" si="40"/>
        <v>1204</v>
      </c>
      <c r="O1206" s="91">
        <f t="shared" si="39"/>
        <v>8</v>
      </c>
      <c r="P1206" s="10">
        <v>2</v>
      </c>
      <c r="Q1206" s="10">
        <v>1</v>
      </c>
      <c r="R1206" s="10" t="s">
        <v>81</v>
      </c>
      <c r="S1206" s="10" t="s">
        <v>81</v>
      </c>
      <c r="T1206" s="10">
        <v>900</v>
      </c>
      <c r="U1206" s="10">
        <v>1</v>
      </c>
      <c r="V1206" s="10" t="s">
        <v>619</v>
      </c>
      <c r="W1206" s="10">
        <v>570</v>
      </c>
      <c r="X1206" s="10">
        <v>8</v>
      </c>
      <c r="Y1206" s="10">
        <v>2</v>
      </c>
      <c r="Z1206" s="44"/>
      <c r="AA1206" s="10"/>
      <c r="AB1206" s="10">
        <v>1052</v>
      </c>
      <c r="AC1206" s="10">
        <v>915</v>
      </c>
      <c r="AD1206" s="10">
        <v>14.5</v>
      </c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1"/>
      <c r="AO1206" s="11" t="s">
        <v>254</v>
      </c>
      <c r="AP1206" s="10">
        <v>25</v>
      </c>
      <c r="AQ1206" s="163" t="s">
        <v>83</v>
      </c>
      <c r="AR1206" s="11" t="s">
        <v>254</v>
      </c>
      <c r="AS1206" s="10" t="s">
        <v>151</v>
      </c>
      <c r="AT1206" s="11"/>
    </row>
    <row r="1207" spans="1:46" ht="16.5">
      <c r="M1207" s="74">
        <f>SUMPRODUCT(1/COUNTIF(M3:M1206, M3:M1206))</f>
        <v>86.000000000000369</v>
      </c>
      <c r="N1207" s="90" t="str">
        <f t="shared" si="40"/>
        <v/>
      </c>
      <c r="AO1207" s="74"/>
    </row>
  </sheetData>
  <mergeCells count="16">
    <mergeCell ref="W1:Y1"/>
    <mergeCell ref="A1:A2"/>
    <mergeCell ref="B1:B2"/>
    <mergeCell ref="C1:L1"/>
    <mergeCell ref="Q1:S1"/>
    <mergeCell ref="T1:V1"/>
    <mergeCell ref="AQ1:AQ2"/>
    <mergeCell ref="AR1:AR2"/>
    <mergeCell ref="AS1:AS2"/>
    <mergeCell ref="AT1:AT2"/>
    <mergeCell ref="Z1:AF1"/>
    <mergeCell ref="AG1:AH1"/>
    <mergeCell ref="AI1:AL1"/>
    <mergeCell ref="AN1:AN2"/>
    <mergeCell ref="AO1:AO2"/>
    <mergeCell ref="AP1:AP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CA33-9412-4784-B0CB-913A0EF380AE}">
  <dimension ref="A1:BI415"/>
  <sheetViews>
    <sheetView zoomScale="55" zoomScaleNormal="55" workbookViewId="0">
      <selection activeCell="Z3" sqref="Z3:Z415"/>
    </sheetView>
  </sheetViews>
  <sheetFormatPr defaultRowHeight="14.25"/>
  <cols>
    <col min="3" max="3" width="18.375" customWidth="1"/>
    <col min="4" max="4" width="11.5" style="12" customWidth="1"/>
  </cols>
  <sheetData>
    <row r="1" spans="1:61" ht="39.950000000000003" customHeight="1">
      <c r="A1" s="169" t="s">
        <v>0</v>
      </c>
      <c r="B1" s="179" t="s">
        <v>1</v>
      </c>
      <c r="C1" s="167" t="s">
        <v>2</v>
      </c>
      <c r="D1" s="167" t="s">
        <v>2</v>
      </c>
      <c r="E1" s="174" t="s">
        <v>3</v>
      </c>
      <c r="F1" s="175"/>
      <c r="G1" s="175"/>
      <c r="H1" s="175"/>
      <c r="I1" s="175"/>
      <c r="J1" s="175"/>
      <c r="K1" s="175"/>
      <c r="L1" s="175"/>
      <c r="M1" s="175"/>
      <c r="N1" s="176"/>
      <c r="O1" s="2" t="s">
        <v>4</v>
      </c>
      <c r="P1" s="172" t="s">
        <v>5</v>
      </c>
      <c r="Q1" s="170"/>
      <c r="R1" s="170"/>
      <c r="S1" s="173"/>
      <c r="T1" s="174" t="s">
        <v>6</v>
      </c>
      <c r="U1" s="175"/>
      <c r="V1" s="176"/>
      <c r="W1" s="174" t="s">
        <v>7</v>
      </c>
      <c r="X1" s="175"/>
      <c r="Y1" s="176"/>
      <c r="Z1" s="172" t="s">
        <v>8</v>
      </c>
      <c r="AA1" s="170"/>
      <c r="AB1" s="170"/>
      <c r="AC1" s="170"/>
      <c r="AD1" s="170"/>
      <c r="AE1" s="170"/>
      <c r="AF1" s="173"/>
      <c r="AG1" s="172" t="s">
        <v>9</v>
      </c>
      <c r="AH1" s="173"/>
      <c r="AI1" s="174" t="s">
        <v>10</v>
      </c>
      <c r="AJ1" s="175"/>
      <c r="AK1" s="175"/>
      <c r="AL1" s="176"/>
      <c r="AM1" s="2" t="s">
        <v>11</v>
      </c>
      <c r="AN1" s="177" t="s">
        <v>12</v>
      </c>
      <c r="AO1" s="167" t="s">
        <v>13</v>
      </c>
      <c r="AP1" s="167" t="s">
        <v>14</v>
      </c>
      <c r="AQ1" s="167" t="s">
        <v>15</v>
      </c>
    </row>
    <row r="2" spans="1:61" s="5" customFormat="1" ht="39.950000000000003" customHeight="1">
      <c r="A2" s="170"/>
      <c r="B2" s="173"/>
      <c r="C2" s="168"/>
      <c r="D2" s="168"/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1" t="s">
        <v>37</v>
      </c>
      <c r="AA2" s="1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1" t="s">
        <v>44</v>
      </c>
      <c r="AH2" s="2" t="s">
        <v>45</v>
      </c>
      <c r="AI2" s="2" t="s">
        <v>46</v>
      </c>
      <c r="AJ2" s="2" t="s">
        <v>47</v>
      </c>
      <c r="AK2" s="2" t="s">
        <v>48</v>
      </c>
      <c r="AL2" s="2" t="s">
        <v>49</v>
      </c>
      <c r="AM2" s="2"/>
      <c r="AN2" s="178"/>
      <c r="AO2" s="168"/>
      <c r="AP2" s="168"/>
      <c r="AQ2" s="168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61" s="6" customFormat="1" ht="16.5">
      <c r="A3" s="13">
        <v>393</v>
      </c>
      <c r="B3" s="13" t="s">
        <v>113</v>
      </c>
      <c r="C3" s="74" t="s">
        <v>51</v>
      </c>
      <c r="D3" s="86">
        <f>IFERROR(VLOOKUP(C3, $C$2:D2, 2, FALSE), MAX($D$2:D2)+1)</f>
        <v>1</v>
      </c>
      <c r="E3" s="14">
        <v>80.62</v>
      </c>
      <c r="F3" s="14">
        <v>10.14</v>
      </c>
      <c r="G3" s="14">
        <v>0</v>
      </c>
      <c r="H3" s="14">
        <v>2.4699999999999998</v>
      </c>
      <c r="I3" s="14">
        <v>4.45</v>
      </c>
      <c r="J3" s="14">
        <v>0</v>
      </c>
      <c r="K3" s="14">
        <v>0</v>
      </c>
      <c r="L3" s="14">
        <v>2.2399999999999998</v>
      </c>
      <c r="M3" s="14">
        <v>0.08</v>
      </c>
      <c r="N3" s="14">
        <v>0</v>
      </c>
      <c r="O3" s="14">
        <v>1</v>
      </c>
      <c r="P3" s="14">
        <v>1</v>
      </c>
      <c r="Q3" s="13" t="s">
        <v>113</v>
      </c>
      <c r="R3" s="13" t="s">
        <v>113</v>
      </c>
      <c r="S3" s="13" t="s">
        <v>113</v>
      </c>
      <c r="T3" s="13" t="s">
        <v>113</v>
      </c>
      <c r="U3" s="13" t="s">
        <v>113</v>
      </c>
      <c r="V3" s="13">
        <v>1</v>
      </c>
      <c r="W3" s="13" t="s">
        <v>113</v>
      </c>
      <c r="X3" s="13" t="s">
        <v>113</v>
      </c>
      <c r="Y3" s="13" t="s">
        <v>113</v>
      </c>
      <c r="Z3" s="14">
        <v>115</v>
      </c>
      <c r="AA3" s="13" t="s">
        <v>113</v>
      </c>
      <c r="AB3" s="13" t="s">
        <v>113</v>
      </c>
      <c r="AC3" s="14">
        <v>636</v>
      </c>
      <c r="AD3" s="13" t="s">
        <v>113</v>
      </c>
      <c r="AE3" s="13" t="s">
        <v>113</v>
      </c>
      <c r="AF3" s="13" t="s">
        <v>113</v>
      </c>
      <c r="AG3" s="13" t="s">
        <v>113</v>
      </c>
      <c r="AH3" s="13" t="s">
        <v>113</v>
      </c>
      <c r="AI3" s="13" t="s">
        <v>113</v>
      </c>
      <c r="AJ3" s="13" t="s">
        <v>113</v>
      </c>
      <c r="AK3" s="13" t="s">
        <v>113</v>
      </c>
      <c r="AL3" s="13" t="s">
        <v>113</v>
      </c>
      <c r="AM3" s="13"/>
      <c r="AN3" s="13" t="s">
        <v>113</v>
      </c>
      <c r="AO3" s="13" t="s">
        <v>114</v>
      </c>
      <c r="AP3" s="14">
        <v>393</v>
      </c>
      <c r="AQ3" s="14" t="s">
        <v>100</v>
      </c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</row>
    <row r="4" spans="1:61" s="6" customFormat="1" ht="16.5">
      <c r="A4" s="7">
        <v>33</v>
      </c>
      <c r="C4" s="74" t="s">
        <v>56</v>
      </c>
      <c r="D4" s="86">
        <f>IFERROR(VLOOKUP(C4, $C$2:D3, 2, FALSE), MAX($D$2:D3)+1)</f>
        <v>2</v>
      </c>
      <c r="E4" s="8">
        <v>54</v>
      </c>
      <c r="F4" s="8">
        <v>0</v>
      </c>
      <c r="G4" s="8">
        <v>3</v>
      </c>
      <c r="H4" s="8">
        <v>3</v>
      </c>
      <c r="I4" s="8">
        <v>0</v>
      </c>
      <c r="J4" s="8">
        <v>0</v>
      </c>
      <c r="K4" s="8">
        <v>35</v>
      </c>
      <c r="L4" s="8">
        <v>0</v>
      </c>
      <c r="M4" s="8">
        <v>0</v>
      </c>
      <c r="N4" s="8">
        <v>5</v>
      </c>
      <c r="O4" s="8">
        <v>2</v>
      </c>
      <c r="P4" s="8">
        <v>0</v>
      </c>
      <c r="Q4" s="8">
        <v>0</v>
      </c>
      <c r="R4" s="8">
        <v>0</v>
      </c>
      <c r="S4" s="7">
        <v>0</v>
      </c>
      <c r="T4" s="8">
        <v>800</v>
      </c>
      <c r="U4" s="8">
        <v>0.5</v>
      </c>
      <c r="V4" s="8">
        <v>1</v>
      </c>
      <c r="W4" s="8">
        <v>0</v>
      </c>
      <c r="X4" s="8">
        <v>0</v>
      </c>
      <c r="Y4" s="8">
        <v>0</v>
      </c>
      <c r="Z4" s="8">
        <v>70</v>
      </c>
      <c r="AA4" s="8"/>
      <c r="AB4" s="8">
        <v>690</v>
      </c>
      <c r="AC4" s="8">
        <v>668</v>
      </c>
      <c r="AD4" s="8">
        <v>18</v>
      </c>
      <c r="AN4" s="6" t="s">
        <v>57</v>
      </c>
      <c r="AO4" s="6" t="s">
        <v>58</v>
      </c>
      <c r="AP4" s="6">
        <v>2</v>
      </c>
      <c r="AQ4" s="7" t="s">
        <v>54</v>
      </c>
    </row>
    <row r="5" spans="1:61" s="6" customFormat="1" ht="16.5">
      <c r="A5" s="7">
        <v>34</v>
      </c>
      <c r="C5" s="74" t="s">
        <v>56</v>
      </c>
      <c r="D5" s="86">
        <f>IFERROR(VLOOKUP(C5, $C$2:D4, 2, FALSE), MAX($D$2:D4)+1)</f>
        <v>2</v>
      </c>
      <c r="E5" s="8">
        <v>51</v>
      </c>
      <c r="F5" s="8">
        <v>0</v>
      </c>
      <c r="G5" s="8">
        <v>3</v>
      </c>
      <c r="H5" s="8">
        <v>6</v>
      </c>
      <c r="I5" s="8">
        <v>0</v>
      </c>
      <c r="J5" s="8">
        <v>0</v>
      </c>
      <c r="K5" s="8">
        <v>35</v>
      </c>
      <c r="L5" s="8">
        <v>0</v>
      </c>
      <c r="M5" s="8">
        <v>0</v>
      </c>
      <c r="N5" s="8">
        <v>5</v>
      </c>
      <c r="O5" s="8">
        <v>2</v>
      </c>
      <c r="P5" s="8">
        <v>0</v>
      </c>
      <c r="Q5" s="8">
        <v>0</v>
      </c>
      <c r="R5" s="8">
        <v>0</v>
      </c>
      <c r="S5" s="7">
        <v>0</v>
      </c>
      <c r="T5" s="8">
        <v>800</v>
      </c>
      <c r="U5" s="8">
        <v>0.5</v>
      </c>
      <c r="V5" s="8">
        <v>1</v>
      </c>
      <c r="W5" s="8">
        <v>0</v>
      </c>
      <c r="X5" s="8">
        <v>0</v>
      </c>
      <c r="Y5" s="8">
        <v>0</v>
      </c>
      <c r="Z5" s="8">
        <v>85</v>
      </c>
      <c r="AA5" s="8"/>
      <c r="AB5" s="8">
        <v>770</v>
      </c>
      <c r="AC5" s="8">
        <v>729</v>
      </c>
      <c r="AD5" s="8">
        <v>10.5</v>
      </c>
      <c r="AN5" s="6" t="s">
        <v>57</v>
      </c>
      <c r="AO5" s="6" t="s">
        <v>58</v>
      </c>
      <c r="AP5" s="6">
        <v>2</v>
      </c>
      <c r="AQ5" s="7" t="s">
        <v>54</v>
      </c>
    </row>
    <row r="6" spans="1:61" s="6" customFormat="1" ht="16.5">
      <c r="A6" s="7">
        <v>35</v>
      </c>
      <c r="C6" s="74" t="s">
        <v>56</v>
      </c>
      <c r="D6" s="86">
        <f>IFERROR(VLOOKUP(C6, $C$2:D5, 2, FALSE), MAX($D$2:D5)+1)</f>
        <v>2</v>
      </c>
      <c r="E6" s="8">
        <v>44</v>
      </c>
      <c r="F6" s="8">
        <v>0</v>
      </c>
      <c r="G6" s="8">
        <v>9</v>
      </c>
      <c r="H6" s="8">
        <v>9</v>
      </c>
      <c r="I6" s="8">
        <v>0</v>
      </c>
      <c r="J6" s="8">
        <v>0</v>
      </c>
      <c r="K6" s="8">
        <v>35</v>
      </c>
      <c r="L6" s="8">
        <v>0</v>
      </c>
      <c r="M6" s="8">
        <v>0</v>
      </c>
      <c r="N6" s="8">
        <v>3</v>
      </c>
      <c r="O6" s="8">
        <v>2</v>
      </c>
      <c r="P6" s="8">
        <v>0</v>
      </c>
      <c r="Q6" s="8">
        <v>0</v>
      </c>
      <c r="R6" s="8">
        <v>0</v>
      </c>
      <c r="S6" s="7">
        <v>0</v>
      </c>
      <c r="T6" s="8">
        <v>800</v>
      </c>
      <c r="U6" s="8">
        <v>0.5</v>
      </c>
      <c r="V6" s="8">
        <v>1</v>
      </c>
      <c r="W6" s="8">
        <v>0</v>
      </c>
      <c r="X6" s="8">
        <v>0</v>
      </c>
      <c r="Y6" s="8">
        <v>0</v>
      </c>
      <c r="Z6" s="8">
        <v>70</v>
      </c>
      <c r="AA6" s="8"/>
      <c r="AB6" s="8">
        <v>833</v>
      </c>
      <c r="AC6" s="8">
        <v>781</v>
      </c>
      <c r="AD6" s="8">
        <v>10.199999999999999</v>
      </c>
      <c r="AN6" s="6" t="s">
        <v>57</v>
      </c>
      <c r="AO6" s="6" t="s">
        <v>58</v>
      </c>
      <c r="AP6" s="6">
        <v>2</v>
      </c>
      <c r="AQ6" s="7" t="s">
        <v>54</v>
      </c>
    </row>
    <row r="7" spans="1:61" s="6" customFormat="1" ht="16.5">
      <c r="A7" s="7">
        <v>36</v>
      </c>
      <c r="C7" s="74" t="s">
        <v>56</v>
      </c>
      <c r="D7" s="86">
        <f>IFERROR(VLOOKUP(C7, $C$2:D6, 2, FALSE), MAX($D$2:D6)+1)</f>
        <v>2</v>
      </c>
      <c r="E7" s="8">
        <v>52</v>
      </c>
      <c r="F7" s="8">
        <v>0</v>
      </c>
      <c r="G7" s="8">
        <v>6</v>
      </c>
      <c r="H7" s="8">
        <v>3</v>
      </c>
      <c r="I7" s="8">
        <v>0</v>
      </c>
      <c r="J7" s="8">
        <v>0</v>
      </c>
      <c r="K7" s="8">
        <v>35</v>
      </c>
      <c r="L7" s="8">
        <v>0</v>
      </c>
      <c r="M7" s="8">
        <v>0</v>
      </c>
      <c r="N7" s="8">
        <v>4</v>
      </c>
      <c r="O7" s="8">
        <v>2</v>
      </c>
      <c r="P7" s="8">
        <v>0</v>
      </c>
      <c r="Q7" s="8">
        <v>0</v>
      </c>
      <c r="R7" s="8">
        <v>0</v>
      </c>
      <c r="S7" s="7">
        <v>0</v>
      </c>
      <c r="T7" s="8">
        <v>800</v>
      </c>
      <c r="U7" s="8">
        <v>0.5</v>
      </c>
      <c r="V7" s="8">
        <v>1</v>
      </c>
      <c r="W7" s="8">
        <v>0</v>
      </c>
      <c r="X7" s="8">
        <v>0</v>
      </c>
      <c r="Y7" s="8">
        <v>0</v>
      </c>
      <c r="Z7" s="8">
        <v>55</v>
      </c>
      <c r="AA7" s="8"/>
      <c r="AB7" s="8">
        <v>666</v>
      </c>
      <c r="AC7" s="8">
        <v>654</v>
      </c>
      <c r="AD7" s="8">
        <v>8.9</v>
      </c>
      <c r="AN7" s="6" t="s">
        <v>57</v>
      </c>
      <c r="AO7" s="6" t="s">
        <v>58</v>
      </c>
      <c r="AP7" s="6">
        <v>2</v>
      </c>
      <c r="AQ7" s="7" t="s">
        <v>54</v>
      </c>
    </row>
    <row r="8" spans="1:61" s="6" customFormat="1" ht="16.5">
      <c r="A8" s="66">
        <v>370</v>
      </c>
      <c r="B8" s="66" t="s">
        <v>113</v>
      </c>
      <c r="C8" s="74" t="s">
        <v>56</v>
      </c>
      <c r="D8" s="86">
        <f>IFERROR(VLOOKUP(C8, $C$2:D7, 2, FALSE), MAX($D$2:D7)+1)</f>
        <v>2</v>
      </c>
      <c r="E8" s="67">
        <v>76.38000000000001</v>
      </c>
      <c r="F8" s="67">
        <v>0</v>
      </c>
      <c r="G8" s="67">
        <v>5.91</v>
      </c>
      <c r="H8" s="67">
        <v>2.96</v>
      </c>
      <c r="I8" s="67">
        <v>0</v>
      </c>
      <c r="J8" s="67">
        <v>0</v>
      </c>
      <c r="K8" s="67">
        <v>11.799999999999999</v>
      </c>
      <c r="L8" s="67">
        <v>0</v>
      </c>
      <c r="M8" s="67">
        <v>0</v>
      </c>
      <c r="N8" s="67">
        <v>2.9499999999999997</v>
      </c>
      <c r="O8" s="67">
        <v>1</v>
      </c>
      <c r="P8" s="72" t="s">
        <v>173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7">
        <v>72</v>
      </c>
      <c r="AA8" s="66" t="s">
        <v>113</v>
      </c>
      <c r="AB8" s="66" t="s">
        <v>113</v>
      </c>
      <c r="AC8" s="67">
        <v>499</v>
      </c>
      <c r="AD8" s="66" t="s">
        <v>113</v>
      </c>
      <c r="AE8" s="66" t="s">
        <v>113</v>
      </c>
      <c r="AF8" s="66" t="s">
        <v>113</v>
      </c>
      <c r="AG8" s="66" t="s">
        <v>113</v>
      </c>
      <c r="AH8" s="66" t="s">
        <v>113</v>
      </c>
      <c r="AI8" s="66" t="s">
        <v>113</v>
      </c>
      <c r="AJ8" s="66" t="s">
        <v>113</v>
      </c>
      <c r="AK8" s="66" t="s">
        <v>113</v>
      </c>
      <c r="AL8" s="66" t="s">
        <v>113</v>
      </c>
      <c r="AM8" s="66"/>
      <c r="AN8" s="66" t="s">
        <v>113</v>
      </c>
      <c r="AO8" s="66" t="s">
        <v>114</v>
      </c>
      <c r="AP8" s="67">
        <v>370</v>
      </c>
      <c r="AQ8" s="67" t="s">
        <v>100</v>
      </c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</row>
    <row r="9" spans="1:61" s="6" customFormat="1" ht="16.5">
      <c r="A9" s="66">
        <v>371</v>
      </c>
      <c r="B9" s="66" t="s">
        <v>113</v>
      </c>
      <c r="C9" s="74" t="s">
        <v>56</v>
      </c>
      <c r="D9" s="86">
        <f>IFERROR(VLOOKUP(C9, $C$2:D8, 2, FALSE), MAX($D$2:D8)+1)</f>
        <v>2</v>
      </c>
      <c r="E9" s="67">
        <v>79.36</v>
      </c>
      <c r="F9" s="67">
        <v>0</v>
      </c>
      <c r="G9" s="67">
        <v>5.8999999999999995</v>
      </c>
      <c r="H9" s="67">
        <v>2.96</v>
      </c>
      <c r="I9" s="67">
        <v>0</v>
      </c>
      <c r="J9" s="67">
        <v>0</v>
      </c>
      <c r="K9" s="67">
        <v>8.85</v>
      </c>
      <c r="L9" s="67">
        <v>0</v>
      </c>
      <c r="M9" s="67">
        <v>0</v>
      </c>
      <c r="N9" s="67">
        <v>2.93</v>
      </c>
      <c r="O9" s="67">
        <v>1</v>
      </c>
      <c r="P9" s="72" t="s">
        <v>173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7">
        <v>56</v>
      </c>
      <c r="AA9" s="66" t="s">
        <v>113</v>
      </c>
      <c r="AB9" s="66" t="s">
        <v>113</v>
      </c>
      <c r="AC9" s="67">
        <v>566</v>
      </c>
      <c r="AD9" s="66" t="s">
        <v>113</v>
      </c>
      <c r="AE9" s="66" t="s">
        <v>113</v>
      </c>
      <c r="AF9" s="66" t="s">
        <v>113</v>
      </c>
      <c r="AG9" s="66" t="s">
        <v>113</v>
      </c>
      <c r="AH9" s="66" t="s">
        <v>113</v>
      </c>
      <c r="AI9" s="66" t="s">
        <v>113</v>
      </c>
      <c r="AJ9" s="66" t="s">
        <v>113</v>
      </c>
      <c r="AK9" s="66" t="s">
        <v>113</v>
      </c>
      <c r="AL9" s="66" t="s">
        <v>113</v>
      </c>
      <c r="AM9" s="66"/>
      <c r="AN9" s="66" t="s">
        <v>113</v>
      </c>
      <c r="AO9" s="66" t="s">
        <v>232</v>
      </c>
      <c r="AP9" s="67">
        <v>371</v>
      </c>
      <c r="AQ9" s="67" t="s">
        <v>100</v>
      </c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</row>
    <row r="10" spans="1:61" s="6" customFormat="1" ht="16.5">
      <c r="A10" s="66">
        <v>372</v>
      </c>
      <c r="B10" s="66" t="s">
        <v>113</v>
      </c>
      <c r="C10" s="74" t="s">
        <v>56</v>
      </c>
      <c r="D10" s="86">
        <f>IFERROR(VLOOKUP(C10, $C$2:D9, 2, FALSE), MAX($D$2:D9)+1)</f>
        <v>2</v>
      </c>
      <c r="E10" s="67">
        <v>81.22</v>
      </c>
      <c r="F10" s="67">
        <v>0</v>
      </c>
      <c r="G10" s="67">
        <v>3.1300000000000003</v>
      </c>
      <c r="H10" s="67">
        <v>3.16</v>
      </c>
      <c r="I10" s="67">
        <v>0</v>
      </c>
      <c r="J10" s="67">
        <v>0</v>
      </c>
      <c r="K10" s="67">
        <v>9.35</v>
      </c>
      <c r="L10" s="67">
        <v>0</v>
      </c>
      <c r="M10" s="67">
        <v>0</v>
      </c>
      <c r="N10" s="67">
        <v>3.1300000000000003</v>
      </c>
      <c r="O10" s="67">
        <v>1</v>
      </c>
      <c r="P10" s="72" t="s">
        <v>173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7">
        <v>55</v>
      </c>
      <c r="AA10" s="66" t="s">
        <v>113</v>
      </c>
      <c r="AB10" s="66" t="s">
        <v>113</v>
      </c>
      <c r="AC10" s="67">
        <v>533</v>
      </c>
      <c r="AD10" s="66" t="s">
        <v>113</v>
      </c>
      <c r="AE10" s="66" t="s">
        <v>113</v>
      </c>
      <c r="AF10" s="66" t="s">
        <v>113</v>
      </c>
      <c r="AG10" s="66" t="s">
        <v>113</v>
      </c>
      <c r="AH10" s="66" t="s">
        <v>113</v>
      </c>
      <c r="AI10" s="66" t="s">
        <v>113</v>
      </c>
      <c r="AJ10" s="66" t="s">
        <v>113</v>
      </c>
      <c r="AK10" s="66" t="s">
        <v>113</v>
      </c>
      <c r="AL10" s="66" t="s">
        <v>113</v>
      </c>
      <c r="AM10" s="66"/>
      <c r="AN10" s="66" t="s">
        <v>113</v>
      </c>
      <c r="AO10" s="66" t="s">
        <v>114</v>
      </c>
      <c r="AP10" s="67">
        <v>372</v>
      </c>
      <c r="AQ10" s="67" t="s">
        <v>100</v>
      </c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</row>
    <row r="11" spans="1:61" s="6" customFormat="1" ht="16.5">
      <c r="A11" s="13">
        <v>403</v>
      </c>
      <c r="B11" s="13" t="s">
        <v>113</v>
      </c>
      <c r="C11" s="74" t="s">
        <v>56</v>
      </c>
      <c r="D11" s="86">
        <f>IFERROR(VLOOKUP(C11, $C$2:D10, 2, FALSE), MAX($D$2:D10)+1)</f>
        <v>2</v>
      </c>
      <c r="E11" s="14">
        <v>79.990000000000009</v>
      </c>
      <c r="F11" s="14">
        <v>0</v>
      </c>
      <c r="G11" s="14">
        <v>1.8800000000000001</v>
      </c>
      <c r="H11" s="14">
        <v>1.79</v>
      </c>
      <c r="I11" s="14">
        <v>0</v>
      </c>
      <c r="J11" s="14">
        <v>0</v>
      </c>
      <c r="K11" s="14">
        <v>15.379999999999999</v>
      </c>
      <c r="L11" s="14">
        <v>0</v>
      </c>
      <c r="M11" s="14">
        <v>0</v>
      </c>
      <c r="N11" s="14">
        <v>0.96</v>
      </c>
      <c r="O11" s="14">
        <v>1</v>
      </c>
      <c r="P11" s="14">
        <v>1</v>
      </c>
      <c r="Q11" s="13" t="s">
        <v>113</v>
      </c>
      <c r="R11" s="13" t="s">
        <v>113</v>
      </c>
      <c r="S11" s="13" t="s">
        <v>113</v>
      </c>
      <c r="T11" s="13" t="s">
        <v>113</v>
      </c>
      <c r="U11" s="13" t="s">
        <v>113</v>
      </c>
      <c r="V11" s="14">
        <v>2</v>
      </c>
      <c r="W11" s="13" t="s">
        <v>113</v>
      </c>
      <c r="X11" s="13" t="s">
        <v>113</v>
      </c>
      <c r="Y11" s="13" t="s">
        <v>113</v>
      </c>
      <c r="Z11" s="14">
        <v>83</v>
      </c>
      <c r="AA11" s="13" t="s">
        <v>113</v>
      </c>
      <c r="AB11" s="13" t="s">
        <v>113</v>
      </c>
      <c r="AC11" s="14">
        <v>499.1</v>
      </c>
      <c r="AD11" s="13" t="s">
        <v>113</v>
      </c>
      <c r="AE11" s="13" t="s">
        <v>113</v>
      </c>
      <c r="AF11" s="13" t="s">
        <v>113</v>
      </c>
      <c r="AG11" s="13" t="s">
        <v>113</v>
      </c>
      <c r="AH11" s="13" t="s">
        <v>113</v>
      </c>
      <c r="AI11" s="13" t="s">
        <v>113</v>
      </c>
      <c r="AJ11" s="13" t="s">
        <v>113</v>
      </c>
      <c r="AK11" s="13" t="s">
        <v>113</v>
      </c>
      <c r="AL11" s="13" t="s">
        <v>113</v>
      </c>
      <c r="AM11" s="13"/>
      <c r="AN11" s="13" t="s">
        <v>113</v>
      </c>
      <c r="AO11" s="13" t="s">
        <v>114</v>
      </c>
      <c r="AP11" s="14">
        <v>403</v>
      </c>
      <c r="AQ11" s="14" t="s">
        <v>100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</row>
    <row r="12" spans="1:61" s="6" customFormat="1" ht="16.5">
      <c r="A12" s="13">
        <v>504</v>
      </c>
      <c r="B12" s="13" t="s">
        <v>113</v>
      </c>
      <c r="C12" s="74" t="s">
        <v>56</v>
      </c>
      <c r="D12" s="86">
        <f>IFERROR(VLOOKUP(C12, $C$2:D11, 2, FALSE), MAX($D$2:D11)+1)</f>
        <v>2</v>
      </c>
      <c r="E12" s="14">
        <v>80.64</v>
      </c>
      <c r="F12" s="14">
        <v>0</v>
      </c>
      <c r="G12" s="14">
        <v>1.7399999999999998</v>
      </c>
      <c r="H12" s="14">
        <v>1.78</v>
      </c>
      <c r="I12" s="14">
        <v>0</v>
      </c>
      <c r="J12" s="14">
        <v>0</v>
      </c>
      <c r="K12" s="14">
        <v>14.93</v>
      </c>
      <c r="L12" s="14">
        <v>0</v>
      </c>
      <c r="M12" s="14">
        <v>0</v>
      </c>
      <c r="N12" s="14">
        <v>0.91</v>
      </c>
      <c r="O12" s="14">
        <v>1</v>
      </c>
      <c r="P12" s="14">
        <v>1</v>
      </c>
      <c r="Q12" s="13" t="s">
        <v>113</v>
      </c>
      <c r="R12" s="13" t="s">
        <v>113</v>
      </c>
      <c r="S12" s="13" t="s">
        <v>113</v>
      </c>
      <c r="T12" s="13" t="s">
        <v>113</v>
      </c>
      <c r="U12" s="13" t="s">
        <v>113</v>
      </c>
      <c r="V12" s="14">
        <v>1</v>
      </c>
      <c r="W12" s="13" t="s">
        <v>113</v>
      </c>
      <c r="X12" s="13" t="s">
        <v>113</v>
      </c>
      <c r="Y12" s="13" t="s">
        <v>113</v>
      </c>
      <c r="Z12" s="14">
        <v>72</v>
      </c>
      <c r="AA12" s="13" t="s">
        <v>113</v>
      </c>
      <c r="AB12" s="13" t="s">
        <v>113</v>
      </c>
      <c r="AC12" s="14">
        <v>534</v>
      </c>
      <c r="AD12" s="13" t="s">
        <v>113</v>
      </c>
      <c r="AE12" s="13" t="s">
        <v>113</v>
      </c>
      <c r="AF12" s="13" t="s">
        <v>113</v>
      </c>
      <c r="AG12" s="13" t="s">
        <v>113</v>
      </c>
      <c r="AH12" s="13" t="s">
        <v>113</v>
      </c>
      <c r="AI12" s="13" t="s">
        <v>113</v>
      </c>
      <c r="AJ12" s="13" t="s">
        <v>113</v>
      </c>
      <c r="AK12" s="13" t="s">
        <v>113</v>
      </c>
      <c r="AL12" s="13" t="s">
        <v>113</v>
      </c>
      <c r="AM12" s="13"/>
      <c r="AN12" s="13" t="s">
        <v>113</v>
      </c>
      <c r="AO12" s="13" t="s">
        <v>114</v>
      </c>
      <c r="AP12" s="14">
        <v>504</v>
      </c>
      <c r="AQ12" s="14" t="s">
        <v>100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</row>
    <row r="13" spans="1:61" s="6" customFormat="1" ht="16.5">
      <c r="A13" s="13">
        <v>505</v>
      </c>
      <c r="B13" s="13" t="s">
        <v>113</v>
      </c>
      <c r="C13" s="74" t="s">
        <v>56</v>
      </c>
      <c r="D13" s="86">
        <f>IFERROR(VLOOKUP(C13, $C$2:D12, 2, FALSE), MAX($D$2:D12)+1)</f>
        <v>2</v>
      </c>
      <c r="E13" s="14">
        <v>78.400000000000006</v>
      </c>
      <c r="F13" s="14">
        <v>0</v>
      </c>
      <c r="G13" s="14">
        <v>1.97</v>
      </c>
      <c r="H13" s="14">
        <v>3.32</v>
      </c>
      <c r="I13" s="14">
        <v>0</v>
      </c>
      <c r="J13" s="14">
        <v>0</v>
      </c>
      <c r="K13" s="14">
        <v>15.329999999999998</v>
      </c>
      <c r="L13" s="14">
        <v>0</v>
      </c>
      <c r="M13" s="14">
        <v>0</v>
      </c>
      <c r="N13" s="14">
        <v>0.98</v>
      </c>
      <c r="O13" s="14">
        <v>1</v>
      </c>
      <c r="P13" s="14">
        <v>1</v>
      </c>
      <c r="Q13" s="13" t="s">
        <v>113</v>
      </c>
      <c r="R13" s="13" t="s">
        <v>113</v>
      </c>
      <c r="S13" s="13" t="s">
        <v>113</v>
      </c>
      <c r="T13" s="13" t="s">
        <v>113</v>
      </c>
      <c r="U13" s="13" t="s">
        <v>113</v>
      </c>
      <c r="V13" s="14">
        <v>1</v>
      </c>
      <c r="W13" s="13" t="s">
        <v>113</v>
      </c>
      <c r="X13" s="13" t="s">
        <v>113</v>
      </c>
      <c r="Y13" s="13" t="s">
        <v>113</v>
      </c>
      <c r="Z13" s="14">
        <v>68</v>
      </c>
      <c r="AA13" s="13" t="s">
        <v>113</v>
      </c>
      <c r="AB13" s="13" t="s">
        <v>113</v>
      </c>
      <c r="AC13" s="14">
        <v>491</v>
      </c>
      <c r="AD13" s="13" t="s">
        <v>113</v>
      </c>
      <c r="AE13" s="13" t="s">
        <v>113</v>
      </c>
      <c r="AF13" s="13" t="s">
        <v>113</v>
      </c>
      <c r="AG13" s="13" t="s">
        <v>113</v>
      </c>
      <c r="AH13" s="13" t="s">
        <v>113</v>
      </c>
      <c r="AI13" s="13" t="s">
        <v>113</v>
      </c>
      <c r="AJ13" s="13" t="s">
        <v>113</v>
      </c>
      <c r="AK13" s="13" t="s">
        <v>113</v>
      </c>
      <c r="AL13" s="13" t="s">
        <v>113</v>
      </c>
      <c r="AM13" s="13"/>
      <c r="AN13" s="13" t="s">
        <v>113</v>
      </c>
      <c r="AO13" s="13" t="s">
        <v>114</v>
      </c>
      <c r="AP13" s="14">
        <v>505</v>
      </c>
      <c r="AQ13" s="14" t="s">
        <v>100</v>
      </c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</row>
    <row r="14" spans="1:61" s="6" customFormat="1" ht="16.5">
      <c r="A14" s="9">
        <v>9</v>
      </c>
      <c r="B14"/>
      <c r="C14" s="74" t="s">
        <v>56</v>
      </c>
      <c r="D14" s="86">
        <f>IFERROR(VLOOKUP(C14, $C$2:D13, 2, FALSE), MAX($D$2:D13)+1)</f>
        <v>2</v>
      </c>
      <c r="E14" s="9">
        <v>81.25</v>
      </c>
      <c r="F14"/>
      <c r="G14" s="9">
        <v>6.25</v>
      </c>
      <c r="H14" s="9">
        <v>3.13</v>
      </c>
      <c r="I14"/>
      <c r="J14" s="9">
        <v>0</v>
      </c>
      <c r="K14" s="9">
        <v>6.25</v>
      </c>
      <c r="L14"/>
      <c r="M14"/>
      <c r="N14" s="9">
        <v>3.12</v>
      </c>
      <c r="O14"/>
      <c r="P14"/>
      <c r="Q14"/>
      <c r="R14"/>
      <c r="S14"/>
      <c r="T14"/>
      <c r="U14"/>
      <c r="V14"/>
      <c r="W14"/>
      <c r="X14"/>
      <c r="Y14"/>
      <c r="Z14" s="9">
        <v>48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9" t="s">
        <v>59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</row>
    <row r="15" spans="1:61" s="6" customFormat="1" ht="16.5">
      <c r="A15" s="9">
        <v>10</v>
      </c>
      <c r="B15"/>
      <c r="C15" s="74" t="s">
        <v>56</v>
      </c>
      <c r="D15" s="86">
        <f>IFERROR(VLOOKUP(C15, $C$2:D14, 2, FALSE), MAX($D$2:D14)+1)</f>
        <v>2</v>
      </c>
      <c r="E15" s="9">
        <v>75</v>
      </c>
      <c r="F15"/>
      <c r="G15" s="9">
        <v>12.5</v>
      </c>
      <c r="H15" s="9">
        <v>3.13</v>
      </c>
      <c r="I15"/>
      <c r="J15" s="9">
        <v>0</v>
      </c>
      <c r="K15" s="9">
        <v>6.25</v>
      </c>
      <c r="L15"/>
      <c r="M15"/>
      <c r="N15" s="9">
        <v>3.12</v>
      </c>
      <c r="O15"/>
      <c r="P15"/>
      <c r="Q15"/>
      <c r="R15"/>
      <c r="S15"/>
      <c r="T15"/>
      <c r="U15"/>
      <c r="V15"/>
      <c r="W15"/>
      <c r="X15"/>
      <c r="Y15"/>
      <c r="Z15" s="9">
        <v>56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9" t="s">
        <v>59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</row>
    <row r="16" spans="1:61" s="6" customFormat="1" ht="16.5">
      <c r="A16" s="9">
        <v>11</v>
      </c>
      <c r="B16"/>
      <c r="C16" s="74" t="s">
        <v>56</v>
      </c>
      <c r="D16" s="86">
        <f>IFERROR(VLOOKUP(C16, $C$2:D15, 2, FALSE), MAX($D$2:D15)+1)</f>
        <v>2</v>
      </c>
      <c r="E16" s="9">
        <v>76.47</v>
      </c>
      <c r="F16"/>
      <c r="G16" s="9">
        <v>5.88</v>
      </c>
      <c r="H16" s="9">
        <v>2.94</v>
      </c>
      <c r="I16"/>
      <c r="J16" s="9">
        <v>0</v>
      </c>
      <c r="K16" s="9">
        <v>11.76</v>
      </c>
      <c r="L16"/>
      <c r="M16"/>
      <c r="N16" s="9">
        <v>2.95</v>
      </c>
      <c r="O16"/>
      <c r="P16"/>
      <c r="Q16"/>
      <c r="R16"/>
      <c r="S16"/>
      <c r="T16"/>
      <c r="U16"/>
      <c r="V16"/>
      <c r="W16"/>
      <c r="X16"/>
      <c r="Y16"/>
      <c r="Z16" s="9">
        <v>72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9" t="s">
        <v>59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</row>
    <row r="17" spans="1:61" s="6" customFormat="1" ht="16.5">
      <c r="A17" s="9">
        <v>28</v>
      </c>
      <c r="B17"/>
      <c r="C17" s="74" t="s">
        <v>56</v>
      </c>
      <c r="D17" s="86">
        <f>IFERROR(VLOOKUP(C17, $C$2:D16, 2, FALSE), MAX($D$2:D16)+1)</f>
        <v>2</v>
      </c>
      <c r="E17" s="9">
        <v>68.099999999999994</v>
      </c>
      <c r="F17"/>
      <c r="G17" s="9">
        <v>10</v>
      </c>
      <c r="H17" s="9">
        <v>5.2</v>
      </c>
      <c r="I17"/>
      <c r="J17" s="9">
        <v>0</v>
      </c>
      <c r="K17" s="9">
        <v>10.199999999999999</v>
      </c>
      <c r="L17"/>
      <c r="M17"/>
      <c r="N17" s="9">
        <v>6.5</v>
      </c>
      <c r="O17"/>
      <c r="P17"/>
      <c r="Q17"/>
      <c r="R17"/>
      <c r="S17"/>
      <c r="T17"/>
      <c r="U17"/>
      <c r="V17"/>
      <c r="W17"/>
      <c r="X17"/>
      <c r="Y17"/>
      <c r="Z17" s="9">
        <v>48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9" t="s">
        <v>59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</row>
    <row r="18" spans="1:61" s="6" customFormat="1" ht="16.5">
      <c r="A18" s="9">
        <v>29</v>
      </c>
      <c r="B18"/>
      <c r="C18" s="74" t="s">
        <v>56</v>
      </c>
      <c r="D18" s="86">
        <f>IFERROR(VLOOKUP(C18, $C$2:D17, 2, FALSE), MAX($D$2:D17)+1)</f>
        <v>2</v>
      </c>
      <c r="E18" s="9">
        <v>60</v>
      </c>
      <c r="F18"/>
      <c r="G18" s="9">
        <v>19.100000000000001</v>
      </c>
      <c r="H18" s="9">
        <v>5</v>
      </c>
      <c r="I18"/>
      <c r="J18" s="9">
        <v>0</v>
      </c>
      <c r="K18" s="9">
        <v>9.6999999999999993</v>
      </c>
      <c r="L18"/>
      <c r="M18"/>
      <c r="N18" s="9">
        <v>6.2</v>
      </c>
      <c r="O18"/>
      <c r="P18"/>
      <c r="Q18"/>
      <c r="R18"/>
      <c r="S18"/>
      <c r="T18"/>
      <c r="U18"/>
      <c r="V18"/>
      <c r="W18"/>
      <c r="X18"/>
      <c r="Y18"/>
      <c r="Z18" s="9">
        <v>56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9" t="s">
        <v>59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s="6" customFormat="1" ht="16.5">
      <c r="A19" s="9">
        <v>36</v>
      </c>
      <c r="B19"/>
      <c r="C19" s="74" t="s">
        <v>56</v>
      </c>
      <c r="D19" s="86">
        <f>IFERROR(VLOOKUP(C19, $C$2:D18, 2, FALSE), MAX($D$2:D18)+1)</f>
        <v>2</v>
      </c>
      <c r="E19" s="9">
        <v>61.9</v>
      </c>
      <c r="F19"/>
      <c r="G19" s="9">
        <v>9.1</v>
      </c>
      <c r="H19" s="9">
        <v>4.7</v>
      </c>
      <c r="I19"/>
      <c r="J19" s="9">
        <v>0</v>
      </c>
      <c r="K19" s="9">
        <v>18.5</v>
      </c>
      <c r="L19"/>
      <c r="M19"/>
      <c r="N19" s="9">
        <v>5.8</v>
      </c>
      <c r="O19"/>
      <c r="P19"/>
      <c r="Q19"/>
      <c r="R19"/>
      <c r="S19"/>
      <c r="T19"/>
      <c r="U19"/>
      <c r="V19"/>
      <c r="W19"/>
      <c r="X19"/>
      <c r="Y19"/>
      <c r="Z19" s="9">
        <v>72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9" t="s">
        <v>59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s="6" customFormat="1" ht="16.5">
      <c r="A20" s="9">
        <v>37</v>
      </c>
      <c r="B20"/>
      <c r="C20" s="74" t="s">
        <v>56</v>
      </c>
      <c r="D20" s="86">
        <f>IFERROR(VLOOKUP(C20, $C$2:D19, 2, FALSE), MAX($D$2:D19)+1)</f>
        <v>2</v>
      </c>
      <c r="E20" s="9">
        <v>54.7</v>
      </c>
      <c r="F20"/>
      <c r="G20" s="9">
        <v>17.399999999999999</v>
      </c>
      <c r="H20" s="9">
        <v>4.5</v>
      </c>
      <c r="I20"/>
      <c r="J20" s="9">
        <v>0</v>
      </c>
      <c r="K20" s="9">
        <v>17.8</v>
      </c>
      <c r="L20"/>
      <c r="M20"/>
      <c r="N20" s="9">
        <v>5.6</v>
      </c>
      <c r="O20"/>
      <c r="P20"/>
      <c r="Q20"/>
      <c r="R20"/>
      <c r="S20"/>
      <c r="T20"/>
      <c r="U20"/>
      <c r="V20"/>
      <c r="W20"/>
      <c r="X20"/>
      <c r="Y20"/>
      <c r="Z20" s="9">
        <v>82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9" t="s">
        <v>59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s="6" customFormat="1" ht="16.5">
      <c r="A21" s="9">
        <v>44</v>
      </c>
      <c r="B21"/>
      <c r="C21" s="74" t="s">
        <v>56</v>
      </c>
      <c r="D21" s="86">
        <f>IFERROR(VLOOKUP(C21, $C$2:D20, 2, FALSE), MAX($D$2:D20)+1)</f>
        <v>2</v>
      </c>
      <c r="E21" s="9">
        <v>56.6</v>
      </c>
      <c r="F21"/>
      <c r="G21" s="9">
        <v>8.1999999999999993</v>
      </c>
      <c r="H21" s="9">
        <v>4.4000000000000004</v>
      </c>
      <c r="I21"/>
      <c r="J21" s="9">
        <v>0</v>
      </c>
      <c r="K21" s="9">
        <v>25.4</v>
      </c>
      <c r="L21"/>
      <c r="M21"/>
      <c r="N21" s="9">
        <v>5.4</v>
      </c>
      <c r="O21"/>
      <c r="P21"/>
      <c r="Q21"/>
      <c r="R21"/>
      <c r="S21"/>
      <c r="T21"/>
      <c r="U21"/>
      <c r="V21"/>
      <c r="W21"/>
      <c r="X21"/>
      <c r="Y21"/>
      <c r="Z21" s="9">
        <v>66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9" t="s">
        <v>59</v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6" customFormat="1" ht="16.5">
      <c r="A22" s="9">
        <v>45</v>
      </c>
      <c r="B22"/>
      <c r="C22" s="74" t="s">
        <v>56</v>
      </c>
      <c r="D22" s="86">
        <f>IFERROR(VLOOKUP(C22, $C$2:D21, 2, FALSE), MAX($D$2:D21)+1)</f>
        <v>2</v>
      </c>
      <c r="E22" s="9">
        <v>50.2</v>
      </c>
      <c r="F22"/>
      <c r="G22" s="9">
        <v>15.9</v>
      </c>
      <c r="H22" s="9">
        <v>4.3</v>
      </c>
      <c r="I22"/>
      <c r="J22" s="9">
        <v>0</v>
      </c>
      <c r="K22" s="9">
        <v>24.4</v>
      </c>
      <c r="L22"/>
      <c r="M22"/>
      <c r="N22" s="9">
        <v>5.2</v>
      </c>
      <c r="O22"/>
      <c r="P22"/>
      <c r="Q22"/>
      <c r="R22"/>
      <c r="S22"/>
      <c r="T22"/>
      <c r="U22"/>
      <c r="V22"/>
      <c r="W22"/>
      <c r="X22"/>
      <c r="Y22"/>
      <c r="Z22" s="9">
        <v>72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9" t="s">
        <v>59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6" customFormat="1" ht="16.5">
      <c r="A23" s="9">
        <v>51</v>
      </c>
      <c r="B23"/>
      <c r="C23" s="74" t="s">
        <v>56</v>
      </c>
      <c r="D23" s="86">
        <f>IFERROR(VLOOKUP(C23, $C$2:D22, 2, FALSE), MAX($D$2:D22)+1)</f>
        <v>2</v>
      </c>
      <c r="E23" s="9">
        <v>81.3</v>
      </c>
      <c r="F23"/>
      <c r="G23" s="9">
        <v>7.5</v>
      </c>
      <c r="H23" s="9">
        <v>3.1</v>
      </c>
      <c r="I23"/>
      <c r="J23" s="9">
        <v>0</v>
      </c>
      <c r="K23" s="9">
        <v>5</v>
      </c>
      <c r="L23"/>
      <c r="M23"/>
      <c r="N23" s="9">
        <v>3.1</v>
      </c>
      <c r="O23"/>
      <c r="P23"/>
      <c r="Q23"/>
      <c r="R23"/>
      <c r="S23"/>
      <c r="T23"/>
      <c r="U23"/>
      <c r="V23"/>
      <c r="W23"/>
      <c r="X23"/>
      <c r="Y23"/>
      <c r="Z23" s="9">
        <v>58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9" t="s">
        <v>59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6" customFormat="1" ht="16.5">
      <c r="A24" s="9">
        <v>52</v>
      </c>
      <c r="B24"/>
      <c r="C24" s="74" t="s">
        <v>56</v>
      </c>
      <c r="D24" s="86">
        <f>IFERROR(VLOOKUP(C24, $C$2:D23, 2, FALSE), MAX($D$2:D23)+1)</f>
        <v>2</v>
      </c>
      <c r="E24" s="9">
        <v>81.3</v>
      </c>
      <c r="F24"/>
      <c r="G24" s="9">
        <v>9.4</v>
      </c>
      <c r="H24" s="9">
        <v>3.1</v>
      </c>
      <c r="I24"/>
      <c r="J24" s="9">
        <v>0</v>
      </c>
      <c r="K24" s="9">
        <v>3.1</v>
      </c>
      <c r="L24"/>
      <c r="M24"/>
      <c r="N24" s="9">
        <v>3.1</v>
      </c>
      <c r="O24"/>
      <c r="P24"/>
      <c r="Q24"/>
      <c r="R24"/>
      <c r="S24"/>
      <c r="T24"/>
      <c r="U24"/>
      <c r="V24"/>
      <c r="W24"/>
      <c r="X24"/>
      <c r="Y24"/>
      <c r="Z24" s="9">
        <v>56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9" t="s">
        <v>59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6" customFormat="1" ht="16.5">
      <c r="A25" s="9">
        <v>53</v>
      </c>
      <c r="B25"/>
      <c r="C25" s="74" t="s">
        <v>56</v>
      </c>
      <c r="D25" s="86">
        <f>IFERROR(VLOOKUP(C25, $C$2:D24, 2, FALSE), MAX($D$2:D24)+1)</f>
        <v>2</v>
      </c>
      <c r="E25" s="9">
        <v>81.17</v>
      </c>
      <c r="F25"/>
      <c r="G25" s="9">
        <v>6.27</v>
      </c>
      <c r="H25" s="9">
        <v>3.16</v>
      </c>
      <c r="I25"/>
      <c r="J25" s="9">
        <v>0</v>
      </c>
      <c r="K25" s="9">
        <v>6.27</v>
      </c>
      <c r="L25"/>
      <c r="M25"/>
      <c r="N25" s="9">
        <v>3.13</v>
      </c>
      <c r="O25"/>
      <c r="P25"/>
      <c r="Q25"/>
      <c r="R25"/>
      <c r="S25"/>
      <c r="T25"/>
      <c r="U25"/>
      <c r="V25"/>
      <c r="W25"/>
      <c r="X25"/>
      <c r="Y25"/>
      <c r="Z25" s="9">
        <v>48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9" t="s">
        <v>59</v>
      </c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6" customFormat="1" ht="16.5">
      <c r="A26" s="9">
        <v>54</v>
      </c>
      <c r="B26"/>
      <c r="C26" s="74" t="s">
        <v>56</v>
      </c>
      <c r="D26" s="86">
        <f>IFERROR(VLOOKUP(C26, $C$2:D25, 2, FALSE), MAX($D$2:D25)+1)</f>
        <v>2</v>
      </c>
      <c r="E26" s="9">
        <v>76.38</v>
      </c>
      <c r="F26"/>
      <c r="G26" s="9">
        <v>5.91</v>
      </c>
      <c r="H26" s="9">
        <v>2.96</v>
      </c>
      <c r="I26"/>
      <c r="J26" s="9">
        <v>0</v>
      </c>
      <c r="K26" s="9">
        <v>11.8</v>
      </c>
      <c r="L26"/>
      <c r="M26"/>
      <c r="N26" s="9">
        <v>2.95</v>
      </c>
      <c r="O26"/>
      <c r="P26"/>
      <c r="Q26"/>
      <c r="R26"/>
      <c r="S26"/>
      <c r="T26"/>
      <c r="U26"/>
      <c r="V26"/>
      <c r="W26"/>
      <c r="X26"/>
      <c r="Y26"/>
      <c r="Z26" s="9">
        <v>72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9" t="s">
        <v>59</v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6" customFormat="1" ht="16.5">
      <c r="A27" s="9">
        <v>55</v>
      </c>
      <c r="B27"/>
      <c r="C27" s="74" t="s">
        <v>56</v>
      </c>
      <c r="D27" s="86">
        <f>IFERROR(VLOOKUP(C27, $C$2:D26, 2, FALSE), MAX($D$2:D26)+1)</f>
        <v>2</v>
      </c>
      <c r="E27" s="9">
        <v>79.36</v>
      </c>
      <c r="F27"/>
      <c r="G27" s="9">
        <v>5.9</v>
      </c>
      <c r="H27" s="9">
        <v>2.96</v>
      </c>
      <c r="I27"/>
      <c r="J27" s="9">
        <v>0</v>
      </c>
      <c r="K27" s="9">
        <v>8.85</v>
      </c>
      <c r="L27"/>
      <c r="M27"/>
      <c r="N27" s="9">
        <v>2.93</v>
      </c>
      <c r="O27"/>
      <c r="P27"/>
      <c r="Q27"/>
      <c r="R27"/>
      <c r="S27"/>
      <c r="T27"/>
      <c r="U27"/>
      <c r="V27"/>
      <c r="W27"/>
      <c r="X27"/>
      <c r="Y27"/>
      <c r="Z27" s="9">
        <v>56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s="9" t="s">
        <v>59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6" customFormat="1" ht="16.5">
      <c r="A28" s="9">
        <v>56</v>
      </c>
      <c r="B28"/>
      <c r="C28" s="74" t="s">
        <v>56</v>
      </c>
      <c r="D28" s="86">
        <f>IFERROR(VLOOKUP(C28, $C$2:D27, 2, FALSE), MAX($D$2:D27)+1)</f>
        <v>2</v>
      </c>
      <c r="E28" s="9">
        <v>82.3</v>
      </c>
      <c r="F28"/>
      <c r="G28" s="9">
        <v>5.9</v>
      </c>
      <c r="H28" s="9">
        <v>2.95</v>
      </c>
      <c r="I28"/>
      <c r="J28" s="9">
        <v>0</v>
      </c>
      <c r="K28" s="9">
        <v>5.9</v>
      </c>
      <c r="L28"/>
      <c r="M28"/>
      <c r="N28" s="9">
        <v>2.95</v>
      </c>
      <c r="O28"/>
      <c r="P28"/>
      <c r="Q28"/>
      <c r="R28"/>
      <c r="S28"/>
      <c r="T28"/>
      <c r="U28"/>
      <c r="V28"/>
      <c r="W28"/>
      <c r="X28"/>
      <c r="Y28"/>
      <c r="Z28" s="9">
        <v>54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9" t="s">
        <v>59</v>
      </c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6" customFormat="1" ht="16.5">
      <c r="A29" s="9">
        <v>57</v>
      </c>
      <c r="B29"/>
      <c r="C29" s="74" t="s">
        <v>56</v>
      </c>
      <c r="D29" s="86">
        <f>IFERROR(VLOOKUP(C29, $C$2:D28, 2, FALSE), MAX($D$2:D28)+1)</f>
        <v>2</v>
      </c>
      <c r="E29" s="9">
        <v>85.25</v>
      </c>
      <c r="F29"/>
      <c r="G29" s="9">
        <v>2.97</v>
      </c>
      <c r="H29" s="9">
        <v>2.94</v>
      </c>
      <c r="I29"/>
      <c r="J29" s="9">
        <v>0</v>
      </c>
      <c r="K29" s="9">
        <v>5.9</v>
      </c>
      <c r="L29"/>
      <c r="M29"/>
      <c r="N29" s="9">
        <v>2.94</v>
      </c>
      <c r="O29"/>
      <c r="P29"/>
      <c r="Q29"/>
      <c r="R29"/>
      <c r="S29"/>
      <c r="T29"/>
      <c r="U29"/>
      <c r="V29"/>
      <c r="W29"/>
      <c r="X29"/>
      <c r="Y29"/>
      <c r="Z29" s="9">
        <v>59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s="9" t="s">
        <v>59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6" customFormat="1" ht="16.5">
      <c r="A30" s="9">
        <v>58</v>
      </c>
      <c r="B30"/>
      <c r="C30" s="74" t="s">
        <v>56</v>
      </c>
      <c r="D30" s="86">
        <f>IFERROR(VLOOKUP(C30, $C$2:D29, 2, FALSE), MAX($D$2:D29)+1)</f>
        <v>2</v>
      </c>
      <c r="E30" s="9">
        <v>81.22</v>
      </c>
      <c r="F30"/>
      <c r="G30" s="9">
        <v>3.13</v>
      </c>
      <c r="H30" s="9">
        <v>3.16</v>
      </c>
      <c r="I30"/>
      <c r="J30" s="9">
        <v>0</v>
      </c>
      <c r="K30" s="9">
        <v>9.36</v>
      </c>
      <c r="L30"/>
      <c r="M30"/>
      <c r="N30" s="9">
        <v>3.13</v>
      </c>
      <c r="O30"/>
      <c r="P30"/>
      <c r="Q30"/>
      <c r="R30"/>
      <c r="S30"/>
      <c r="T30"/>
      <c r="U30"/>
      <c r="V30"/>
      <c r="W30"/>
      <c r="X30"/>
      <c r="Y30"/>
      <c r="Z30" s="9">
        <v>55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s="9" t="s">
        <v>59</v>
      </c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6" customFormat="1" ht="16.5">
      <c r="A31" s="9">
        <v>173</v>
      </c>
      <c r="B31"/>
      <c r="C31" s="74" t="s">
        <v>56</v>
      </c>
      <c r="D31" s="86">
        <f>IFERROR(VLOOKUP(C31, $C$2:D30, 2, FALSE), MAX($D$2:D30)+1)</f>
        <v>2</v>
      </c>
      <c r="E31" s="9">
        <v>72.22</v>
      </c>
      <c r="F31"/>
      <c r="G31" s="9">
        <v>5.56</v>
      </c>
      <c r="H31" s="9">
        <v>2.78</v>
      </c>
      <c r="I31"/>
      <c r="J31" s="9">
        <v>0</v>
      </c>
      <c r="K31" s="9">
        <v>16.670000000000002</v>
      </c>
      <c r="L31"/>
      <c r="M31"/>
      <c r="N31" s="9">
        <v>2.77</v>
      </c>
      <c r="O31"/>
      <c r="P31"/>
      <c r="Q31"/>
      <c r="R31"/>
      <c r="S31"/>
      <c r="T31"/>
      <c r="U31"/>
      <c r="V31"/>
      <c r="W31"/>
      <c r="X31"/>
      <c r="Y31"/>
      <c r="Z31" s="9">
        <v>66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s="9" t="s">
        <v>59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s="6" customFormat="1" ht="16.5">
      <c r="A32" s="9">
        <v>201</v>
      </c>
      <c r="B32"/>
      <c r="C32" s="74" t="s">
        <v>56</v>
      </c>
      <c r="D32" s="86">
        <f>IFERROR(VLOOKUP(C32, $C$2:D31, 2, FALSE), MAX($D$2:D31)+1)</f>
        <v>2</v>
      </c>
      <c r="E32" s="9">
        <v>78.92</v>
      </c>
      <c r="F32"/>
      <c r="G32" s="9">
        <v>1.9</v>
      </c>
      <c r="H32" s="9">
        <v>3.31</v>
      </c>
      <c r="I32"/>
      <c r="J32" s="9">
        <v>0</v>
      </c>
      <c r="K32" s="9">
        <v>14.9</v>
      </c>
      <c r="L32"/>
      <c r="M32"/>
      <c r="N32" s="9">
        <v>0.97</v>
      </c>
      <c r="O32"/>
      <c r="P32"/>
      <c r="Q32"/>
      <c r="R32"/>
      <c r="S32"/>
      <c r="T32"/>
      <c r="U32"/>
      <c r="V32"/>
      <c r="W32"/>
      <c r="X32"/>
      <c r="Y32"/>
      <c r="Z32" s="9">
        <v>63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s="9" t="s">
        <v>59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6" customFormat="1" ht="16.5">
      <c r="A33" s="9">
        <v>202</v>
      </c>
      <c r="B33"/>
      <c r="C33" s="74" t="s">
        <v>56</v>
      </c>
      <c r="D33" s="86">
        <f>IFERROR(VLOOKUP(C33, $C$2:D32, 2, FALSE), MAX($D$2:D32)+1)</f>
        <v>2</v>
      </c>
      <c r="E33" s="9">
        <v>80.72</v>
      </c>
      <c r="F33"/>
      <c r="G33" s="9">
        <v>1.87</v>
      </c>
      <c r="H33" s="9">
        <v>1.77</v>
      </c>
      <c r="I33"/>
      <c r="J33" s="9">
        <v>0</v>
      </c>
      <c r="K33" s="9">
        <v>14.68</v>
      </c>
      <c r="L33"/>
      <c r="M33"/>
      <c r="N33" s="9">
        <v>0.96</v>
      </c>
      <c r="O33"/>
      <c r="P33"/>
      <c r="Q33"/>
      <c r="R33"/>
      <c r="S33"/>
      <c r="T33"/>
      <c r="U33"/>
      <c r="V33"/>
      <c r="W33"/>
      <c r="X33"/>
      <c r="Y33"/>
      <c r="Z33" s="9">
        <v>69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s="9" t="s">
        <v>59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6" customFormat="1" ht="16.5">
      <c r="A34" s="9">
        <v>205</v>
      </c>
      <c r="B34"/>
      <c r="C34" s="74" t="s">
        <v>56</v>
      </c>
      <c r="D34" s="86">
        <f>IFERROR(VLOOKUP(C34, $C$2:D33, 2, FALSE), MAX($D$2:D33)+1)</f>
        <v>2</v>
      </c>
      <c r="E34" s="9">
        <v>80.23</v>
      </c>
      <c r="F34"/>
      <c r="G34" s="9">
        <v>0.63</v>
      </c>
      <c r="H34" s="9">
        <v>1.79</v>
      </c>
      <c r="I34"/>
      <c r="J34" s="9">
        <v>0</v>
      </c>
      <c r="K34" s="9">
        <v>15.42</v>
      </c>
      <c r="L34"/>
      <c r="M34"/>
      <c r="N34" s="9">
        <v>1.93</v>
      </c>
      <c r="O34"/>
      <c r="P34"/>
      <c r="Q34"/>
      <c r="R34"/>
      <c r="S34"/>
      <c r="T34"/>
      <c r="U34"/>
      <c r="V34"/>
      <c r="W34"/>
      <c r="X34"/>
      <c r="Y34"/>
      <c r="Z34" s="9">
        <v>58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s="9" t="s">
        <v>59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s="6" customFormat="1" ht="16.5">
      <c r="A35" s="9">
        <v>208</v>
      </c>
      <c r="B35"/>
      <c r="C35" s="74" t="s">
        <v>56</v>
      </c>
      <c r="D35" s="86">
        <f>IFERROR(VLOOKUP(C35, $C$2:D34, 2, FALSE), MAX($D$2:D34)+1)</f>
        <v>2</v>
      </c>
      <c r="E35" s="9">
        <v>79.989999999999995</v>
      </c>
      <c r="F35"/>
      <c r="G35" s="9">
        <v>1.88</v>
      </c>
      <c r="H35" s="9">
        <v>1.79</v>
      </c>
      <c r="I35"/>
      <c r="J35" s="9">
        <v>0</v>
      </c>
      <c r="K35" s="9">
        <v>15.38</v>
      </c>
      <c r="L35"/>
      <c r="M35"/>
      <c r="N35" s="9">
        <v>0.96</v>
      </c>
      <c r="O35"/>
      <c r="P35"/>
      <c r="Q35"/>
      <c r="R35"/>
      <c r="S35"/>
      <c r="T35"/>
      <c r="U35"/>
      <c r="V35"/>
      <c r="W35"/>
      <c r="X35"/>
      <c r="Y35"/>
      <c r="Z35" s="9">
        <v>69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s="9" t="s">
        <v>59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s="6" customFormat="1" ht="16.5">
      <c r="A36" s="9">
        <v>209</v>
      </c>
      <c r="B36"/>
      <c r="C36" s="74" t="s">
        <v>56</v>
      </c>
      <c r="D36" s="86">
        <f>IFERROR(VLOOKUP(C36, $C$2:D35, 2, FALSE), MAX($D$2:D35)+1)</f>
        <v>2</v>
      </c>
      <c r="E36" s="9">
        <v>83.67</v>
      </c>
      <c r="F36"/>
      <c r="G36" s="9">
        <v>3.05</v>
      </c>
      <c r="H36" s="9">
        <v>2.9</v>
      </c>
      <c r="I36"/>
      <c r="J36" s="9">
        <v>0</v>
      </c>
      <c r="K36" s="9">
        <v>8.98</v>
      </c>
      <c r="L36"/>
      <c r="M36"/>
      <c r="N36" s="9">
        <v>1.4</v>
      </c>
      <c r="O36"/>
      <c r="P36"/>
      <c r="Q36"/>
      <c r="R36"/>
      <c r="S36"/>
      <c r="T36"/>
      <c r="U36"/>
      <c r="V36"/>
      <c r="W36"/>
      <c r="X36"/>
      <c r="Y36"/>
      <c r="Z36" s="9">
        <v>65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s="9" t="s">
        <v>59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6" customFormat="1" ht="16.5">
      <c r="A37" s="7">
        <v>37</v>
      </c>
      <c r="C37" s="74" t="s">
        <v>60</v>
      </c>
      <c r="D37" s="86">
        <f>IFERROR(VLOOKUP(C37, $C$2:D36, 2, FALSE), MAX($D$2:D36)+1)</f>
        <v>3</v>
      </c>
      <c r="E37" s="8">
        <v>53.4</v>
      </c>
      <c r="F37" s="8">
        <v>0</v>
      </c>
      <c r="G37" s="8">
        <v>4.5999999999999996</v>
      </c>
      <c r="H37" s="8">
        <v>0</v>
      </c>
      <c r="I37" s="8">
        <v>0</v>
      </c>
      <c r="J37" s="8">
        <v>13</v>
      </c>
      <c r="K37" s="8">
        <v>29</v>
      </c>
      <c r="L37" s="8">
        <v>0</v>
      </c>
      <c r="M37" s="8">
        <v>0</v>
      </c>
      <c r="N37" s="8">
        <v>0</v>
      </c>
      <c r="O37" s="8">
        <v>2</v>
      </c>
      <c r="P37" s="8">
        <v>0</v>
      </c>
      <c r="Q37" s="8">
        <v>0</v>
      </c>
      <c r="R37" s="8">
        <v>0</v>
      </c>
      <c r="S37" s="7">
        <v>0</v>
      </c>
      <c r="T37" s="8">
        <v>800</v>
      </c>
      <c r="U37" s="8">
        <v>1</v>
      </c>
      <c r="V37" s="8">
        <v>1</v>
      </c>
      <c r="W37" s="8">
        <v>0</v>
      </c>
      <c r="X37" s="8">
        <v>0</v>
      </c>
      <c r="Y37" s="8">
        <v>0</v>
      </c>
      <c r="Z37" s="8">
        <v>42</v>
      </c>
      <c r="AB37" s="8">
        <v>421</v>
      </c>
      <c r="AC37" s="8">
        <v>88</v>
      </c>
      <c r="AD37" s="8">
        <v>80.34</v>
      </c>
      <c r="AN37" s="6" t="s">
        <v>61</v>
      </c>
      <c r="AO37" s="6" t="s">
        <v>62</v>
      </c>
      <c r="AP37" s="6">
        <v>3</v>
      </c>
      <c r="AQ37" s="7" t="s">
        <v>54</v>
      </c>
    </row>
    <row r="38" spans="1:61" s="6" customFormat="1" ht="16.5">
      <c r="A38" s="7">
        <v>38</v>
      </c>
      <c r="C38" s="74" t="s">
        <v>60</v>
      </c>
      <c r="D38" s="86">
        <f>IFERROR(VLOOKUP(C38, $C$2:D37, 2, FALSE), MAX($D$2:D37)+1)</f>
        <v>3</v>
      </c>
      <c r="E38" s="8">
        <v>53.4</v>
      </c>
      <c r="F38" s="8">
        <v>0</v>
      </c>
      <c r="G38" s="8">
        <v>4.5999999999999996</v>
      </c>
      <c r="H38" s="8">
        <v>0</v>
      </c>
      <c r="I38" s="8">
        <v>0</v>
      </c>
      <c r="J38" s="8">
        <v>13</v>
      </c>
      <c r="K38" s="8">
        <v>29</v>
      </c>
      <c r="L38" s="8">
        <v>0</v>
      </c>
      <c r="M38" s="8">
        <v>0</v>
      </c>
      <c r="N38" s="8">
        <v>0</v>
      </c>
      <c r="O38" s="8">
        <v>2</v>
      </c>
      <c r="P38" s="8">
        <v>1</v>
      </c>
      <c r="Q38" s="8">
        <v>20</v>
      </c>
      <c r="R38" s="8">
        <v>88.75</v>
      </c>
      <c r="T38" s="8">
        <v>800</v>
      </c>
      <c r="U38" s="8">
        <v>1</v>
      </c>
      <c r="V38" s="8">
        <v>1</v>
      </c>
      <c r="W38" s="8">
        <v>0</v>
      </c>
      <c r="X38" s="8">
        <v>0</v>
      </c>
      <c r="Y38" s="8">
        <v>0</v>
      </c>
      <c r="Z38" s="8">
        <v>46</v>
      </c>
      <c r="AB38" s="8">
        <v>686</v>
      </c>
      <c r="AC38" s="8">
        <v>356</v>
      </c>
      <c r="AD38" s="8">
        <v>4.7300000000000004</v>
      </c>
      <c r="AN38" s="6" t="s">
        <v>61</v>
      </c>
      <c r="AO38" s="6" t="s">
        <v>62</v>
      </c>
      <c r="AP38" s="6">
        <v>3</v>
      </c>
      <c r="AQ38" s="7" t="s">
        <v>54</v>
      </c>
    </row>
    <row r="39" spans="1:61" s="6" customFormat="1" ht="16.5">
      <c r="A39" s="7">
        <v>39</v>
      </c>
      <c r="C39" s="74" t="s">
        <v>60</v>
      </c>
      <c r="D39" s="86">
        <f>IFERROR(VLOOKUP(C39, $C$2:D38, 2, FALSE), MAX($D$2:D38)+1)</f>
        <v>3</v>
      </c>
      <c r="E39" s="8">
        <v>53.4</v>
      </c>
      <c r="F39" s="8">
        <v>0</v>
      </c>
      <c r="G39" s="8">
        <v>4.5999999999999996</v>
      </c>
      <c r="H39" s="8">
        <v>0</v>
      </c>
      <c r="I39" s="8">
        <v>0</v>
      </c>
      <c r="J39" s="8">
        <v>13</v>
      </c>
      <c r="K39" s="8">
        <v>29</v>
      </c>
      <c r="L39" s="8">
        <v>0</v>
      </c>
      <c r="M39" s="8">
        <v>0</v>
      </c>
      <c r="N39" s="8">
        <v>0</v>
      </c>
      <c r="O39" s="8">
        <v>2</v>
      </c>
      <c r="P39" s="8">
        <v>1</v>
      </c>
      <c r="Q39" s="8">
        <v>20</v>
      </c>
      <c r="R39" s="8">
        <v>88.75</v>
      </c>
      <c r="T39" s="8">
        <v>800</v>
      </c>
      <c r="U39" s="8">
        <v>1</v>
      </c>
      <c r="V39" s="8">
        <v>1</v>
      </c>
      <c r="W39" s="8">
        <v>400</v>
      </c>
      <c r="X39" s="8">
        <v>0.33</v>
      </c>
      <c r="Y39" s="8">
        <v>1</v>
      </c>
      <c r="Z39" s="8">
        <v>48</v>
      </c>
      <c r="AB39" s="8">
        <v>967</v>
      </c>
      <c r="AC39" s="8">
        <v>920</v>
      </c>
      <c r="AD39" s="8">
        <v>2.91</v>
      </c>
      <c r="AN39" s="6" t="s">
        <v>61</v>
      </c>
      <c r="AO39" s="6" t="s">
        <v>62</v>
      </c>
      <c r="AP39" s="6">
        <v>3</v>
      </c>
      <c r="AQ39" s="7" t="s">
        <v>54</v>
      </c>
    </row>
    <row r="40" spans="1:61" s="6" customFormat="1" ht="16.5">
      <c r="A40" s="7">
        <v>40</v>
      </c>
      <c r="C40" s="74" t="s">
        <v>60</v>
      </c>
      <c r="D40" s="86">
        <f>IFERROR(VLOOKUP(C40, $C$2:D39, 2, FALSE), MAX($D$2:D39)+1)</f>
        <v>3</v>
      </c>
      <c r="E40" s="8">
        <v>53.4</v>
      </c>
      <c r="F40" s="8">
        <v>0</v>
      </c>
      <c r="G40" s="8">
        <v>4.5999999999999996</v>
      </c>
      <c r="H40" s="8">
        <v>0</v>
      </c>
      <c r="I40" s="8">
        <v>0</v>
      </c>
      <c r="J40" s="8">
        <v>13</v>
      </c>
      <c r="K40" s="8">
        <v>29</v>
      </c>
      <c r="L40" s="8">
        <v>0</v>
      </c>
      <c r="M40" s="8">
        <v>0</v>
      </c>
      <c r="N40" s="8">
        <v>0</v>
      </c>
      <c r="O40" s="8">
        <v>2</v>
      </c>
      <c r="P40" s="8">
        <v>1</v>
      </c>
      <c r="Q40" s="8">
        <v>20</v>
      </c>
      <c r="R40" s="8">
        <v>88.75</v>
      </c>
      <c r="T40" s="8">
        <v>800</v>
      </c>
      <c r="U40" s="8">
        <v>1</v>
      </c>
      <c r="V40" s="8">
        <v>1</v>
      </c>
      <c r="W40" s="8">
        <v>400</v>
      </c>
      <c r="X40" s="8">
        <v>1.67</v>
      </c>
      <c r="Y40" s="8">
        <v>1</v>
      </c>
      <c r="Z40" s="8">
        <v>83</v>
      </c>
      <c r="AB40" s="8">
        <v>1192</v>
      </c>
      <c r="AC40" s="8">
        <v>1180</v>
      </c>
      <c r="AD40" s="8">
        <v>1.66</v>
      </c>
      <c r="AN40" s="6" t="s">
        <v>61</v>
      </c>
      <c r="AO40" s="6" t="s">
        <v>62</v>
      </c>
      <c r="AP40" s="6">
        <v>3</v>
      </c>
      <c r="AQ40" s="7" t="s">
        <v>54</v>
      </c>
    </row>
    <row r="41" spans="1:61" s="6" customFormat="1" ht="16.5">
      <c r="A41" s="13">
        <v>363</v>
      </c>
      <c r="B41" s="13" t="s">
        <v>113</v>
      </c>
      <c r="C41" s="74" t="s">
        <v>60</v>
      </c>
      <c r="D41" s="86">
        <f>IFERROR(VLOOKUP(C41, $C$2:D40, 2, FALSE), MAX($D$2:D40)+1)</f>
        <v>3</v>
      </c>
      <c r="E41" s="14">
        <v>55.010000000000005</v>
      </c>
      <c r="F41" s="14">
        <v>0</v>
      </c>
      <c r="G41" s="14">
        <v>20.09</v>
      </c>
      <c r="H41" s="14">
        <v>0</v>
      </c>
      <c r="I41" s="14">
        <v>0</v>
      </c>
      <c r="J41" s="14">
        <v>17.64</v>
      </c>
      <c r="K41" s="14">
        <v>7.26</v>
      </c>
      <c r="L41" s="14">
        <v>0</v>
      </c>
      <c r="M41" s="14">
        <v>0</v>
      </c>
      <c r="N41" s="14">
        <v>0</v>
      </c>
      <c r="O41" s="14">
        <v>1</v>
      </c>
      <c r="P41" s="14">
        <v>1</v>
      </c>
      <c r="Q41" s="13" t="s">
        <v>113</v>
      </c>
      <c r="R41" s="13" t="s">
        <v>113</v>
      </c>
      <c r="S41" s="13" t="s">
        <v>113</v>
      </c>
      <c r="T41" s="13" t="s">
        <v>113</v>
      </c>
      <c r="U41" s="13" t="s">
        <v>113</v>
      </c>
      <c r="V41" s="13">
        <v>1</v>
      </c>
      <c r="W41" s="13" t="s">
        <v>113</v>
      </c>
      <c r="X41" s="13" t="s">
        <v>113</v>
      </c>
      <c r="Y41" s="13" t="s">
        <v>113</v>
      </c>
      <c r="Z41" s="14">
        <v>73</v>
      </c>
      <c r="AA41" s="13" t="s">
        <v>113</v>
      </c>
      <c r="AB41" s="13" t="s">
        <v>113</v>
      </c>
      <c r="AC41" s="14">
        <v>1107</v>
      </c>
      <c r="AD41" s="13" t="s">
        <v>113</v>
      </c>
      <c r="AE41" s="13" t="s">
        <v>113</v>
      </c>
      <c r="AF41" s="13" t="s">
        <v>113</v>
      </c>
      <c r="AG41" s="13" t="s">
        <v>113</v>
      </c>
      <c r="AH41" s="13" t="s">
        <v>113</v>
      </c>
      <c r="AI41" s="13" t="s">
        <v>113</v>
      </c>
      <c r="AJ41" s="13" t="s">
        <v>113</v>
      </c>
      <c r="AK41" s="13" t="s">
        <v>113</v>
      </c>
      <c r="AL41" s="13" t="s">
        <v>113</v>
      </c>
      <c r="AM41" s="13"/>
      <c r="AN41" s="13" t="s">
        <v>113</v>
      </c>
      <c r="AO41" s="13" t="s">
        <v>114</v>
      </c>
      <c r="AP41" s="14">
        <v>363</v>
      </c>
      <c r="AQ41" s="14" t="s">
        <v>100</v>
      </c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</row>
    <row r="42" spans="1:61" s="6" customFormat="1" ht="16.5">
      <c r="A42" s="13">
        <v>364</v>
      </c>
      <c r="B42" s="13" t="s">
        <v>113</v>
      </c>
      <c r="C42" s="74" t="s">
        <v>60</v>
      </c>
      <c r="D42" s="86">
        <f>IFERROR(VLOOKUP(C42, $C$2:D41, 2, FALSE), MAX($D$2:D41)+1)</f>
        <v>3</v>
      </c>
      <c r="E42" s="14">
        <v>54.48</v>
      </c>
      <c r="F42" s="14">
        <v>0</v>
      </c>
      <c r="G42" s="14">
        <v>22.98</v>
      </c>
      <c r="H42" s="14">
        <v>0</v>
      </c>
      <c r="I42" s="14">
        <v>0</v>
      </c>
      <c r="J42" s="14">
        <v>18.029999999999998</v>
      </c>
      <c r="K42" s="14">
        <v>4.51</v>
      </c>
      <c r="L42" s="14">
        <v>0</v>
      </c>
      <c r="M42" s="14">
        <v>0</v>
      </c>
      <c r="N42" s="14">
        <v>0</v>
      </c>
      <c r="O42" s="14">
        <v>1</v>
      </c>
      <c r="P42" s="14">
        <v>1</v>
      </c>
      <c r="Q42" s="13" t="s">
        <v>113</v>
      </c>
      <c r="R42" s="13" t="s">
        <v>113</v>
      </c>
      <c r="S42" s="13" t="s">
        <v>113</v>
      </c>
      <c r="T42" s="13" t="s">
        <v>113</v>
      </c>
      <c r="U42" s="13" t="s">
        <v>113</v>
      </c>
      <c r="V42" s="13">
        <v>1</v>
      </c>
      <c r="W42" s="13" t="s">
        <v>113</v>
      </c>
      <c r="X42" s="13" t="s">
        <v>113</v>
      </c>
      <c r="Y42" s="13" t="s">
        <v>113</v>
      </c>
      <c r="Z42" s="14">
        <v>75</v>
      </c>
      <c r="AA42" s="13" t="s">
        <v>113</v>
      </c>
      <c r="AB42" s="13" t="s">
        <v>113</v>
      </c>
      <c r="AC42" s="14">
        <v>932</v>
      </c>
      <c r="AD42" s="13" t="s">
        <v>113</v>
      </c>
      <c r="AE42" s="13" t="s">
        <v>113</v>
      </c>
      <c r="AF42" s="13" t="s">
        <v>113</v>
      </c>
      <c r="AG42" s="13" t="s">
        <v>113</v>
      </c>
      <c r="AH42" s="13" t="s">
        <v>113</v>
      </c>
      <c r="AI42" s="13" t="s">
        <v>113</v>
      </c>
      <c r="AJ42" s="13" t="s">
        <v>113</v>
      </c>
      <c r="AK42" s="13" t="s">
        <v>113</v>
      </c>
      <c r="AL42" s="13" t="s">
        <v>113</v>
      </c>
      <c r="AM42" s="13"/>
      <c r="AN42" s="13" t="s">
        <v>113</v>
      </c>
      <c r="AO42" s="13" t="s">
        <v>114</v>
      </c>
      <c r="AP42" s="14">
        <v>364</v>
      </c>
      <c r="AQ42" s="14" t="s">
        <v>100</v>
      </c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</row>
    <row r="43" spans="1:61" s="6" customFormat="1" ht="16.5">
      <c r="A43" s="13">
        <v>365</v>
      </c>
      <c r="B43" s="13" t="s">
        <v>113</v>
      </c>
      <c r="C43" s="74" t="s">
        <v>60</v>
      </c>
      <c r="D43" s="86">
        <f>IFERROR(VLOOKUP(C43, $C$2:D42, 2, FALSE), MAX($D$2:D42)+1)</f>
        <v>3</v>
      </c>
      <c r="E43" s="14">
        <v>53.16</v>
      </c>
      <c r="F43" s="14">
        <v>0</v>
      </c>
      <c r="G43" s="14">
        <v>26.040000000000003</v>
      </c>
      <c r="H43" s="14">
        <v>0</v>
      </c>
      <c r="I43" s="14">
        <v>0</v>
      </c>
      <c r="J43" s="14">
        <v>18.52</v>
      </c>
      <c r="K43" s="14">
        <v>2.2800000000000002</v>
      </c>
      <c r="L43" s="14">
        <v>0</v>
      </c>
      <c r="M43" s="14">
        <v>0</v>
      </c>
      <c r="N43" s="14">
        <v>0</v>
      </c>
      <c r="O43" s="14">
        <v>1</v>
      </c>
      <c r="P43" s="14">
        <v>1</v>
      </c>
      <c r="Q43" s="13" t="s">
        <v>113</v>
      </c>
      <c r="R43" s="13" t="s">
        <v>113</v>
      </c>
      <c r="S43" s="13" t="s">
        <v>113</v>
      </c>
      <c r="T43" s="13" t="s">
        <v>113</v>
      </c>
      <c r="U43" s="13" t="s">
        <v>113</v>
      </c>
      <c r="V43" s="13">
        <v>1</v>
      </c>
      <c r="W43" s="13" t="s">
        <v>113</v>
      </c>
      <c r="X43" s="13" t="s">
        <v>113</v>
      </c>
      <c r="Y43" s="13" t="s">
        <v>113</v>
      </c>
      <c r="Z43" s="14">
        <v>77</v>
      </c>
      <c r="AA43" s="13" t="s">
        <v>113</v>
      </c>
      <c r="AB43" s="13" t="s">
        <v>113</v>
      </c>
      <c r="AC43" s="14">
        <v>953</v>
      </c>
      <c r="AD43" s="13" t="s">
        <v>113</v>
      </c>
      <c r="AE43" s="13" t="s">
        <v>113</v>
      </c>
      <c r="AF43" s="13" t="s">
        <v>113</v>
      </c>
      <c r="AG43" s="13" t="s">
        <v>113</v>
      </c>
      <c r="AH43" s="13" t="s">
        <v>113</v>
      </c>
      <c r="AI43" s="13" t="s">
        <v>113</v>
      </c>
      <c r="AJ43" s="13" t="s">
        <v>113</v>
      </c>
      <c r="AK43" s="13" t="s">
        <v>113</v>
      </c>
      <c r="AL43" s="13" t="s">
        <v>113</v>
      </c>
      <c r="AM43" s="13"/>
      <c r="AN43" s="13" t="s">
        <v>113</v>
      </c>
      <c r="AO43" s="13" t="s">
        <v>114</v>
      </c>
      <c r="AP43" s="14">
        <v>365</v>
      </c>
      <c r="AQ43" s="14" t="s">
        <v>100</v>
      </c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</row>
    <row r="44" spans="1:61" s="6" customFormat="1" ht="16.5">
      <c r="A44" s="13">
        <v>369</v>
      </c>
      <c r="B44" s="13" t="s">
        <v>113</v>
      </c>
      <c r="C44" s="74" t="s">
        <v>60</v>
      </c>
      <c r="D44" s="86">
        <f>IFERROR(VLOOKUP(C44, $C$2:D43, 2, FALSE), MAX($D$2:D43)+1)</f>
        <v>3</v>
      </c>
      <c r="E44" s="14">
        <v>71.97</v>
      </c>
      <c r="F44" s="14">
        <v>0</v>
      </c>
      <c r="G44" s="14">
        <v>3.25</v>
      </c>
      <c r="H44" s="14">
        <v>0</v>
      </c>
      <c r="I44" s="14">
        <v>0</v>
      </c>
      <c r="J44" s="14">
        <v>4.6399999999999997</v>
      </c>
      <c r="K44" s="14">
        <v>20.14</v>
      </c>
      <c r="L44" s="14">
        <v>0</v>
      </c>
      <c r="M44" s="14">
        <v>0</v>
      </c>
      <c r="N44" s="14">
        <v>0</v>
      </c>
      <c r="O44" s="14">
        <v>1</v>
      </c>
      <c r="P44" s="14">
        <v>1</v>
      </c>
      <c r="Q44" s="13" t="s">
        <v>113</v>
      </c>
      <c r="R44" s="13" t="s">
        <v>113</v>
      </c>
      <c r="S44" s="13" t="s">
        <v>113</v>
      </c>
      <c r="T44" s="13" t="s">
        <v>113</v>
      </c>
      <c r="U44" s="13" t="s">
        <v>113</v>
      </c>
      <c r="V44" s="13">
        <v>1</v>
      </c>
      <c r="W44" s="13" t="s">
        <v>113</v>
      </c>
      <c r="X44" s="13" t="s">
        <v>113</v>
      </c>
      <c r="Y44" s="13" t="s">
        <v>113</v>
      </c>
      <c r="Z44" s="14">
        <v>65</v>
      </c>
      <c r="AA44" s="13" t="s">
        <v>113</v>
      </c>
      <c r="AB44" s="13" t="s">
        <v>113</v>
      </c>
      <c r="AC44" s="14">
        <v>600</v>
      </c>
      <c r="AD44" s="13" t="s">
        <v>113</v>
      </c>
      <c r="AE44" s="13" t="s">
        <v>113</v>
      </c>
      <c r="AF44" s="13" t="s">
        <v>113</v>
      </c>
      <c r="AG44" s="13" t="s">
        <v>113</v>
      </c>
      <c r="AH44" s="13" t="s">
        <v>113</v>
      </c>
      <c r="AI44" s="13" t="s">
        <v>113</v>
      </c>
      <c r="AJ44" s="13" t="s">
        <v>113</v>
      </c>
      <c r="AK44" s="13" t="s">
        <v>113</v>
      </c>
      <c r="AL44" s="13" t="s">
        <v>113</v>
      </c>
      <c r="AM44" s="13"/>
      <c r="AN44" s="13" t="s">
        <v>113</v>
      </c>
      <c r="AO44" s="13" t="s">
        <v>114</v>
      </c>
      <c r="AP44" s="14">
        <v>369</v>
      </c>
      <c r="AQ44" s="14" t="s">
        <v>100</v>
      </c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</row>
    <row r="45" spans="1:61" s="6" customFormat="1" ht="16.5">
      <c r="A45" s="13">
        <v>384</v>
      </c>
      <c r="B45" s="13" t="s">
        <v>113</v>
      </c>
      <c r="C45" s="74" t="s">
        <v>60</v>
      </c>
      <c r="D45" s="86">
        <f>IFERROR(VLOOKUP(C45, $C$2:D44, 2, FALSE), MAX($D$2:D44)+1)</f>
        <v>3</v>
      </c>
      <c r="E45" s="14">
        <v>71.97</v>
      </c>
      <c r="F45" s="14">
        <v>0</v>
      </c>
      <c r="G45" s="14">
        <v>3.25</v>
      </c>
      <c r="H45" s="14">
        <v>0</v>
      </c>
      <c r="I45" s="14">
        <v>0</v>
      </c>
      <c r="J45" s="14">
        <v>4.6399999999999997</v>
      </c>
      <c r="K45" s="14">
        <v>20.14</v>
      </c>
      <c r="L45" s="14">
        <v>0</v>
      </c>
      <c r="M45" s="14">
        <v>0</v>
      </c>
      <c r="N45" s="14">
        <v>0</v>
      </c>
      <c r="O45" s="14">
        <v>1</v>
      </c>
      <c r="P45" s="14">
        <v>1</v>
      </c>
      <c r="Q45" s="13" t="s">
        <v>113</v>
      </c>
      <c r="R45" s="13" t="s">
        <v>113</v>
      </c>
      <c r="S45" s="13" t="s">
        <v>113</v>
      </c>
      <c r="T45" s="13" t="s">
        <v>113</v>
      </c>
      <c r="U45" s="13" t="s">
        <v>113</v>
      </c>
      <c r="V45" s="13">
        <v>1</v>
      </c>
      <c r="W45" s="13" t="s">
        <v>113</v>
      </c>
      <c r="X45" s="13" t="s">
        <v>113</v>
      </c>
      <c r="Y45" s="13" t="s">
        <v>113</v>
      </c>
      <c r="Z45" s="14">
        <v>55</v>
      </c>
      <c r="AA45" s="13" t="s">
        <v>113</v>
      </c>
      <c r="AB45" s="13" t="s">
        <v>113</v>
      </c>
      <c r="AC45" s="14">
        <v>257</v>
      </c>
      <c r="AD45" s="13" t="s">
        <v>113</v>
      </c>
      <c r="AE45" s="13" t="s">
        <v>113</v>
      </c>
      <c r="AF45" s="13" t="s">
        <v>113</v>
      </c>
      <c r="AG45" s="13" t="s">
        <v>113</v>
      </c>
      <c r="AH45" s="13" t="s">
        <v>113</v>
      </c>
      <c r="AI45" s="13" t="s">
        <v>113</v>
      </c>
      <c r="AJ45" s="13" t="s">
        <v>113</v>
      </c>
      <c r="AK45" s="13" t="s">
        <v>113</v>
      </c>
      <c r="AL45" s="13" t="s">
        <v>113</v>
      </c>
      <c r="AM45" s="13"/>
      <c r="AN45" s="13" t="s">
        <v>113</v>
      </c>
      <c r="AO45" s="13" t="s">
        <v>114</v>
      </c>
      <c r="AP45" s="14">
        <v>384</v>
      </c>
      <c r="AQ45" s="14" t="s">
        <v>100</v>
      </c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spans="1:61" s="6" customFormat="1" ht="16.5">
      <c r="A46" s="13">
        <v>452</v>
      </c>
      <c r="B46" s="13" t="s">
        <v>113</v>
      </c>
      <c r="C46" s="74" t="s">
        <v>60</v>
      </c>
      <c r="D46" s="86">
        <f>IFERROR(VLOOKUP(C46, $C$2:D45, 2, FALSE), MAX($D$2:D45)+1)</f>
        <v>3</v>
      </c>
      <c r="E46" s="14">
        <v>74.739999999999995</v>
      </c>
      <c r="F46" s="14">
        <v>0</v>
      </c>
      <c r="G46" s="14">
        <v>2.0299999999999998</v>
      </c>
      <c r="H46" s="14">
        <v>0</v>
      </c>
      <c r="I46" s="14">
        <v>0</v>
      </c>
      <c r="J46" s="14">
        <v>0.69</v>
      </c>
      <c r="K46" s="14">
        <v>22.54</v>
      </c>
      <c r="L46" s="14">
        <v>0</v>
      </c>
      <c r="M46" s="14">
        <v>0</v>
      </c>
      <c r="N46" s="14">
        <v>0</v>
      </c>
      <c r="O46" s="14">
        <v>1</v>
      </c>
      <c r="P46" s="14">
        <v>1</v>
      </c>
      <c r="Q46" s="13" t="s">
        <v>113</v>
      </c>
      <c r="R46" s="13" t="s">
        <v>113</v>
      </c>
      <c r="S46" s="13" t="s">
        <v>113</v>
      </c>
      <c r="T46" s="13" t="s">
        <v>113</v>
      </c>
      <c r="U46" s="13" t="s">
        <v>113</v>
      </c>
      <c r="V46" s="13">
        <v>1</v>
      </c>
      <c r="W46" s="13" t="s">
        <v>113</v>
      </c>
      <c r="X46" s="13" t="s">
        <v>113</v>
      </c>
      <c r="Y46" s="13" t="s">
        <v>113</v>
      </c>
      <c r="Z46" s="14">
        <v>64.5</v>
      </c>
      <c r="AA46" s="13" t="s">
        <v>113</v>
      </c>
      <c r="AB46" s="13" t="s">
        <v>113</v>
      </c>
      <c r="AC46" s="14">
        <v>700</v>
      </c>
      <c r="AD46" s="13" t="s">
        <v>113</v>
      </c>
      <c r="AE46" s="13" t="s">
        <v>113</v>
      </c>
      <c r="AF46" s="13" t="s">
        <v>113</v>
      </c>
      <c r="AG46" s="13" t="s">
        <v>113</v>
      </c>
      <c r="AH46" s="13" t="s">
        <v>113</v>
      </c>
      <c r="AI46" s="13" t="s">
        <v>113</v>
      </c>
      <c r="AJ46" s="13" t="s">
        <v>113</v>
      </c>
      <c r="AK46" s="13" t="s">
        <v>113</v>
      </c>
      <c r="AL46" s="13" t="s">
        <v>113</v>
      </c>
      <c r="AM46" s="13"/>
      <c r="AN46" s="13" t="s">
        <v>113</v>
      </c>
      <c r="AO46" s="13" t="s">
        <v>114</v>
      </c>
      <c r="AP46" s="14">
        <v>452</v>
      </c>
      <c r="AQ46" s="14" t="s">
        <v>100</v>
      </c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</row>
    <row r="47" spans="1:61" s="6" customFormat="1" ht="16.5">
      <c r="A47" s="13">
        <v>482</v>
      </c>
      <c r="B47" s="13" t="s">
        <v>113</v>
      </c>
      <c r="C47" s="74" t="s">
        <v>60</v>
      </c>
      <c r="D47" s="86">
        <f>IFERROR(VLOOKUP(C47, $C$2:D46, 2, FALSE), MAX($D$2:D46)+1)</f>
        <v>3</v>
      </c>
      <c r="E47" s="14">
        <v>72.740000000000009</v>
      </c>
      <c r="F47" s="14">
        <v>0</v>
      </c>
      <c r="G47" s="14">
        <v>3.46</v>
      </c>
      <c r="H47" s="14">
        <v>0</v>
      </c>
      <c r="I47" s="14">
        <v>0</v>
      </c>
      <c r="J47" s="14">
        <v>3.53</v>
      </c>
      <c r="K47" s="14">
        <v>20.27</v>
      </c>
      <c r="L47" s="14">
        <v>0</v>
      </c>
      <c r="M47" s="14">
        <v>0</v>
      </c>
      <c r="N47" s="14">
        <v>0</v>
      </c>
      <c r="O47" s="14">
        <v>1</v>
      </c>
      <c r="P47" s="14">
        <v>1</v>
      </c>
      <c r="Q47" s="13" t="s">
        <v>113</v>
      </c>
      <c r="R47" s="13" t="s">
        <v>113</v>
      </c>
      <c r="S47" s="13" t="s">
        <v>113</v>
      </c>
      <c r="T47" s="13" t="s">
        <v>113</v>
      </c>
      <c r="U47" s="13" t="s">
        <v>113</v>
      </c>
      <c r="V47" s="14">
        <v>2</v>
      </c>
      <c r="W47" s="13" t="s">
        <v>113</v>
      </c>
      <c r="X47" s="13" t="s">
        <v>113</v>
      </c>
      <c r="Y47" s="13" t="s">
        <v>113</v>
      </c>
      <c r="Z47" s="14">
        <v>57.1</v>
      </c>
      <c r="AA47" s="13" t="s">
        <v>113</v>
      </c>
      <c r="AB47" s="13" t="s">
        <v>113</v>
      </c>
      <c r="AC47" s="14">
        <v>400</v>
      </c>
      <c r="AD47" s="13" t="s">
        <v>113</v>
      </c>
      <c r="AE47" s="13" t="s">
        <v>113</v>
      </c>
      <c r="AF47" s="13" t="s">
        <v>113</v>
      </c>
      <c r="AG47" s="13" t="s">
        <v>113</v>
      </c>
      <c r="AH47" s="13" t="s">
        <v>113</v>
      </c>
      <c r="AI47" s="13" t="s">
        <v>113</v>
      </c>
      <c r="AJ47" s="13" t="s">
        <v>113</v>
      </c>
      <c r="AK47" s="13" t="s">
        <v>113</v>
      </c>
      <c r="AL47" s="13" t="s">
        <v>113</v>
      </c>
      <c r="AM47" s="13"/>
      <c r="AN47" s="13" t="s">
        <v>113</v>
      </c>
      <c r="AO47" s="13" t="s">
        <v>114</v>
      </c>
      <c r="AP47" s="14">
        <v>482</v>
      </c>
      <c r="AQ47" s="14" t="s">
        <v>100</v>
      </c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</row>
    <row r="48" spans="1:61" s="6" customFormat="1" ht="16.5">
      <c r="A48" s="13">
        <v>483</v>
      </c>
      <c r="B48" s="13" t="s">
        <v>113</v>
      </c>
      <c r="C48" s="74" t="s">
        <v>60</v>
      </c>
      <c r="D48" s="86">
        <f>IFERROR(VLOOKUP(C48, $C$2:D47, 2, FALSE), MAX($D$2:D47)+1)</f>
        <v>3</v>
      </c>
      <c r="E48" s="14">
        <v>74.13</v>
      </c>
      <c r="F48" s="14">
        <v>0</v>
      </c>
      <c r="G48" s="14">
        <v>3.2300000000000004</v>
      </c>
      <c r="H48" s="14">
        <v>0</v>
      </c>
      <c r="I48" s="14">
        <v>0</v>
      </c>
      <c r="J48" s="14">
        <v>2.78</v>
      </c>
      <c r="K48" s="14">
        <v>19.86</v>
      </c>
      <c r="L48" s="14">
        <v>0</v>
      </c>
      <c r="M48" s="14">
        <v>0</v>
      </c>
      <c r="N48" s="14">
        <v>0</v>
      </c>
      <c r="O48" s="14">
        <v>1</v>
      </c>
      <c r="P48" s="14">
        <v>1</v>
      </c>
      <c r="Q48" s="13" t="s">
        <v>113</v>
      </c>
      <c r="R48" s="13" t="s">
        <v>113</v>
      </c>
      <c r="S48" s="13" t="s">
        <v>113</v>
      </c>
      <c r="T48" s="13" t="s">
        <v>113</v>
      </c>
      <c r="U48" s="13" t="s">
        <v>113</v>
      </c>
      <c r="V48" s="14">
        <v>2</v>
      </c>
      <c r="W48" s="13" t="s">
        <v>113</v>
      </c>
      <c r="X48" s="13" t="s">
        <v>113</v>
      </c>
      <c r="Y48" s="13" t="s">
        <v>113</v>
      </c>
      <c r="Z48" s="14">
        <v>53.7</v>
      </c>
      <c r="AA48" s="13" t="s">
        <v>113</v>
      </c>
      <c r="AB48" s="13" t="s">
        <v>113</v>
      </c>
      <c r="AC48" s="14">
        <v>435</v>
      </c>
      <c r="AD48" s="13" t="s">
        <v>113</v>
      </c>
      <c r="AE48" s="13" t="s">
        <v>113</v>
      </c>
      <c r="AF48" s="13" t="s">
        <v>113</v>
      </c>
      <c r="AG48" s="13" t="s">
        <v>113</v>
      </c>
      <c r="AH48" s="13" t="s">
        <v>113</v>
      </c>
      <c r="AI48" s="13" t="s">
        <v>113</v>
      </c>
      <c r="AJ48" s="13" t="s">
        <v>113</v>
      </c>
      <c r="AK48" s="13" t="s">
        <v>113</v>
      </c>
      <c r="AL48" s="13" t="s">
        <v>113</v>
      </c>
      <c r="AM48" s="13"/>
      <c r="AN48" s="13" t="s">
        <v>113</v>
      </c>
      <c r="AO48" s="13" t="s">
        <v>114</v>
      </c>
      <c r="AP48" s="14">
        <v>483</v>
      </c>
      <c r="AQ48" s="14" t="s">
        <v>100</v>
      </c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</row>
    <row r="49" spans="1:61" s="6" customFormat="1" ht="16.5">
      <c r="A49" s="13">
        <v>498</v>
      </c>
      <c r="B49" s="13" t="s">
        <v>113</v>
      </c>
      <c r="C49" s="74" t="s">
        <v>60</v>
      </c>
      <c r="D49" s="86">
        <f>IFERROR(VLOOKUP(C49, $C$2:D48, 2, FALSE), MAX($D$2:D48)+1)</f>
        <v>3</v>
      </c>
      <c r="E49" s="14">
        <v>74.3</v>
      </c>
      <c r="F49" s="14">
        <v>0</v>
      </c>
      <c r="G49" s="14">
        <v>2</v>
      </c>
      <c r="H49" s="14">
        <v>0</v>
      </c>
      <c r="I49" s="14">
        <v>0</v>
      </c>
      <c r="J49" s="14">
        <v>0.70000000000000007</v>
      </c>
      <c r="K49" s="14">
        <v>23</v>
      </c>
      <c r="L49" s="14">
        <v>0</v>
      </c>
      <c r="M49" s="14">
        <v>0</v>
      </c>
      <c r="N49" s="14">
        <v>0</v>
      </c>
      <c r="O49" s="14">
        <v>1</v>
      </c>
      <c r="P49" s="14">
        <v>1</v>
      </c>
      <c r="Q49" s="13" t="s">
        <v>113</v>
      </c>
      <c r="R49" s="13" t="s">
        <v>113</v>
      </c>
      <c r="S49" s="13" t="s">
        <v>113</v>
      </c>
      <c r="T49" s="13" t="s">
        <v>113</v>
      </c>
      <c r="U49" s="13" t="s">
        <v>113</v>
      </c>
      <c r="V49" s="14">
        <v>1</v>
      </c>
      <c r="W49" s="13" t="s">
        <v>113</v>
      </c>
      <c r="X49" s="13" t="s">
        <v>113</v>
      </c>
      <c r="Y49" s="13" t="s">
        <v>113</v>
      </c>
      <c r="Z49" s="14">
        <v>55</v>
      </c>
      <c r="AA49" s="13" t="s">
        <v>113</v>
      </c>
      <c r="AB49" s="13" t="s">
        <v>113</v>
      </c>
      <c r="AC49" s="14">
        <v>280</v>
      </c>
      <c r="AD49" s="13" t="s">
        <v>113</v>
      </c>
      <c r="AE49" s="13" t="s">
        <v>113</v>
      </c>
      <c r="AF49" s="13" t="s">
        <v>113</v>
      </c>
      <c r="AG49" s="13" t="s">
        <v>113</v>
      </c>
      <c r="AH49" s="13" t="s">
        <v>113</v>
      </c>
      <c r="AI49" s="13" t="s">
        <v>113</v>
      </c>
      <c r="AJ49" s="13" t="s">
        <v>113</v>
      </c>
      <c r="AK49" s="13" t="s">
        <v>113</v>
      </c>
      <c r="AL49" s="13" t="s">
        <v>113</v>
      </c>
      <c r="AM49" s="13"/>
      <c r="AN49" s="13" t="s">
        <v>113</v>
      </c>
      <c r="AO49" s="13" t="s">
        <v>114</v>
      </c>
      <c r="AP49" s="14">
        <v>498</v>
      </c>
      <c r="AQ49" s="14" t="s">
        <v>100</v>
      </c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</row>
    <row r="50" spans="1:61" s="6" customFormat="1" ht="16.5">
      <c r="A50" s="13">
        <v>502</v>
      </c>
      <c r="B50" s="13" t="s">
        <v>113</v>
      </c>
      <c r="C50" s="74" t="s">
        <v>60</v>
      </c>
      <c r="D50" s="86">
        <f>IFERROR(VLOOKUP(C50, $C$2:D49, 2, FALSE), MAX($D$2:D49)+1)</f>
        <v>3</v>
      </c>
      <c r="E50" s="14">
        <v>70.45</v>
      </c>
      <c r="F50" s="14">
        <v>0</v>
      </c>
      <c r="G50" s="14">
        <v>3.44</v>
      </c>
      <c r="H50" s="14">
        <v>0</v>
      </c>
      <c r="I50" s="14">
        <v>0</v>
      </c>
      <c r="J50" s="14">
        <v>4.6899999999999995</v>
      </c>
      <c r="K50" s="14">
        <v>21.42</v>
      </c>
      <c r="L50" s="14">
        <v>0</v>
      </c>
      <c r="M50" s="14">
        <v>0</v>
      </c>
      <c r="N50" s="14">
        <v>0</v>
      </c>
      <c r="O50" s="14">
        <v>1</v>
      </c>
      <c r="P50" s="14">
        <v>1</v>
      </c>
      <c r="Q50" s="13" t="s">
        <v>113</v>
      </c>
      <c r="R50" s="13" t="s">
        <v>113</v>
      </c>
      <c r="S50" s="13" t="s">
        <v>113</v>
      </c>
      <c r="T50" s="13" t="s">
        <v>113</v>
      </c>
      <c r="U50" s="13" t="s">
        <v>113</v>
      </c>
      <c r="V50" s="14">
        <v>1</v>
      </c>
      <c r="W50" s="13" t="s">
        <v>113</v>
      </c>
      <c r="X50" s="13" t="s">
        <v>113</v>
      </c>
      <c r="Y50" s="13" t="s">
        <v>113</v>
      </c>
      <c r="Z50" s="14">
        <v>61</v>
      </c>
      <c r="AA50" s="13" t="s">
        <v>113</v>
      </c>
      <c r="AB50" s="13" t="s">
        <v>113</v>
      </c>
      <c r="AC50" s="14">
        <v>521</v>
      </c>
      <c r="AD50" s="13" t="s">
        <v>113</v>
      </c>
      <c r="AE50" s="13" t="s">
        <v>113</v>
      </c>
      <c r="AF50" s="13" t="s">
        <v>113</v>
      </c>
      <c r="AG50" s="13" t="s">
        <v>113</v>
      </c>
      <c r="AH50" s="13" t="s">
        <v>113</v>
      </c>
      <c r="AI50" s="13" t="s">
        <v>113</v>
      </c>
      <c r="AJ50" s="13" t="s">
        <v>113</v>
      </c>
      <c r="AK50" s="13" t="s">
        <v>113</v>
      </c>
      <c r="AL50" s="13" t="s">
        <v>113</v>
      </c>
      <c r="AM50" s="13"/>
      <c r="AN50" s="13" t="s">
        <v>113</v>
      </c>
      <c r="AO50" s="13" t="s">
        <v>114</v>
      </c>
      <c r="AP50" s="14">
        <v>502</v>
      </c>
      <c r="AQ50" s="14" t="s">
        <v>100</v>
      </c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</row>
    <row r="51" spans="1:61" s="6" customFormat="1" ht="16.5">
      <c r="A51" s="9">
        <v>17</v>
      </c>
      <c r="B51"/>
      <c r="C51" s="74" t="s">
        <v>60</v>
      </c>
      <c r="D51" s="86">
        <f>IFERROR(VLOOKUP(C51, $C$2:D50, 2, FALSE), MAX($D$2:D50)+1)</f>
        <v>3</v>
      </c>
      <c r="E51" s="9">
        <v>72.06</v>
      </c>
      <c r="F51"/>
      <c r="G51" s="9">
        <v>3.18</v>
      </c>
      <c r="H51" s="9">
        <v>0</v>
      </c>
      <c r="I51"/>
      <c r="J51" s="9">
        <v>4.63</v>
      </c>
      <c r="K51" s="9">
        <v>20.13</v>
      </c>
      <c r="L51"/>
      <c r="M51"/>
      <c r="N51" s="9">
        <v>0</v>
      </c>
      <c r="O51"/>
      <c r="P51"/>
      <c r="Q51"/>
      <c r="R51"/>
      <c r="S51"/>
      <c r="T51"/>
      <c r="U51"/>
      <c r="V51"/>
      <c r="W51"/>
      <c r="X51"/>
      <c r="Y51"/>
      <c r="Z51" s="9">
        <v>65</v>
      </c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9" t="s">
        <v>59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6" customFormat="1" ht="16.5">
      <c r="A52" s="9">
        <v>18</v>
      </c>
      <c r="B52"/>
      <c r="C52" s="74" t="s">
        <v>60</v>
      </c>
      <c r="D52" s="86">
        <f>IFERROR(VLOOKUP(C52, $C$2:D51, 2, FALSE), MAX($D$2:D51)+1)</f>
        <v>3</v>
      </c>
      <c r="E52" s="9">
        <v>69.3</v>
      </c>
      <c r="F52"/>
      <c r="G52" s="9">
        <v>4.9000000000000004</v>
      </c>
      <c r="H52" s="9">
        <v>0</v>
      </c>
      <c r="I52"/>
      <c r="J52" s="9">
        <v>1.8</v>
      </c>
      <c r="K52" s="9">
        <v>24</v>
      </c>
      <c r="L52"/>
      <c r="M52"/>
      <c r="N52" s="9">
        <v>0</v>
      </c>
      <c r="O52"/>
      <c r="P52"/>
      <c r="Q52"/>
      <c r="R52"/>
      <c r="S52"/>
      <c r="T52"/>
      <c r="U52"/>
      <c r="V52"/>
      <c r="W52"/>
      <c r="X52"/>
      <c r="Y52"/>
      <c r="Z52" s="9">
        <v>55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9" t="s">
        <v>59</v>
      </c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6" customFormat="1" ht="16.5">
      <c r="A53" s="9">
        <v>19</v>
      </c>
      <c r="B53"/>
      <c r="C53" s="74" t="s">
        <v>60</v>
      </c>
      <c r="D53" s="86">
        <f>IFERROR(VLOOKUP(C53, $C$2:D52, 2, FALSE), MAX($D$2:D52)+1)</f>
        <v>3</v>
      </c>
      <c r="E53" s="9">
        <v>74.3</v>
      </c>
      <c r="F53"/>
      <c r="G53" s="9">
        <v>2</v>
      </c>
      <c r="H53" s="9">
        <v>0</v>
      </c>
      <c r="I53"/>
      <c r="J53" s="9">
        <v>0.7</v>
      </c>
      <c r="K53" s="9">
        <v>23</v>
      </c>
      <c r="L53"/>
      <c r="M53"/>
      <c r="N53" s="9">
        <v>0</v>
      </c>
      <c r="O53"/>
      <c r="P53"/>
      <c r="Q53"/>
      <c r="R53"/>
      <c r="S53"/>
      <c r="T53"/>
      <c r="U53"/>
      <c r="V53"/>
      <c r="W53"/>
      <c r="X53"/>
      <c r="Y53"/>
      <c r="Z53" s="9">
        <v>56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s="9" t="s">
        <v>59</v>
      </c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6" customFormat="1" ht="16.5">
      <c r="A54" s="9">
        <v>75</v>
      </c>
      <c r="B54"/>
      <c r="C54" s="74" t="s">
        <v>60</v>
      </c>
      <c r="D54" s="86">
        <f>IFERROR(VLOOKUP(C54, $C$2:D53, 2, FALSE), MAX($D$2:D53)+1)</f>
        <v>3</v>
      </c>
      <c r="E54" s="9">
        <v>83.67</v>
      </c>
      <c r="F54"/>
      <c r="G54" s="9">
        <v>7.93</v>
      </c>
      <c r="H54" s="9">
        <v>0</v>
      </c>
      <c r="I54"/>
      <c r="J54" s="9">
        <v>0.62</v>
      </c>
      <c r="K54" s="9">
        <v>7.78</v>
      </c>
      <c r="L54"/>
      <c r="M54"/>
      <c r="N54" s="9">
        <v>0</v>
      </c>
      <c r="O54"/>
      <c r="P54"/>
      <c r="Q54"/>
      <c r="R54"/>
      <c r="S54"/>
      <c r="T54"/>
      <c r="U54"/>
      <c r="V54"/>
      <c r="W54"/>
      <c r="X54"/>
      <c r="Y54"/>
      <c r="Z54" s="9">
        <v>90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s="9" t="s">
        <v>59</v>
      </c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6" customFormat="1" ht="16.5">
      <c r="A55" s="9">
        <v>76</v>
      </c>
      <c r="B55"/>
      <c r="C55" s="74" t="s">
        <v>60</v>
      </c>
      <c r="D55" s="86">
        <f>IFERROR(VLOOKUP(C55, $C$2:D54, 2, FALSE), MAX($D$2:D54)+1)</f>
        <v>3</v>
      </c>
      <c r="E55" s="9">
        <v>82.76</v>
      </c>
      <c r="F55"/>
      <c r="G55" s="9">
        <v>8.07</v>
      </c>
      <c r="H55" s="9">
        <v>0</v>
      </c>
      <c r="I55"/>
      <c r="J55" s="9">
        <v>1.25</v>
      </c>
      <c r="K55" s="9">
        <v>7.92</v>
      </c>
      <c r="L55"/>
      <c r="M55"/>
      <c r="N55" s="9">
        <v>0</v>
      </c>
      <c r="O55"/>
      <c r="P55"/>
      <c r="Q55"/>
      <c r="R55"/>
      <c r="S55"/>
      <c r="T55"/>
      <c r="U55"/>
      <c r="V55"/>
      <c r="W55"/>
      <c r="X55"/>
      <c r="Y55"/>
      <c r="Z55" s="9">
        <v>92.54</v>
      </c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9" t="s">
        <v>59</v>
      </c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6" customFormat="1" ht="16.5">
      <c r="A56" s="9">
        <v>77</v>
      </c>
      <c r="B56"/>
      <c r="C56" s="74" t="s">
        <v>60</v>
      </c>
      <c r="D56" s="86">
        <f>IFERROR(VLOOKUP(C56, $C$2:D55, 2, FALSE), MAX($D$2:D55)+1)</f>
        <v>3</v>
      </c>
      <c r="E56" s="9">
        <v>81.819999999999993</v>
      </c>
      <c r="F56"/>
      <c r="G56" s="9">
        <v>8.2100000000000009</v>
      </c>
      <c r="H56" s="9">
        <v>0</v>
      </c>
      <c r="I56"/>
      <c r="J56" s="9">
        <v>1.91</v>
      </c>
      <c r="K56" s="9">
        <v>8.06</v>
      </c>
      <c r="L56"/>
      <c r="M56"/>
      <c r="N56" s="9">
        <v>0</v>
      </c>
      <c r="O56"/>
      <c r="P56"/>
      <c r="Q56"/>
      <c r="R56"/>
      <c r="S56"/>
      <c r="T56"/>
      <c r="U56"/>
      <c r="V56"/>
      <c r="W56"/>
      <c r="X56"/>
      <c r="Y56"/>
      <c r="Z56" s="9">
        <v>93.66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9" t="s">
        <v>59</v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s="6" customFormat="1" ht="16.5">
      <c r="A57" s="9">
        <v>78</v>
      </c>
      <c r="B57"/>
      <c r="C57" s="74" t="s">
        <v>60</v>
      </c>
      <c r="D57" s="86">
        <f>IFERROR(VLOOKUP(C57, $C$2:D56, 2, FALSE), MAX($D$2:D56)+1)</f>
        <v>3</v>
      </c>
      <c r="E57" s="9">
        <v>80.849999999999994</v>
      </c>
      <c r="F57"/>
      <c r="G57" s="9">
        <v>8.36</v>
      </c>
      <c r="H57" s="9">
        <v>0</v>
      </c>
      <c r="I57"/>
      <c r="J57" s="9">
        <v>2.59</v>
      </c>
      <c r="K57" s="9">
        <v>8.1999999999999993</v>
      </c>
      <c r="L57"/>
      <c r="M57"/>
      <c r="N57" s="9">
        <v>0</v>
      </c>
      <c r="O57"/>
      <c r="P57"/>
      <c r="Q57"/>
      <c r="R57"/>
      <c r="S57"/>
      <c r="T57"/>
      <c r="U57"/>
      <c r="V57"/>
      <c r="W57"/>
      <c r="X57"/>
      <c r="Y57"/>
      <c r="Z57" s="9">
        <v>83.52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9" t="s">
        <v>59</v>
      </c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6" customFormat="1" ht="16.5">
      <c r="A58" s="9">
        <v>89</v>
      </c>
      <c r="B58"/>
      <c r="C58" s="74" t="s">
        <v>60</v>
      </c>
      <c r="D58" s="86">
        <f>IFERROR(VLOOKUP(C58, $C$2:D57, 2, FALSE), MAX($D$2:D57)+1)</f>
        <v>3</v>
      </c>
      <c r="E58" s="9">
        <v>69.290000000000006</v>
      </c>
      <c r="F58"/>
      <c r="G58" s="9">
        <v>4.92</v>
      </c>
      <c r="H58" s="9">
        <v>0</v>
      </c>
      <c r="I58"/>
      <c r="J58" s="9">
        <v>1.78</v>
      </c>
      <c r="K58" s="9">
        <v>24.01</v>
      </c>
      <c r="L58"/>
      <c r="M58"/>
      <c r="N58" s="9">
        <v>0</v>
      </c>
      <c r="O58"/>
      <c r="P58"/>
      <c r="Q58"/>
      <c r="R58"/>
      <c r="S58"/>
      <c r="T58"/>
      <c r="U58"/>
      <c r="V58"/>
      <c r="W58"/>
      <c r="X58"/>
      <c r="Y58"/>
      <c r="Z58" s="9">
        <v>55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9" t="s">
        <v>59</v>
      </c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6" customFormat="1" ht="16.5">
      <c r="A59" s="9">
        <v>130</v>
      </c>
      <c r="B59"/>
      <c r="C59" s="74" t="s">
        <v>60</v>
      </c>
      <c r="D59" s="86">
        <f>IFERROR(VLOOKUP(C59, $C$2:D58, 2, FALSE), MAX($D$2:D58)+1)</f>
        <v>3</v>
      </c>
      <c r="E59" s="9">
        <v>34.6</v>
      </c>
      <c r="F59"/>
      <c r="G59" s="9">
        <v>8.7100000000000009</v>
      </c>
      <c r="H59" s="9">
        <v>0</v>
      </c>
      <c r="I59"/>
      <c r="J59" s="9">
        <v>12.34</v>
      </c>
      <c r="K59" s="9">
        <v>44.35</v>
      </c>
      <c r="L59"/>
      <c r="M59"/>
      <c r="N59" s="9">
        <v>0</v>
      </c>
      <c r="O59"/>
      <c r="P59"/>
      <c r="Q59"/>
      <c r="R59"/>
      <c r="S59"/>
      <c r="T59"/>
      <c r="U59"/>
      <c r="V59"/>
      <c r="W59"/>
      <c r="X59"/>
      <c r="Y59"/>
      <c r="Z59" s="9">
        <v>64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9" t="s">
        <v>59</v>
      </c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6" customFormat="1" ht="16.5">
      <c r="A60" s="9">
        <v>147</v>
      </c>
      <c r="B60"/>
      <c r="C60" s="74" t="s">
        <v>60</v>
      </c>
      <c r="D60" s="86">
        <f>IFERROR(VLOOKUP(C60, $C$2:D59, 2, FALSE), MAX($D$2:D59)+1)</f>
        <v>3</v>
      </c>
      <c r="E60" s="9">
        <v>55.01</v>
      </c>
      <c r="F60"/>
      <c r="G60" s="9">
        <v>20.09</v>
      </c>
      <c r="H60" s="9">
        <v>0</v>
      </c>
      <c r="I60"/>
      <c r="J60" s="9">
        <v>17.64</v>
      </c>
      <c r="K60" s="9">
        <v>7.26</v>
      </c>
      <c r="L60"/>
      <c r="M60"/>
      <c r="N60" s="9">
        <v>0</v>
      </c>
      <c r="O60"/>
      <c r="P60"/>
      <c r="Q60"/>
      <c r="R60"/>
      <c r="S60"/>
      <c r="T60"/>
      <c r="U60"/>
      <c r="V60"/>
      <c r="W60"/>
      <c r="X60"/>
      <c r="Y60"/>
      <c r="Z60" s="9">
        <v>73.12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9" t="s">
        <v>59</v>
      </c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6" customFormat="1" ht="16.5">
      <c r="A61" s="9">
        <v>148</v>
      </c>
      <c r="B61"/>
      <c r="C61" s="74" t="s">
        <v>60</v>
      </c>
      <c r="D61" s="86">
        <f>IFERROR(VLOOKUP(C61, $C$2:D60, 2, FALSE), MAX($D$2:D60)+1)</f>
        <v>3</v>
      </c>
      <c r="E61" s="9">
        <v>54.48</v>
      </c>
      <c r="F61"/>
      <c r="G61" s="9">
        <v>22.98</v>
      </c>
      <c r="H61" s="9">
        <v>0</v>
      </c>
      <c r="I61"/>
      <c r="J61" s="9">
        <v>18.03</v>
      </c>
      <c r="K61" s="9">
        <v>4.51</v>
      </c>
      <c r="L61"/>
      <c r="M61"/>
      <c r="N61" s="9">
        <v>0</v>
      </c>
      <c r="O61"/>
      <c r="P61"/>
      <c r="Q61"/>
      <c r="R61"/>
      <c r="S61"/>
      <c r="T61"/>
      <c r="U61"/>
      <c r="V61"/>
      <c r="W61"/>
      <c r="X61"/>
      <c r="Y61"/>
      <c r="Z61" s="9">
        <v>74.98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9" t="s">
        <v>59</v>
      </c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6" customFormat="1" ht="16.5">
      <c r="A62" s="9">
        <v>149</v>
      </c>
      <c r="B62"/>
      <c r="C62" s="74" t="s">
        <v>60</v>
      </c>
      <c r="D62" s="86">
        <f>IFERROR(VLOOKUP(C62, $C$2:D61, 2, FALSE), MAX($D$2:D61)+1)</f>
        <v>3</v>
      </c>
      <c r="E62" s="9">
        <v>53.16</v>
      </c>
      <c r="F62"/>
      <c r="G62" s="9">
        <v>26.04</v>
      </c>
      <c r="H62" s="9">
        <v>0</v>
      </c>
      <c r="I62"/>
      <c r="J62" s="9">
        <v>18.52</v>
      </c>
      <c r="K62" s="9">
        <v>2.2799999999999998</v>
      </c>
      <c r="L62"/>
      <c r="M62"/>
      <c r="N62" s="9">
        <v>0</v>
      </c>
      <c r="O62"/>
      <c r="P62"/>
      <c r="Q62"/>
      <c r="R62"/>
      <c r="S62"/>
      <c r="T62"/>
      <c r="U62"/>
      <c r="V62"/>
      <c r="W62"/>
      <c r="X62"/>
      <c r="Y62"/>
      <c r="Z62" s="9">
        <v>76.62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9" t="s">
        <v>59</v>
      </c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s="6" customFormat="1" ht="16.5">
      <c r="A63" s="9">
        <v>154</v>
      </c>
      <c r="B63"/>
      <c r="C63" s="74" t="s">
        <v>60</v>
      </c>
      <c r="D63" s="86">
        <f>IFERROR(VLOOKUP(C63, $C$2:D62, 2, FALSE), MAX($D$2:D62)+1)</f>
        <v>3</v>
      </c>
      <c r="E63" s="9">
        <v>67.8</v>
      </c>
      <c r="F63"/>
      <c r="G63" s="9">
        <v>3.6</v>
      </c>
      <c r="H63" s="9">
        <v>0</v>
      </c>
      <c r="I63"/>
      <c r="J63" s="9">
        <v>3.8</v>
      </c>
      <c r="K63" s="9">
        <v>24.8</v>
      </c>
      <c r="L63"/>
      <c r="M63"/>
      <c r="N63" s="9">
        <v>0</v>
      </c>
      <c r="O63"/>
      <c r="P63"/>
      <c r="Q63"/>
      <c r="R63"/>
      <c r="S63"/>
      <c r="T63"/>
      <c r="U63"/>
      <c r="V63"/>
      <c r="W63"/>
      <c r="X63"/>
      <c r="Y63"/>
      <c r="Z63" s="9">
        <v>65.8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9" t="s">
        <v>59</v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6" customFormat="1" ht="16.5">
      <c r="A64" s="9">
        <v>155</v>
      </c>
      <c r="B64"/>
      <c r="C64" s="74" t="s">
        <v>60</v>
      </c>
      <c r="D64" s="86">
        <f>IFERROR(VLOOKUP(C64, $C$2:D63, 2, FALSE), MAX($D$2:D63)+1)</f>
        <v>3</v>
      </c>
      <c r="E64" s="9">
        <v>69.7</v>
      </c>
      <c r="F64"/>
      <c r="G64" s="9">
        <v>3.2</v>
      </c>
      <c r="H64" s="9">
        <v>0</v>
      </c>
      <c r="I64"/>
      <c r="J64" s="9">
        <v>4.2</v>
      </c>
      <c r="K64" s="9">
        <v>22.9</v>
      </c>
      <c r="L64"/>
      <c r="M64"/>
      <c r="N64" s="9">
        <v>0</v>
      </c>
      <c r="O64"/>
      <c r="P64"/>
      <c r="Q64"/>
      <c r="R64"/>
      <c r="S64"/>
      <c r="T64"/>
      <c r="U64"/>
      <c r="V64"/>
      <c r="W64"/>
      <c r="X64"/>
      <c r="Y64"/>
      <c r="Z64" s="9">
        <v>64.2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9" t="s">
        <v>59</v>
      </c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s="6" customFormat="1" ht="16.5">
      <c r="A65" s="9">
        <v>156</v>
      </c>
      <c r="B65"/>
      <c r="C65" s="74" t="s">
        <v>60</v>
      </c>
      <c r="D65" s="86">
        <f>IFERROR(VLOOKUP(C65, $C$2:D64, 2, FALSE), MAX($D$2:D64)+1)</f>
        <v>3</v>
      </c>
      <c r="E65" s="9">
        <v>70.599999999999994</v>
      </c>
      <c r="F65"/>
      <c r="G65" s="9">
        <v>3.4</v>
      </c>
      <c r="H65" s="9">
        <v>0</v>
      </c>
      <c r="I65"/>
      <c r="J65" s="9">
        <v>5.0999999999999996</v>
      </c>
      <c r="K65" s="9">
        <v>20.9</v>
      </c>
      <c r="L65"/>
      <c r="M65"/>
      <c r="N65" s="9">
        <v>0</v>
      </c>
      <c r="O65"/>
      <c r="P65"/>
      <c r="Q65"/>
      <c r="R65"/>
      <c r="S65"/>
      <c r="T65"/>
      <c r="U65"/>
      <c r="V65"/>
      <c r="W65"/>
      <c r="X65"/>
      <c r="Y65"/>
      <c r="Z65" s="9">
        <v>63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9" t="s">
        <v>59</v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s="6" customFormat="1" ht="16.5">
      <c r="A66" s="9">
        <v>157</v>
      </c>
      <c r="B66"/>
      <c r="C66" s="74" t="s">
        <v>60</v>
      </c>
      <c r="D66" s="86">
        <f>IFERROR(VLOOKUP(C66, $C$2:D65, 2, FALSE), MAX($D$2:D65)+1)</f>
        <v>3</v>
      </c>
      <c r="E66" s="9">
        <v>74.8</v>
      </c>
      <c r="F66"/>
      <c r="G66" s="9">
        <v>2</v>
      </c>
      <c r="H66" s="9">
        <v>0</v>
      </c>
      <c r="I66"/>
      <c r="J66" s="9">
        <v>0.7</v>
      </c>
      <c r="K66" s="9">
        <v>22.5</v>
      </c>
      <c r="L66"/>
      <c r="M66"/>
      <c r="N66" s="9">
        <v>0</v>
      </c>
      <c r="O66"/>
      <c r="P66"/>
      <c r="Q66"/>
      <c r="R66"/>
      <c r="S66"/>
      <c r="T66"/>
      <c r="U66"/>
      <c r="V66"/>
      <c r="W66"/>
      <c r="X66"/>
      <c r="Y66"/>
      <c r="Z66" s="9">
        <v>59.5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9" t="s">
        <v>59</v>
      </c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s="6" customFormat="1" ht="16.5">
      <c r="A67" s="9">
        <v>159</v>
      </c>
      <c r="B67"/>
      <c r="C67" s="74" t="s">
        <v>60</v>
      </c>
      <c r="D67" s="86">
        <f>IFERROR(VLOOKUP(C67, $C$2:D66, 2, FALSE), MAX($D$2:D66)+1)</f>
        <v>3</v>
      </c>
      <c r="E67" s="9">
        <v>69.709999999999994</v>
      </c>
      <c r="F67"/>
      <c r="G67" s="9">
        <v>4.83</v>
      </c>
      <c r="H67" s="9">
        <v>0</v>
      </c>
      <c r="I67"/>
      <c r="J67" s="9">
        <v>1.74</v>
      </c>
      <c r="K67" s="9">
        <v>23.72</v>
      </c>
      <c r="L67"/>
      <c r="M67"/>
      <c r="N67" s="9">
        <v>0</v>
      </c>
      <c r="O67"/>
      <c r="P67"/>
      <c r="Q67"/>
      <c r="R67"/>
      <c r="S67"/>
      <c r="T67"/>
      <c r="U67"/>
      <c r="V67"/>
      <c r="W67"/>
      <c r="X67"/>
      <c r="Y67"/>
      <c r="Z67" s="9">
        <v>62.2</v>
      </c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9" t="s">
        <v>59</v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s="6" customFormat="1" ht="16.5">
      <c r="A68" s="9">
        <v>181</v>
      </c>
      <c r="B68"/>
      <c r="C68" s="74" t="s">
        <v>60</v>
      </c>
      <c r="D68" s="86">
        <f>IFERROR(VLOOKUP(C68, $C$2:D67, 2, FALSE), MAX($D$2:D67)+1)</f>
        <v>3</v>
      </c>
      <c r="E68" s="9">
        <v>74.27</v>
      </c>
      <c r="F68"/>
      <c r="G68" s="9">
        <v>1.96</v>
      </c>
      <c r="H68" s="9">
        <v>0</v>
      </c>
      <c r="I68"/>
      <c r="J68" s="9">
        <v>0.66</v>
      </c>
      <c r="K68" s="9">
        <v>23.11</v>
      </c>
      <c r="L68"/>
      <c r="M68"/>
      <c r="N68" s="9">
        <v>0</v>
      </c>
      <c r="O68"/>
      <c r="P68"/>
      <c r="Q68"/>
      <c r="R68"/>
      <c r="S68"/>
      <c r="T68"/>
      <c r="U68"/>
      <c r="V68"/>
      <c r="W68"/>
      <c r="X68"/>
      <c r="Y68"/>
      <c r="Z68" s="9">
        <v>60.2</v>
      </c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9" t="s">
        <v>59</v>
      </c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s="6" customFormat="1" ht="16.5">
      <c r="A69" s="9">
        <v>199</v>
      </c>
      <c r="B69"/>
      <c r="C69" s="74" t="s">
        <v>60</v>
      </c>
      <c r="D69" s="86">
        <f>IFERROR(VLOOKUP(C69, $C$2:D68, 2, FALSE), MAX($D$2:D68)+1)</f>
        <v>3</v>
      </c>
      <c r="E69" s="9">
        <v>72.63</v>
      </c>
      <c r="F69"/>
      <c r="G69" s="9">
        <v>3.47</v>
      </c>
      <c r="H69" s="9">
        <v>0</v>
      </c>
      <c r="I69"/>
      <c r="J69" s="9">
        <v>3.49</v>
      </c>
      <c r="K69" s="9">
        <v>20.41</v>
      </c>
      <c r="L69"/>
      <c r="M69"/>
      <c r="N69" s="9">
        <v>0</v>
      </c>
      <c r="O69"/>
      <c r="P69"/>
      <c r="Q69"/>
      <c r="R69"/>
      <c r="S69"/>
      <c r="T69"/>
      <c r="U69"/>
      <c r="V69"/>
      <c r="W69"/>
      <c r="X69"/>
      <c r="Y69"/>
      <c r="Z69" s="9">
        <v>56</v>
      </c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9" t="s">
        <v>59</v>
      </c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s="6" customFormat="1" ht="16.5">
      <c r="A70" s="9">
        <v>200</v>
      </c>
      <c r="B70"/>
      <c r="C70" s="74" t="s">
        <v>60</v>
      </c>
      <c r="D70" s="86">
        <f>IFERROR(VLOOKUP(C70, $C$2:D69, 2, FALSE), MAX($D$2:D69)+1)</f>
        <v>3</v>
      </c>
      <c r="E70" s="9">
        <v>68.209999999999994</v>
      </c>
      <c r="F70"/>
      <c r="G70" s="9">
        <v>3.58</v>
      </c>
      <c r="H70" s="9">
        <v>0</v>
      </c>
      <c r="I70"/>
      <c r="J70" s="9">
        <v>3.61</v>
      </c>
      <c r="K70" s="9">
        <v>24.6</v>
      </c>
      <c r="L70"/>
      <c r="M70"/>
      <c r="N70" s="9">
        <v>0</v>
      </c>
      <c r="O70"/>
      <c r="P70"/>
      <c r="Q70"/>
      <c r="R70"/>
      <c r="S70"/>
      <c r="T70"/>
      <c r="U70"/>
      <c r="V70"/>
      <c r="W70"/>
      <c r="X70"/>
      <c r="Y70"/>
      <c r="Z70" s="9">
        <v>62</v>
      </c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9" t="s">
        <v>59</v>
      </c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s="6" customFormat="1" ht="16.5">
      <c r="A71" s="9">
        <v>210</v>
      </c>
      <c r="B71"/>
      <c r="C71" s="74" t="s">
        <v>60</v>
      </c>
      <c r="D71" s="86">
        <f>IFERROR(VLOOKUP(C71, $C$2:D70, 2, FALSE), MAX($D$2:D70)+1)</f>
        <v>3</v>
      </c>
      <c r="E71" s="9">
        <v>69.2</v>
      </c>
      <c r="F71"/>
      <c r="G71" s="9">
        <v>5</v>
      </c>
      <c r="H71" s="9">
        <v>0</v>
      </c>
      <c r="I71"/>
      <c r="J71" s="9">
        <v>1.7</v>
      </c>
      <c r="K71" s="9">
        <v>24.1</v>
      </c>
      <c r="L71"/>
      <c r="M71"/>
      <c r="N71" s="9">
        <v>0</v>
      </c>
      <c r="O71"/>
      <c r="P71"/>
      <c r="Q71"/>
      <c r="R71"/>
      <c r="S71"/>
      <c r="T71"/>
      <c r="U71"/>
      <c r="V71"/>
      <c r="W71"/>
      <c r="X71"/>
      <c r="Y71"/>
      <c r="Z71" s="9">
        <v>56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9" t="s">
        <v>59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s="6" customFormat="1" ht="16.5">
      <c r="A72" s="9">
        <v>211</v>
      </c>
      <c r="B72"/>
      <c r="C72" s="74" t="s">
        <v>60</v>
      </c>
      <c r="D72" s="86">
        <f>IFERROR(VLOOKUP(C72, $C$2:D71, 2, FALSE), MAX($D$2:D71)+1)</f>
        <v>3</v>
      </c>
      <c r="E72" s="9">
        <v>69.900000000000006</v>
      </c>
      <c r="F72"/>
      <c r="G72" s="9">
        <v>5.0999999999999996</v>
      </c>
      <c r="H72" s="9">
        <v>0</v>
      </c>
      <c r="I72"/>
      <c r="J72" s="9">
        <v>4.5</v>
      </c>
      <c r="K72" s="9">
        <v>20.5</v>
      </c>
      <c r="L72"/>
      <c r="M72"/>
      <c r="N72" s="9">
        <v>0</v>
      </c>
      <c r="O72"/>
      <c r="P72"/>
      <c r="Q72"/>
      <c r="R72"/>
      <c r="S72"/>
      <c r="T72"/>
      <c r="U72"/>
      <c r="V72"/>
      <c r="W72"/>
      <c r="X72"/>
      <c r="Y72"/>
      <c r="Z72" s="9">
        <v>50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9" t="s">
        <v>59</v>
      </c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s="6" customFormat="1" ht="16.5">
      <c r="A73" s="9">
        <v>219</v>
      </c>
      <c r="B73"/>
      <c r="C73" s="74" t="s">
        <v>60</v>
      </c>
      <c r="D73" s="86">
        <f>IFERROR(VLOOKUP(C73, $C$2:D72, 2, FALSE), MAX($D$2:D72)+1)</f>
        <v>3</v>
      </c>
      <c r="E73" s="9">
        <v>63.3</v>
      </c>
      <c r="F73"/>
      <c r="G73" s="9">
        <v>17.600000000000001</v>
      </c>
      <c r="H73" s="9">
        <v>0</v>
      </c>
      <c r="I73"/>
      <c r="J73" s="9">
        <v>0.4</v>
      </c>
      <c r="K73" s="9">
        <v>18.7</v>
      </c>
      <c r="L73"/>
      <c r="M73"/>
      <c r="N73" s="9">
        <v>0</v>
      </c>
      <c r="O73"/>
      <c r="P73"/>
      <c r="Q73"/>
      <c r="R73"/>
      <c r="S73"/>
      <c r="T73"/>
      <c r="U73"/>
      <c r="V73"/>
      <c r="W73"/>
      <c r="X73"/>
      <c r="Y73"/>
      <c r="Z73" s="9">
        <v>48.3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9" t="s">
        <v>59</v>
      </c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s="6" customFormat="1" ht="16.5">
      <c r="A74" s="13">
        <v>343</v>
      </c>
      <c r="B74" s="13" t="s">
        <v>113</v>
      </c>
      <c r="C74" s="74" t="s">
        <v>71</v>
      </c>
      <c r="D74" s="86">
        <f>IFERROR(VLOOKUP(C74, $C$2:D73, 2, FALSE), MAX($D$2:D73)+1)</f>
        <v>4</v>
      </c>
      <c r="E74" s="14">
        <v>81.84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18.16</v>
      </c>
      <c r="L74" s="14">
        <v>0</v>
      </c>
      <c r="M74" s="14">
        <v>0</v>
      </c>
      <c r="N74" s="14">
        <v>0</v>
      </c>
      <c r="O74" s="14">
        <v>1</v>
      </c>
      <c r="P74" s="14">
        <v>1</v>
      </c>
      <c r="Q74" s="13" t="s">
        <v>113</v>
      </c>
      <c r="R74" s="13" t="s">
        <v>113</v>
      </c>
      <c r="S74" s="13" t="s">
        <v>113</v>
      </c>
      <c r="T74" s="13" t="s">
        <v>113</v>
      </c>
      <c r="U74" s="13" t="s">
        <v>113</v>
      </c>
      <c r="V74" s="13">
        <v>1</v>
      </c>
      <c r="W74" s="13" t="s">
        <v>113</v>
      </c>
      <c r="X74" s="13" t="s">
        <v>113</v>
      </c>
      <c r="Y74" s="13" t="s">
        <v>113</v>
      </c>
      <c r="Z74" s="14">
        <v>79</v>
      </c>
      <c r="AA74" s="13" t="s">
        <v>113</v>
      </c>
      <c r="AB74" s="13" t="s">
        <v>113</v>
      </c>
      <c r="AC74" s="14">
        <v>348</v>
      </c>
      <c r="AD74" s="13" t="s">
        <v>113</v>
      </c>
      <c r="AE74" s="13" t="s">
        <v>113</v>
      </c>
      <c r="AF74" s="13" t="s">
        <v>113</v>
      </c>
      <c r="AG74" s="13" t="s">
        <v>113</v>
      </c>
      <c r="AH74" s="13" t="s">
        <v>113</v>
      </c>
      <c r="AI74" s="13" t="s">
        <v>113</v>
      </c>
      <c r="AJ74" s="13" t="s">
        <v>113</v>
      </c>
      <c r="AK74" s="13" t="s">
        <v>113</v>
      </c>
      <c r="AL74" s="13" t="s">
        <v>113</v>
      </c>
      <c r="AM74" s="13"/>
      <c r="AN74" s="13" t="s">
        <v>113</v>
      </c>
      <c r="AO74" s="13" t="s">
        <v>114</v>
      </c>
      <c r="AP74" s="14">
        <v>343</v>
      </c>
      <c r="AQ74" s="14" t="s">
        <v>100</v>
      </c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</row>
    <row r="75" spans="1:61" s="6" customFormat="1" ht="16.5">
      <c r="A75" s="13">
        <v>417</v>
      </c>
      <c r="B75" s="13" t="s">
        <v>113</v>
      </c>
      <c r="C75" s="74" t="s">
        <v>71</v>
      </c>
      <c r="D75" s="86">
        <f>IFERROR(VLOOKUP(C75, $C$2:D74, 2, FALSE), MAX($D$2:D74)+1)</f>
        <v>4</v>
      </c>
      <c r="E75" s="14">
        <v>76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24</v>
      </c>
      <c r="L75" s="14">
        <v>0</v>
      </c>
      <c r="M75" s="14">
        <v>0</v>
      </c>
      <c r="N75" s="14">
        <v>0</v>
      </c>
      <c r="O75" s="14">
        <v>1</v>
      </c>
      <c r="P75" s="14">
        <v>1</v>
      </c>
      <c r="Q75" s="13" t="s">
        <v>113</v>
      </c>
      <c r="R75" s="13" t="s">
        <v>113</v>
      </c>
      <c r="S75" s="13" t="s">
        <v>113</v>
      </c>
      <c r="T75" s="13" t="s">
        <v>113</v>
      </c>
      <c r="U75" s="13" t="s">
        <v>113</v>
      </c>
      <c r="V75" s="13">
        <v>1</v>
      </c>
      <c r="W75" s="13" t="s">
        <v>113</v>
      </c>
      <c r="X75" s="13" t="s">
        <v>113</v>
      </c>
      <c r="Y75" s="13" t="s">
        <v>113</v>
      </c>
      <c r="Z75" s="14">
        <v>56</v>
      </c>
      <c r="AA75" s="13" t="s">
        <v>113</v>
      </c>
      <c r="AB75" s="13" t="s">
        <v>113</v>
      </c>
      <c r="AC75" s="14">
        <v>203</v>
      </c>
      <c r="AD75" s="13" t="s">
        <v>113</v>
      </c>
      <c r="AE75" s="13" t="s">
        <v>113</v>
      </c>
      <c r="AF75" s="13" t="s">
        <v>113</v>
      </c>
      <c r="AG75" s="13" t="s">
        <v>113</v>
      </c>
      <c r="AH75" s="13" t="s">
        <v>113</v>
      </c>
      <c r="AI75" s="13" t="s">
        <v>113</v>
      </c>
      <c r="AJ75" s="13" t="s">
        <v>113</v>
      </c>
      <c r="AK75" s="13" t="s">
        <v>113</v>
      </c>
      <c r="AL75" s="13" t="s">
        <v>113</v>
      </c>
      <c r="AM75" s="13"/>
      <c r="AN75" s="13" t="s">
        <v>113</v>
      </c>
      <c r="AO75" s="13" t="s">
        <v>114</v>
      </c>
      <c r="AP75" s="14">
        <v>417</v>
      </c>
      <c r="AQ75" s="14" t="s">
        <v>100</v>
      </c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</row>
    <row r="76" spans="1:61" s="6" customFormat="1" ht="16.5">
      <c r="A76" s="13">
        <v>418</v>
      </c>
      <c r="B76" s="13" t="s">
        <v>113</v>
      </c>
      <c r="C76" s="74" t="s">
        <v>71</v>
      </c>
      <c r="D76" s="86">
        <f>IFERROR(VLOOKUP(C76, $C$2:D75, 2, FALSE), MAX($D$2:D75)+1)</f>
        <v>4</v>
      </c>
      <c r="E76" s="14">
        <v>76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24</v>
      </c>
      <c r="L76" s="14">
        <v>0</v>
      </c>
      <c r="M76" s="14">
        <v>0</v>
      </c>
      <c r="N76" s="14">
        <v>0</v>
      </c>
      <c r="O76" s="14">
        <v>1</v>
      </c>
      <c r="P76" s="14">
        <v>1</v>
      </c>
      <c r="Q76" s="13" t="s">
        <v>113</v>
      </c>
      <c r="R76" s="13" t="s">
        <v>113</v>
      </c>
      <c r="S76" s="13" t="s">
        <v>113</v>
      </c>
      <c r="T76" s="13" t="s">
        <v>113</v>
      </c>
      <c r="U76" s="13" t="s">
        <v>113</v>
      </c>
      <c r="V76" s="13">
        <v>1</v>
      </c>
      <c r="W76" s="13" t="s">
        <v>113</v>
      </c>
      <c r="X76" s="13" t="s">
        <v>113</v>
      </c>
      <c r="Y76" s="13" t="s">
        <v>113</v>
      </c>
      <c r="Z76" s="14">
        <v>58</v>
      </c>
      <c r="AA76" s="13" t="s">
        <v>113</v>
      </c>
      <c r="AB76" s="13" t="s">
        <v>113</v>
      </c>
      <c r="AC76" s="14">
        <v>301</v>
      </c>
      <c r="AD76" s="13" t="s">
        <v>113</v>
      </c>
      <c r="AE76" s="13" t="s">
        <v>113</v>
      </c>
      <c r="AF76" s="13" t="s">
        <v>113</v>
      </c>
      <c r="AG76" s="13" t="s">
        <v>113</v>
      </c>
      <c r="AH76" s="13" t="s">
        <v>113</v>
      </c>
      <c r="AI76" s="13" t="s">
        <v>113</v>
      </c>
      <c r="AJ76" s="13" t="s">
        <v>113</v>
      </c>
      <c r="AK76" s="13" t="s">
        <v>113</v>
      </c>
      <c r="AL76" s="13" t="s">
        <v>113</v>
      </c>
      <c r="AM76" s="13"/>
      <c r="AN76" s="13" t="s">
        <v>113</v>
      </c>
      <c r="AO76" s="13" t="s">
        <v>114</v>
      </c>
      <c r="AP76" s="14">
        <v>418</v>
      </c>
      <c r="AQ76" s="14" t="s">
        <v>100</v>
      </c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</row>
    <row r="77" spans="1:61" s="6" customFormat="1" ht="16.5">
      <c r="A77" s="13">
        <v>419</v>
      </c>
      <c r="B77" s="13" t="s">
        <v>113</v>
      </c>
      <c r="C77" s="74" t="s">
        <v>71</v>
      </c>
      <c r="D77" s="86">
        <f>IFERROR(VLOOKUP(C77, $C$2:D76, 2, FALSE), MAX($D$2:D76)+1)</f>
        <v>4</v>
      </c>
      <c r="E77" s="14">
        <v>76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24</v>
      </c>
      <c r="L77" s="14">
        <v>0</v>
      </c>
      <c r="M77" s="14">
        <v>0</v>
      </c>
      <c r="N77" s="14">
        <v>0</v>
      </c>
      <c r="O77" s="14">
        <v>1</v>
      </c>
      <c r="P77" s="14">
        <v>1</v>
      </c>
      <c r="Q77" s="13" t="s">
        <v>113</v>
      </c>
      <c r="R77" s="13" t="s">
        <v>113</v>
      </c>
      <c r="S77" s="13" t="s">
        <v>113</v>
      </c>
      <c r="T77" s="13" t="s">
        <v>113</v>
      </c>
      <c r="U77" s="13" t="s">
        <v>113</v>
      </c>
      <c r="V77" s="13">
        <v>1</v>
      </c>
      <c r="W77" s="13" t="s">
        <v>113</v>
      </c>
      <c r="X77" s="13" t="s">
        <v>113</v>
      </c>
      <c r="Y77" s="13" t="s">
        <v>113</v>
      </c>
      <c r="Z77" s="14">
        <v>62</v>
      </c>
      <c r="AA77" s="13" t="s">
        <v>113</v>
      </c>
      <c r="AB77" s="13" t="s">
        <v>113</v>
      </c>
      <c r="AC77" s="14">
        <v>575</v>
      </c>
      <c r="AD77" s="13" t="s">
        <v>113</v>
      </c>
      <c r="AE77" s="13" t="s">
        <v>113</v>
      </c>
      <c r="AF77" s="13" t="s">
        <v>113</v>
      </c>
      <c r="AG77" s="13" t="s">
        <v>113</v>
      </c>
      <c r="AH77" s="13" t="s">
        <v>113</v>
      </c>
      <c r="AI77" s="13" t="s">
        <v>113</v>
      </c>
      <c r="AJ77" s="13" t="s">
        <v>113</v>
      </c>
      <c r="AK77" s="13" t="s">
        <v>113</v>
      </c>
      <c r="AL77" s="13" t="s">
        <v>113</v>
      </c>
      <c r="AM77" s="13"/>
      <c r="AN77" s="13" t="s">
        <v>113</v>
      </c>
      <c r="AO77" s="13" t="s">
        <v>114</v>
      </c>
      <c r="AP77" s="14">
        <v>419</v>
      </c>
      <c r="AQ77" s="14" t="s">
        <v>100</v>
      </c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</row>
    <row r="78" spans="1:61" s="6" customFormat="1" ht="16.5">
      <c r="A78" s="13">
        <v>494</v>
      </c>
      <c r="B78" s="13" t="s">
        <v>113</v>
      </c>
      <c r="C78" s="74" t="s">
        <v>71</v>
      </c>
      <c r="D78" s="86">
        <f>IFERROR(VLOOKUP(C78, $C$2:D77, 2, FALSE), MAX($D$2:D77)+1)</f>
        <v>4</v>
      </c>
      <c r="E78" s="14">
        <v>76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24</v>
      </c>
      <c r="L78" s="14">
        <v>0</v>
      </c>
      <c r="M78" s="14">
        <v>0</v>
      </c>
      <c r="N78" s="14">
        <v>0</v>
      </c>
      <c r="O78" s="14">
        <v>1</v>
      </c>
      <c r="P78" s="14">
        <v>1</v>
      </c>
      <c r="Q78" s="13" t="s">
        <v>113</v>
      </c>
      <c r="R78" s="13" t="s">
        <v>113</v>
      </c>
      <c r="S78" s="13" t="s">
        <v>113</v>
      </c>
      <c r="T78" s="13" t="s">
        <v>113</v>
      </c>
      <c r="U78" s="13" t="s">
        <v>113</v>
      </c>
      <c r="V78" s="14">
        <v>1</v>
      </c>
      <c r="W78" s="13" t="s">
        <v>113</v>
      </c>
      <c r="X78" s="13" t="s">
        <v>113</v>
      </c>
      <c r="Y78" s="13" t="s">
        <v>113</v>
      </c>
      <c r="Z78" s="14">
        <v>60</v>
      </c>
      <c r="AA78" s="13" t="s">
        <v>113</v>
      </c>
      <c r="AB78" s="13" t="s">
        <v>113</v>
      </c>
      <c r="AC78" s="14">
        <v>300</v>
      </c>
      <c r="AD78" s="13" t="s">
        <v>113</v>
      </c>
      <c r="AE78" s="13" t="s">
        <v>113</v>
      </c>
      <c r="AF78" s="13" t="s">
        <v>113</v>
      </c>
      <c r="AG78" s="13" t="s">
        <v>113</v>
      </c>
      <c r="AH78" s="13" t="s">
        <v>113</v>
      </c>
      <c r="AI78" s="13" t="s">
        <v>113</v>
      </c>
      <c r="AJ78" s="13" t="s">
        <v>113</v>
      </c>
      <c r="AK78" s="13" t="s">
        <v>113</v>
      </c>
      <c r="AL78" s="13" t="s">
        <v>113</v>
      </c>
      <c r="AM78" s="13"/>
      <c r="AN78" s="13" t="s">
        <v>113</v>
      </c>
      <c r="AO78" s="13" t="s">
        <v>114</v>
      </c>
      <c r="AP78" s="14">
        <v>494</v>
      </c>
      <c r="AQ78" s="14" t="s">
        <v>100</v>
      </c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</row>
    <row r="79" spans="1:61" s="6" customFormat="1" ht="16.5">
      <c r="A79" s="13">
        <v>422</v>
      </c>
      <c r="B79" s="13" t="s">
        <v>113</v>
      </c>
      <c r="C79" s="74" t="s">
        <v>71</v>
      </c>
      <c r="D79" s="86">
        <f>IFERROR(VLOOKUP(C79, $C$2:D78, 2, FALSE), MAX($D$2:D78)+1)</f>
        <v>4</v>
      </c>
      <c r="E79" s="14">
        <v>91.67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8.33</v>
      </c>
      <c r="L79" s="14">
        <v>0</v>
      </c>
      <c r="M79" s="14">
        <v>0</v>
      </c>
      <c r="N79" s="14">
        <v>0</v>
      </c>
      <c r="O79" s="14">
        <v>1</v>
      </c>
      <c r="P79" s="14">
        <v>1</v>
      </c>
      <c r="Q79" s="13" t="s">
        <v>113</v>
      </c>
      <c r="R79" s="13" t="s">
        <v>113</v>
      </c>
      <c r="S79" s="13" t="s">
        <v>113</v>
      </c>
      <c r="T79" s="13" t="s">
        <v>113</v>
      </c>
      <c r="U79" s="13" t="s">
        <v>113</v>
      </c>
      <c r="V79" s="14">
        <v>4</v>
      </c>
      <c r="W79" s="13" t="s">
        <v>113</v>
      </c>
      <c r="X79" s="13" t="s">
        <v>113</v>
      </c>
      <c r="Y79" s="13" t="s">
        <v>113</v>
      </c>
      <c r="Z79" s="14">
        <v>96</v>
      </c>
      <c r="AA79" s="13" t="s">
        <v>113</v>
      </c>
      <c r="AB79" s="13" t="s">
        <v>113</v>
      </c>
      <c r="AC79" s="14">
        <v>558</v>
      </c>
      <c r="AD79" s="13" t="s">
        <v>113</v>
      </c>
      <c r="AE79" s="13" t="s">
        <v>113</v>
      </c>
      <c r="AF79" s="13" t="s">
        <v>113</v>
      </c>
      <c r="AG79" s="13" t="s">
        <v>113</v>
      </c>
      <c r="AH79" s="13" t="s">
        <v>113</v>
      </c>
      <c r="AI79" s="13" t="s">
        <v>113</v>
      </c>
      <c r="AJ79" s="13" t="s">
        <v>113</v>
      </c>
      <c r="AK79" s="13" t="s">
        <v>113</v>
      </c>
      <c r="AL79" s="13" t="s">
        <v>113</v>
      </c>
      <c r="AM79" s="13"/>
      <c r="AN79" s="13" t="s">
        <v>113</v>
      </c>
      <c r="AO79" s="13" t="s">
        <v>114</v>
      </c>
      <c r="AP79" s="14">
        <v>422</v>
      </c>
      <c r="AQ79" s="14" t="s">
        <v>100</v>
      </c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</row>
    <row r="80" spans="1:61" s="6" customFormat="1" ht="16.5">
      <c r="A80" s="13">
        <v>423</v>
      </c>
      <c r="B80" s="13" t="s">
        <v>113</v>
      </c>
      <c r="C80" s="74" t="s">
        <v>71</v>
      </c>
      <c r="D80" s="86">
        <f>IFERROR(VLOOKUP(C80, $C$2:D79, 2, FALSE), MAX($D$2:D79)+1)</f>
        <v>4</v>
      </c>
      <c r="E80" s="14">
        <v>91.67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8.33</v>
      </c>
      <c r="L80" s="14">
        <v>0</v>
      </c>
      <c r="M80" s="14">
        <v>0</v>
      </c>
      <c r="N80" s="14">
        <v>0</v>
      </c>
      <c r="O80" s="14">
        <v>1</v>
      </c>
      <c r="P80" s="14">
        <v>1</v>
      </c>
      <c r="Q80" s="13" t="s">
        <v>113</v>
      </c>
      <c r="R80" s="13" t="s">
        <v>113</v>
      </c>
      <c r="S80" s="13" t="s">
        <v>113</v>
      </c>
      <c r="T80" s="13" t="s">
        <v>113</v>
      </c>
      <c r="U80" s="13" t="s">
        <v>113</v>
      </c>
      <c r="V80" s="14">
        <v>4</v>
      </c>
      <c r="W80" s="13" t="s">
        <v>113</v>
      </c>
      <c r="X80" s="13" t="s">
        <v>113</v>
      </c>
      <c r="Y80" s="13" t="s">
        <v>113</v>
      </c>
      <c r="Z80" s="14">
        <v>103</v>
      </c>
      <c r="AA80" s="13" t="s">
        <v>113</v>
      </c>
      <c r="AB80" s="13" t="s">
        <v>113</v>
      </c>
      <c r="AC80" s="14">
        <v>744</v>
      </c>
      <c r="AD80" s="13" t="s">
        <v>113</v>
      </c>
      <c r="AE80" s="13" t="s">
        <v>113</v>
      </c>
      <c r="AF80" s="13" t="s">
        <v>113</v>
      </c>
      <c r="AG80" s="13" t="s">
        <v>113</v>
      </c>
      <c r="AH80" s="13" t="s">
        <v>113</v>
      </c>
      <c r="AI80" s="13" t="s">
        <v>113</v>
      </c>
      <c r="AJ80" s="13" t="s">
        <v>113</v>
      </c>
      <c r="AK80" s="13" t="s">
        <v>113</v>
      </c>
      <c r="AL80" s="13" t="s">
        <v>113</v>
      </c>
      <c r="AM80" s="13"/>
      <c r="AN80" s="13" t="s">
        <v>113</v>
      </c>
      <c r="AO80" s="13" t="s">
        <v>114</v>
      </c>
      <c r="AP80" s="14">
        <v>423</v>
      </c>
      <c r="AQ80" s="14" t="s">
        <v>100</v>
      </c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</row>
    <row r="81" spans="1:61" s="6" customFormat="1" ht="16.5">
      <c r="A81" s="13">
        <v>424</v>
      </c>
      <c r="B81" s="13" t="s">
        <v>113</v>
      </c>
      <c r="C81" s="74" t="s">
        <v>71</v>
      </c>
      <c r="D81" s="86">
        <f>IFERROR(VLOOKUP(C81, $C$2:D80, 2, FALSE), MAX($D$2:D80)+1)</f>
        <v>4</v>
      </c>
      <c r="E81" s="14">
        <v>91.67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8.33</v>
      </c>
      <c r="L81" s="14">
        <v>0</v>
      </c>
      <c r="M81" s="14">
        <v>0</v>
      </c>
      <c r="N81" s="14">
        <v>0</v>
      </c>
      <c r="O81" s="14">
        <v>1</v>
      </c>
      <c r="P81" s="14">
        <v>1</v>
      </c>
      <c r="Q81" s="13" t="s">
        <v>113</v>
      </c>
      <c r="R81" s="13" t="s">
        <v>113</v>
      </c>
      <c r="S81" s="13" t="s">
        <v>113</v>
      </c>
      <c r="T81" s="13" t="s">
        <v>113</v>
      </c>
      <c r="U81" s="13" t="s">
        <v>113</v>
      </c>
      <c r="V81" s="14">
        <v>4</v>
      </c>
      <c r="W81" s="13" t="s">
        <v>113</v>
      </c>
      <c r="X81" s="13" t="s">
        <v>113</v>
      </c>
      <c r="Y81" s="13" t="s">
        <v>113</v>
      </c>
      <c r="Z81" s="14">
        <v>102</v>
      </c>
      <c r="AA81" s="13" t="s">
        <v>113</v>
      </c>
      <c r="AB81" s="13" t="s">
        <v>113</v>
      </c>
      <c r="AC81" s="14">
        <v>962</v>
      </c>
      <c r="AD81" s="13" t="s">
        <v>113</v>
      </c>
      <c r="AE81" s="13" t="s">
        <v>113</v>
      </c>
      <c r="AF81" s="13" t="s">
        <v>113</v>
      </c>
      <c r="AG81" s="13" t="s">
        <v>113</v>
      </c>
      <c r="AH81" s="13" t="s">
        <v>113</v>
      </c>
      <c r="AI81" s="13" t="s">
        <v>113</v>
      </c>
      <c r="AJ81" s="13" t="s">
        <v>113</v>
      </c>
      <c r="AK81" s="13" t="s">
        <v>113</v>
      </c>
      <c r="AL81" s="13" t="s">
        <v>113</v>
      </c>
      <c r="AM81" s="13"/>
      <c r="AN81" s="13" t="s">
        <v>113</v>
      </c>
      <c r="AO81" s="13" t="s">
        <v>114</v>
      </c>
      <c r="AP81" s="14">
        <v>424</v>
      </c>
      <c r="AQ81" s="14" t="s">
        <v>100</v>
      </c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</row>
    <row r="82" spans="1:61" s="6" customFormat="1" ht="16.5">
      <c r="A82" s="13">
        <v>425</v>
      </c>
      <c r="B82" s="13" t="s">
        <v>113</v>
      </c>
      <c r="C82" s="74" t="s">
        <v>71</v>
      </c>
      <c r="D82" s="86">
        <f>IFERROR(VLOOKUP(C82, $C$2:D81, 2, FALSE), MAX($D$2:D81)+1)</f>
        <v>4</v>
      </c>
      <c r="E82" s="14">
        <v>90.149999999999991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9.85</v>
      </c>
      <c r="L82" s="14">
        <v>0</v>
      </c>
      <c r="M82" s="14">
        <v>0</v>
      </c>
      <c r="N82" s="14">
        <v>0</v>
      </c>
      <c r="O82" s="14">
        <v>1</v>
      </c>
      <c r="P82" s="14">
        <v>1</v>
      </c>
      <c r="Q82" s="13" t="s">
        <v>113</v>
      </c>
      <c r="R82" s="13" t="s">
        <v>113</v>
      </c>
      <c r="S82" s="13" t="s">
        <v>113</v>
      </c>
      <c r="T82" s="13" t="s">
        <v>113</v>
      </c>
      <c r="U82" s="13" t="s">
        <v>113</v>
      </c>
      <c r="V82" s="14">
        <v>4</v>
      </c>
      <c r="W82" s="13" t="s">
        <v>113</v>
      </c>
      <c r="X82" s="13" t="s">
        <v>113</v>
      </c>
      <c r="Y82" s="13" t="s">
        <v>113</v>
      </c>
      <c r="Z82" s="14">
        <v>89</v>
      </c>
      <c r="AA82" s="13" t="s">
        <v>113</v>
      </c>
      <c r="AB82" s="13" t="s">
        <v>113</v>
      </c>
      <c r="AC82" s="14">
        <v>628</v>
      </c>
      <c r="AD82" s="13" t="s">
        <v>113</v>
      </c>
      <c r="AE82" s="13" t="s">
        <v>113</v>
      </c>
      <c r="AF82" s="13" t="s">
        <v>113</v>
      </c>
      <c r="AG82" s="13" t="s">
        <v>113</v>
      </c>
      <c r="AH82" s="13" t="s">
        <v>113</v>
      </c>
      <c r="AI82" s="13" t="s">
        <v>113</v>
      </c>
      <c r="AJ82" s="13" t="s">
        <v>113</v>
      </c>
      <c r="AK82" s="13" t="s">
        <v>113</v>
      </c>
      <c r="AL82" s="13" t="s">
        <v>113</v>
      </c>
      <c r="AM82" s="13"/>
      <c r="AN82" s="13" t="s">
        <v>113</v>
      </c>
      <c r="AO82" s="13" t="s">
        <v>114</v>
      </c>
      <c r="AP82" s="14">
        <v>425</v>
      </c>
      <c r="AQ82" s="14" t="s">
        <v>100</v>
      </c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</row>
    <row r="83" spans="1:61" s="6" customFormat="1" ht="16.5">
      <c r="A83" s="13">
        <v>426</v>
      </c>
      <c r="B83" s="13" t="s">
        <v>113</v>
      </c>
      <c r="C83" s="74" t="s">
        <v>71</v>
      </c>
      <c r="D83" s="86">
        <f>IFERROR(VLOOKUP(C83, $C$2:D82, 2, FALSE), MAX($D$2:D82)+1)</f>
        <v>4</v>
      </c>
      <c r="E83" s="14">
        <v>90.149999999999991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9.85</v>
      </c>
      <c r="L83" s="14">
        <v>0</v>
      </c>
      <c r="M83" s="14">
        <v>0</v>
      </c>
      <c r="N83" s="14">
        <v>0</v>
      </c>
      <c r="O83" s="14">
        <v>1</v>
      </c>
      <c r="P83" s="14">
        <v>1</v>
      </c>
      <c r="Q83" s="13" t="s">
        <v>113</v>
      </c>
      <c r="R83" s="13" t="s">
        <v>113</v>
      </c>
      <c r="S83" s="13" t="s">
        <v>113</v>
      </c>
      <c r="T83" s="13" t="s">
        <v>113</v>
      </c>
      <c r="U83" s="13" t="s">
        <v>113</v>
      </c>
      <c r="V83" s="14">
        <v>4</v>
      </c>
      <c r="W83" s="13" t="s">
        <v>113</v>
      </c>
      <c r="X83" s="13" t="s">
        <v>113</v>
      </c>
      <c r="Y83" s="13" t="s">
        <v>113</v>
      </c>
      <c r="Z83" s="14">
        <v>91</v>
      </c>
      <c r="AA83" s="13" t="s">
        <v>113</v>
      </c>
      <c r="AB83" s="13" t="s">
        <v>113</v>
      </c>
      <c r="AC83" s="14">
        <v>822</v>
      </c>
      <c r="AD83" s="13" t="s">
        <v>113</v>
      </c>
      <c r="AE83" s="13" t="s">
        <v>113</v>
      </c>
      <c r="AF83" s="13" t="s">
        <v>113</v>
      </c>
      <c r="AG83" s="13" t="s">
        <v>113</v>
      </c>
      <c r="AH83" s="13" t="s">
        <v>113</v>
      </c>
      <c r="AI83" s="13" t="s">
        <v>113</v>
      </c>
      <c r="AJ83" s="13" t="s">
        <v>113</v>
      </c>
      <c r="AK83" s="13" t="s">
        <v>113</v>
      </c>
      <c r="AL83" s="13" t="s">
        <v>113</v>
      </c>
      <c r="AM83" s="13"/>
      <c r="AN83" s="13" t="s">
        <v>113</v>
      </c>
      <c r="AO83" s="13" t="s">
        <v>114</v>
      </c>
      <c r="AP83" s="14">
        <v>426</v>
      </c>
      <c r="AQ83" s="14" t="s">
        <v>100</v>
      </c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</row>
    <row r="84" spans="1:61" s="6" customFormat="1" ht="16.5">
      <c r="A84" s="13">
        <v>427</v>
      </c>
      <c r="B84" s="13" t="s">
        <v>113</v>
      </c>
      <c r="C84" s="74" t="s">
        <v>71</v>
      </c>
      <c r="D84" s="86">
        <f>IFERROR(VLOOKUP(C84, $C$2:D83, 2, FALSE), MAX($D$2:D83)+1)</f>
        <v>4</v>
      </c>
      <c r="E84" s="14">
        <v>90.149999999999991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9.85</v>
      </c>
      <c r="L84" s="14">
        <v>0</v>
      </c>
      <c r="M84" s="14">
        <v>0</v>
      </c>
      <c r="N84" s="14">
        <v>0</v>
      </c>
      <c r="O84" s="14">
        <v>1</v>
      </c>
      <c r="P84" s="14">
        <v>1</v>
      </c>
      <c r="Q84" s="13" t="s">
        <v>113</v>
      </c>
      <c r="R84" s="13" t="s">
        <v>113</v>
      </c>
      <c r="S84" s="13" t="s">
        <v>113</v>
      </c>
      <c r="T84" s="13" t="s">
        <v>113</v>
      </c>
      <c r="U84" s="13" t="s">
        <v>113</v>
      </c>
      <c r="V84" s="14">
        <v>4</v>
      </c>
      <c r="W84" s="13" t="s">
        <v>113</v>
      </c>
      <c r="X84" s="13" t="s">
        <v>113</v>
      </c>
      <c r="Y84" s="13" t="s">
        <v>113</v>
      </c>
      <c r="Z84" s="14">
        <v>92</v>
      </c>
      <c r="AA84" s="13" t="s">
        <v>113</v>
      </c>
      <c r="AB84" s="13" t="s">
        <v>113</v>
      </c>
      <c r="AC84" s="14">
        <v>893</v>
      </c>
      <c r="AD84" s="13" t="s">
        <v>113</v>
      </c>
      <c r="AE84" s="13" t="s">
        <v>113</v>
      </c>
      <c r="AF84" s="13" t="s">
        <v>113</v>
      </c>
      <c r="AG84" s="13" t="s">
        <v>113</v>
      </c>
      <c r="AH84" s="13" t="s">
        <v>113</v>
      </c>
      <c r="AI84" s="13" t="s">
        <v>113</v>
      </c>
      <c r="AJ84" s="13" t="s">
        <v>113</v>
      </c>
      <c r="AK84" s="13" t="s">
        <v>113</v>
      </c>
      <c r="AL84" s="13" t="s">
        <v>113</v>
      </c>
      <c r="AM84" s="13"/>
      <c r="AN84" s="13" t="s">
        <v>113</v>
      </c>
      <c r="AO84" s="13" t="s">
        <v>114</v>
      </c>
      <c r="AP84" s="14">
        <v>427</v>
      </c>
      <c r="AQ84" s="14" t="s">
        <v>100</v>
      </c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</row>
    <row r="85" spans="1:61" s="6" customFormat="1" ht="16.5">
      <c r="A85" s="13">
        <v>428</v>
      </c>
      <c r="B85" s="13" t="s">
        <v>113</v>
      </c>
      <c r="C85" s="74" t="s">
        <v>71</v>
      </c>
      <c r="D85" s="86">
        <f>IFERROR(VLOOKUP(C85, $C$2:D84, 2, FALSE), MAX($D$2:D84)+1)</f>
        <v>4</v>
      </c>
      <c r="E85" s="14">
        <v>88.59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11.41</v>
      </c>
      <c r="L85" s="14">
        <v>0</v>
      </c>
      <c r="M85" s="14">
        <v>0</v>
      </c>
      <c r="N85" s="14">
        <v>0</v>
      </c>
      <c r="O85" s="14">
        <v>1</v>
      </c>
      <c r="P85" s="14">
        <v>1</v>
      </c>
      <c r="Q85" s="13" t="s">
        <v>113</v>
      </c>
      <c r="R85" s="13" t="s">
        <v>113</v>
      </c>
      <c r="S85" s="13" t="s">
        <v>113</v>
      </c>
      <c r="T85" s="13" t="s">
        <v>113</v>
      </c>
      <c r="U85" s="13" t="s">
        <v>113</v>
      </c>
      <c r="V85" s="14">
        <v>4</v>
      </c>
      <c r="W85" s="13" t="s">
        <v>113</v>
      </c>
      <c r="X85" s="13" t="s">
        <v>113</v>
      </c>
      <c r="Y85" s="13" t="s">
        <v>113</v>
      </c>
      <c r="Z85" s="14">
        <v>89</v>
      </c>
      <c r="AA85" s="13" t="s">
        <v>113</v>
      </c>
      <c r="AB85" s="13" t="s">
        <v>113</v>
      </c>
      <c r="AC85" s="14">
        <v>655</v>
      </c>
      <c r="AD85" s="13" t="s">
        <v>113</v>
      </c>
      <c r="AE85" s="13" t="s">
        <v>113</v>
      </c>
      <c r="AF85" s="13" t="s">
        <v>113</v>
      </c>
      <c r="AG85" s="13" t="s">
        <v>113</v>
      </c>
      <c r="AH85" s="13" t="s">
        <v>113</v>
      </c>
      <c r="AI85" s="13" t="s">
        <v>113</v>
      </c>
      <c r="AJ85" s="13" t="s">
        <v>113</v>
      </c>
      <c r="AK85" s="13" t="s">
        <v>113</v>
      </c>
      <c r="AL85" s="13" t="s">
        <v>113</v>
      </c>
      <c r="AM85" s="13"/>
      <c r="AN85" s="13" t="s">
        <v>113</v>
      </c>
      <c r="AO85" s="13" t="s">
        <v>114</v>
      </c>
      <c r="AP85" s="14">
        <v>428</v>
      </c>
      <c r="AQ85" s="14" t="s">
        <v>100</v>
      </c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</row>
    <row r="86" spans="1:61" s="6" customFormat="1" ht="16.5">
      <c r="A86" s="13">
        <v>429</v>
      </c>
      <c r="B86" s="13" t="s">
        <v>113</v>
      </c>
      <c r="C86" s="74" t="s">
        <v>71</v>
      </c>
      <c r="D86" s="86">
        <f>IFERROR(VLOOKUP(C86, $C$2:D85, 2, FALSE), MAX($D$2:D85)+1)</f>
        <v>4</v>
      </c>
      <c r="E86" s="14">
        <v>88.59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11.41</v>
      </c>
      <c r="L86" s="14">
        <v>0</v>
      </c>
      <c r="M86" s="14">
        <v>0</v>
      </c>
      <c r="N86" s="14">
        <v>0</v>
      </c>
      <c r="O86" s="14">
        <v>1</v>
      </c>
      <c r="P86" s="14">
        <v>1</v>
      </c>
      <c r="Q86" s="13" t="s">
        <v>113</v>
      </c>
      <c r="R86" s="13" t="s">
        <v>113</v>
      </c>
      <c r="S86" s="13" t="s">
        <v>113</v>
      </c>
      <c r="T86" s="13" t="s">
        <v>113</v>
      </c>
      <c r="U86" s="13" t="s">
        <v>113</v>
      </c>
      <c r="V86" s="14">
        <v>4</v>
      </c>
      <c r="W86" s="13" t="s">
        <v>113</v>
      </c>
      <c r="X86" s="13" t="s">
        <v>113</v>
      </c>
      <c r="Y86" s="13" t="s">
        <v>113</v>
      </c>
      <c r="Z86" s="14">
        <v>87</v>
      </c>
      <c r="AA86" s="13" t="s">
        <v>113</v>
      </c>
      <c r="AB86" s="13" t="s">
        <v>113</v>
      </c>
      <c r="AC86" s="14">
        <v>818</v>
      </c>
      <c r="AD86" s="13" t="s">
        <v>113</v>
      </c>
      <c r="AE86" s="13" t="s">
        <v>113</v>
      </c>
      <c r="AF86" s="13" t="s">
        <v>113</v>
      </c>
      <c r="AG86" s="13" t="s">
        <v>113</v>
      </c>
      <c r="AH86" s="13" t="s">
        <v>113</v>
      </c>
      <c r="AI86" s="13" t="s">
        <v>113</v>
      </c>
      <c r="AJ86" s="13" t="s">
        <v>113</v>
      </c>
      <c r="AK86" s="13" t="s">
        <v>113</v>
      </c>
      <c r="AL86" s="13" t="s">
        <v>113</v>
      </c>
      <c r="AM86" s="13"/>
      <c r="AN86" s="13" t="s">
        <v>113</v>
      </c>
      <c r="AO86" s="13" t="s">
        <v>114</v>
      </c>
      <c r="AP86" s="14">
        <v>429</v>
      </c>
      <c r="AQ86" s="14" t="s">
        <v>100</v>
      </c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</row>
    <row r="87" spans="1:61" s="6" customFormat="1" ht="16.5">
      <c r="A87" s="13">
        <v>430</v>
      </c>
      <c r="B87" s="13" t="s">
        <v>113</v>
      </c>
      <c r="C87" s="74" t="s">
        <v>71</v>
      </c>
      <c r="D87" s="86">
        <f>IFERROR(VLOOKUP(C87, $C$2:D86, 2, FALSE), MAX($D$2:D86)+1)</f>
        <v>4</v>
      </c>
      <c r="E87" s="14">
        <v>88.59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11.41</v>
      </c>
      <c r="L87" s="14">
        <v>0</v>
      </c>
      <c r="M87" s="14">
        <v>0</v>
      </c>
      <c r="N87" s="14">
        <v>0</v>
      </c>
      <c r="O87" s="14">
        <v>1</v>
      </c>
      <c r="P87" s="14">
        <v>1</v>
      </c>
      <c r="Q87" s="13" t="s">
        <v>113</v>
      </c>
      <c r="R87" s="13" t="s">
        <v>113</v>
      </c>
      <c r="S87" s="13" t="s">
        <v>113</v>
      </c>
      <c r="T87" s="13" t="s">
        <v>113</v>
      </c>
      <c r="U87" s="13" t="s">
        <v>113</v>
      </c>
      <c r="V87" s="14">
        <v>4</v>
      </c>
      <c r="W87" s="13" t="s">
        <v>113</v>
      </c>
      <c r="X87" s="13" t="s">
        <v>113</v>
      </c>
      <c r="Y87" s="13" t="s">
        <v>113</v>
      </c>
      <c r="Z87" s="14">
        <v>94</v>
      </c>
      <c r="AA87" s="13" t="s">
        <v>113</v>
      </c>
      <c r="AB87" s="13" t="s">
        <v>113</v>
      </c>
      <c r="AC87" s="14">
        <v>906</v>
      </c>
      <c r="AD87" s="13" t="s">
        <v>113</v>
      </c>
      <c r="AE87" s="13" t="s">
        <v>113</v>
      </c>
      <c r="AF87" s="13" t="s">
        <v>113</v>
      </c>
      <c r="AG87" s="13" t="s">
        <v>113</v>
      </c>
      <c r="AH87" s="13" t="s">
        <v>113</v>
      </c>
      <c r="AI87" s="13" t="s">
        <v>113</v>
      </c>
      <c r="AJ87" s="13" t="s">
        <v>113</v>
      </c>
      <c r="AK87" s="13" t="s">
        <v>113</v>
      </c>
      <c r="AL87" s="13" t="s">
        <v>113</v>
      </c>
      <c r="AM87" s="13"/>
      <c r="AN87" s="13" t="s">
        <v>113</v>
      </c>
      <c r="AO87" s="13" t="s">
        <v>114</v>
      </c>
      <c r="AP87" s="14">
        <v>430</v>
      </c>
      <c r="AQ87" s="14" t="s">
        <v>100</v>
      </c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</row>
    <row r="88" spans="1:61" s="6" customFormat="1" ht="16.5">
      <c r="A88" s="13">
        <v>431</v>
      </c>
      <c r="B88" s="13" t="s">
        <v>113</v>
      </c>
      <c r="C88" s="74" t="s">
        <v>71</v>
      </c>
      <c r="D88" s="86">
        <f>IFERROR(VLOOKUP(C88, $C$2:D87, 2, FALSE), MAX($D$2:D87)+1)</f>
        <v>4</v>
      </c>
      <c r="E88" s="14">
        <v>86.99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13.01</v>
      </c>
      <c r="L88" s="14">
        <v>0</v>
      </c>
      <c r="M88" s="14">
        <v>0</v>
      </c>
      <c r="N88" s="14">
        <v>0</v>
      </c>
      <c r="O88" s="14">
        <v>1</v>
      </c>
      <c r="P88" s="14">
        <v>1</v>
      </c>
      <c r="Q88" s="13" t="s">
        <v>113</v>
      </c>
      <c r="R88" s="13" t="s">
        <v>113</v>
      </c>
      <c r="S88" s="13" t="s">
        <v>113</v>
      </c>
      <c r="T88" s="13" t="s">
        <v>113</v>
      </c>
      <c r="U88" s="13" t="s">
        <v>113</v>
      </c>
      <c r="V88" s="14">
        <v>4</v>
      </c>
      <c r="W88" s="13" t="s">
        <v>113</v>
      </c>
      <c r="X88" s="13" t="s">
        <v>113</v>
      </c>
      <c r="Y88" s="13" t="s">
        <v>113</v>
      </c>
      <c r="Z88" s="14">
        <v>89</v>
      </c>
      <c r="AA88" s="13" t="s">
        <v>113</v>
      </c>
      <c r="AB88" s="13" t="s">
        <v>113</v>
      </c>
      <c r="AC88" s="14">
        <v>734</v>
      </c>
      <c r="AD88" s="13" t="s">
        <v>113</v>
      </c>
      <c r="AE88" s="13" t="s">
        <v>113</v>
      </c>
      <c r="AF88" s="13" t="s">
        <v>113</v>
      </c>
      <c r="AG88" s="13" t="s">
        <v>113</v>
      </c>
      <c r="AH88" s="13" t="s">
        <v>113</v>
      </c>
      <c r="AI88" s="13" t="s">
        <v>113</v>
      </c>
      <c r="AJ88" s="13" t="s">
        <v>113</v>
      </c>
      <c r="AK88" s="13" t="s">
        <v>113</v>
      </c>
      <c r="AL88" s="13" t="s">
        <v>113</v>
      </c>
      <c r="AM88" s="13"/>
      <c r="AN88" s="13" t="s">
        <v>113</v>
      </c>
      <c r="AO88" s="13" t="s">
        <v>114</v>
      </c>
      <c r="AP88" s="14">
        <v>431</v>
      </c>
      <c r="AQ88" s="14" t="s">
        <v>100</v>
      </c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</row>
    <row r="89" spans="1:61" s="6" customFormat="1" ht="16.5">
      <c r="A89" s="13">
        <v>432</v>
      </c>
      <c r="B89" s="13" t="s">
        <v>113</v>
      </c>
      <c r="C89" s="74" t="s">
        <v>71</v>
      </c>
      <c r="D89" s="86">
        <f>IFERROR(VLOOKUP(C89, $C$2:D88, 2, FALSE), MAX($D$2:D88)+1)</f>
        <v>4</v>
      </c>
      <c r="E89" s="14">
        <v>86.99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13.01</v>
      </c>
      <c r="L89" s="14">
        <v>0</v>
      </c>
      <c r="M89" s="14">
        <v>0</v>
      </c>
      <c r="N89" s="14">
        <v>0</v>
      </c>
      <c r="O89" s="14">
        <v>1</v>
      </c>
      <c r="P89" s="14">
        <v>1</v>
      </c>
      <c r="Q89" s="13" t="s">
        <v>113</v>
      </c>
      <c r="R89" s="13" t="s">
        <v>113</v>
      </c>
      <c r="S89" s="13" t="s">
        <v>113</v>
      </c>
      <c r="T89" s="13" t="s">
        <v>113</v>
      </c>
      <c r="U89" s="13" t="s">
        <v>113</v>
      </c>
      <c r="V89" s="14">
        <v>4</v>
      </c>
      <c r="W89" s="13" t="s">
        <v>113</v>
      </c>
      <c r="X89" s="13" t="s">
        <v>113</v>
      </c>
      <c r="Y89" s="13" t="s">
        <v>113</v>
      </c>
      <c r="Z89" s="14">
        <v>99</v>
      </c>
      <c r="AA89" s="13" t="s">
        <v>113</v>
      </c>
      <c r="AB89" s="13" t="s">
        <v>113</v>
      </c>
      <c r="AC89" s="14">
        <v>854</v>
      </c>
      <c r="AD89" s="13" t="s">
        <v>113</v>
      </c>
      <c r="AE89" s="13" t="s">
        <v>113</v>
      </c>
      <c r="AF89" s="13" t="s">
        <v>113</v>
      </c>
      <c r="AG89" s="13" t="s">
        <v>113</v>
      </c>
      <c r="AH89" s="13" t="s">
        <v>113</v>
      </c>
      <c r="AI89" s="13" t="s">
        <v>113</v>
      </c>
      <c r="AJ89" s="13" t="s">
        <v>113</v>
      </c>
      <c r="AK89" s="13" t="s">
        <v>113</v>
      </c>
      <c r="AL89" s="13" t="s">
        <v>113</v>
      </c>
      <c r="AM89" s="13"/>
      <c r="AN89" s="13" t="s">
        <v>113</v>
      </c>
      <c r="AO89" s="13" t="s">
        <v>114</v>
      </c>
      <c r="AP89" s="14">
        <v>432</v>
      </c>
      <c r="AQ89" s="14" t="s">
        <v>100</v>
      </c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</row>
    <row r="90" spans="1:61" s="6" customFormat="1" ht="16.5">
      <c r="A90" s="13">
        <v>433</v>
      </c>
      <c r="B90" s="13" t="s">
        <v>113</v>
      </c>
      <c r="C90" s="74" t="s">
        <v>71</v>
      </c>
      <c r="D90" s="86">
        <f>IFERROR(VLOOKUP(C90, $C$2:D89, 2, FALSE), MAX($D$2:D89)+1)</f>
        <v>4</v>
      </c>
      <c r="E90" s="14">
        <v>86.99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13.01</v>
      </c>
      <c r="L90" s="14">
        <v>0</v>
      </c>
      <c r="M90" s="14">
        <v>0</v>
      </c>
      <c r="N90" s="14">
        <v>0</v>
      </c>
      <c r="O90" s="14">
        <v>1</v>
      </c>
      <c r="P90" s="14">
        <v>1</v>
      </c>
      <c r="Q90" s="13" t="s">
        <v>113</v>
      </c>
      <c r="R90" s="13" t="s">
        <v>113</v>
      </c>
      <c r="S90" s="13" t="s">
        <v>113</v>
      </c>
      <c r="T90" s="13" t="s">
        <v>113</v>
      </c>
      <c r="U90" s="13" t="s">
        <v>113</v>
      </c>
      <c r="V90" s="14">
        <v>4</v>
      </c>
      <c r="W90" s="13" t="s">
        <v>113</v>
      </c>
      <c r="X90" s="13" t="s">
        <v>113</v>
      </c>
      <c r="Y90" s="13" t="s">
        <v>113</v>
      </c>
      <c r="Z90" s="14">
        <v>100</v>
      </c>
      <c r="AA90" s="13" t="s">
        <v>113</v>
      </c>
      <c r="AB90" s="13" t="s">
        <v>113</v>
      </c>
      <c r="AC90" s="14">
        <v>930</v>
      </c>
      <c r="AD90" s="13" t="s">
        <v>113</v>
      </c>
      <c r="AE90" s="13" t="s">
        <v>113</v>
      </c>
      <c r="AF90" s="13" t="s">
        <v>113</v>
      </c>
      <c r="AG90" s="13" t="s">
        <v>113</v>
      </c>
      <c r="AH90" s="13" t="s">
        <v>113</v>
      </c>
      <c r="AI90" s="13" t="s">
        <v>113</v>
      </c>
      <c r="AJ90" s="13" t="s">
        <v>113</v>
      </c>
      <c r="AK90" s="13" t="s">
        <v>113</v>
      </c>
      <c r="AL90" s="13" t="s">
        <v>113</v>
      </c>
      <c r="AM90" s="13"/>
      <c r="AN90" s="13" t="s">
        <v>113</v>
      </c>
      <c r="AO90" s="13" t="s">
        <v>114</v>
      </c>
      <c r="AP90" s="14">
        <v>433</v>
      </c>
      <c r="AQ90" s="14" t="s">
        <v>100</v>
      </c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</row>
    <row r="91" spans="1:61" s="6" customFormat="1" ht="16.5">
      <c r="A91" s="13">
        <v>454</v>
      </c>
      <c r="B91" s="13" t="s">
        <v>113</v>
      </c>
      <c r="C91" s="74" t="s">
        <v>71</v>
      </c>
      <c r="D91" s="86">
        <f>IFERROR(VLOOKUP(C91, $C$2:D90, 2, FALSE), MAX($D$2:D90)+1)</f>
        <v>4</v>
      </c>
      <c r="E91" s="14">
        <v>78.28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21.72</v>
      </c>
      <c r="L91" s="14">
        <v>0</v>
      </c>
      <c r="M91" s="14">
        <v>0</v>
      </c>
      <c r="N91" s="14">
        <v>0</v>
      </c>
      <c r="O91" s="14">
        <v>1</v>
      </c>
      <c r="P91" s="14">
        <v>1</v>
      </c>
      <c r="Q91" s="13" t="s">
        <v>113</v>
      </c>
      <c r="R91" s="13" t="s">
        <v>113</v>
      </c>
      <c r="S91" s="13" t="s">
        <v>113</v>
      </c>
      <c r="T91" s="13" t="s">
        <v>113</v>
      </c>
      <c r="U91" s="13" t="s">
        <v>113</v>
      </c>
      <c r="V91" s="13">
        <v>1</v>
      </c>
      <c r="W91" s="13" t="s">
        <v>113</v>
      </c>
      <c r="X91" s="13" t="s">
        <v>113</v>
      </c>
      <c r="Y91" s="13" t="s">
        <v>113</v>
      </c>
      <c r="Z91" s="14">
        <v>73.900000000000006</v>
      </c>
      <c r="AA91" s="13" t="s">
        <v>113</v>
      </c>
      <c r="AB91" s="13" t="s">
        <v>113</v>
      </c>
      <c r="AC91" s="14">
        <v>289</v>
      </c>
      <c r="AD91" s="13" t="s">
        <v>113</v>
      </c>
      <c r="AE91" s="13" t="s">
        <v>113</v>
      </c>
      <c r="AF91" s="13" t="s">
        <v>113</v>
      </c>
      <c r="AG91" s="13" t="s">
        <v>113</v>
      </c>
      <c r="AH91" s="13" t="s">
        <v>113</v>
      </c>
      <c r="AI91" s="13" t="s">
        <v>113</v>
      </c>
      <c r="AJ91" s="13" t="s">
        <v>113</v>
      </c>
      <c r="AK91" s="13" t="s">
        <v>113</v>
      </c>
      <c r="AL91" s="13" t="s">
        <v>113</v>
      </c>
      <c r="AM91" s="13"/>
      <c r="AN91" s="13" t="s">
        <v>113</v>
      </c>
      <c r="AO91" s="13" t="s">
        <v>114</v>
      </c>
      <c r="AP91" s="14">
        <v>454</v>
      </c>
      <c r="AQ91" s="14" t="s">
        <v>100</v>
      </c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</row>
    <row r="92" spans="1:61" s="6" customFormat="1" ht="16.5">
      <c r="A92" s="13">
        <v>473</v>
      </c>
      <c r="B92" s="13" t="s">
        <v>113</v>
      </c>
      <c r="C92" s="74" t="s">
        <v>71</v>
      </c>
      <c r="D92" s="86">
        <f>IFERROR(VLOOKUP(C92, $C$2:D91, 2, FALSE), MAX($D$2:D91)+1)</f>
        <v>4</v>
      </c>
      <c r="E92" s="14">
        <v>78.28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21.72</v>
      </c>
      <c r="L92" s="14">
        <v>0</v>
      </c>
      <c r="M92" s="14">
        <v>0</v>
      </c>
      <c r="N92" s="14">
        <v>0</v>
      </c>
      <c r="O92" s="14">
        <v>1</v>
      </c>
      <c r="P92" s="14">
        <v>1</v>
      </c>
      <c r="Q92" s="13" t="s">
        <v>113</v>
      </c>
      <c r="R92" s="13" t="s">
        <v>113</v>
      </c>
      <c r="S92" s="13" t="s">
        <v>113</v>
      </c>
      <c r="T92" s="13" t="s">
        <v>113</v>
      </c>
      <c r="U92" s="13" t="s">
        <v>113</v>
      </c>
      <c r="V92" s="14">
        <v>1</v>
      </c>
      <c r="W92" s="13" t="s">
        <v>113</v>
      </c>
      <c r="X92" s="13" t="s">
        <v>113</v>
      </c>
      <c r="Y92" s="13" t="s">
        <v>113</v>
      </c>
      <c r="Z92" s="14">
        <v>85</v>
      </c>
      <c r="AA92" s="13" t="s">
        <v>113</v>
      </c>
      <c r="AB92" s="13" t="s">
        <v>113</v>
      </c>
      <c r="AC92" s="14">
        <v>338</v>
      </c>
      <c r="AD92" s="13" t="s">
        <v>113</v>
      </c>
      <c r="AE92" s="13" t="s">
        <v>113</v>
      </c>
      <c r="AF92" s="13" t="s">
        <v>113</v>
      </c>
      <c r="AG92" s="13" t="s">
        <v>113</v>
      </c>
      <c r="AH92" s="13" t="s">
        <v>113</v>
      </c>
      <c r="AI92" s="13" t="s">
        <v>113</v>
      </c>
      <c r="AJ92" s="13" t="s">
        <v>113</v>
      </c>
      <c r="AK92" s="13" t="s">
        <v>113</v>
      </c>
      <c r="AL92" s="13" t="s">
        <v>113</v>
      </c>
      <c r="AM92" s="13"/>
      <c r="AN92" s="13" t="s">
        <v>113</v>
      </c>
      <c r="AO92" s="13" t="s">
        <v>114</v>
      </c>
      <c r="AP92" s="14">
        <v>473</v>
      </c>
      <c r="AQ92" s="14" t="s">
        <v>100</v>
      </c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</row>
    <row r="93" spans="1:61" s="6" customFormat="1" ht="16.5">
      <c r="A93" s="13">
        <v>480</v>
      </c>
      <c r="B93" s="13" t="s">
        <v>113</v>
      </c>
      <c r="C93" s="74" t="s">
        <v>71</v>
      </c>
      <c r="D93" s="86">
        <f>IFERROR(VLOOKUP(C93, $C$2:D92, 2, FALSE), MAX($D$2:D92)+1)</f>
        <v>4</v>
      </c>
      <c r="E93" s="14">
        <v>78.28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21.72</v>
      </c>
      <c r="L93" s="14">
        <v>0</v>
      </c>
      <c r="M93" s="14">
        <v>0</v>
      </c>
      <c r="N93" s="14">
        <v>0</v>
      </c>
      <c r="O93" s="14">
        <v>1</v>
      </c>
      <c r="P93" s="14">
        <v>1</v>
      </c>
      <c r="Q93" s="13" t="s">
        <v>113</v>
      </c>
      <c r="R93" s="13" t="s">
        <v>113</v>
      </c>
      <c r="S93" s="13" t="s">
        <v>113</v>
      </c>
      <c r="T93" s="13" t="s">
        <v>113</v>
      </c>
      <c r="U93" s="13" t="s">
        <v>113</v>
      </c>
      <c r="V93" s="14">
        <v>1</v>
      </c>
      <c r="W93" s="13" t="s">
        <v>113</v>
      </c>
      <c r="X93" s="13" t="s">
        <v>113</v>
      </c>
      <c r="Y93" s="13" t="s">
        <v>113</v>
      </c>
      <c r="Z93" s="14">
        <v>72</v>
      </c>
      <c r="AA93" s="13" t="s">
        <v>113</v>
      </c>
      <c r="AB93" s="13" t="s">
        <v>113</v>
      </c>
      <c r="AC93" s="14">
        <v>382</v>
      </c>
      <c r="AD93" s="13" t="s">
        <v>113</v>
      </c>
      <c r="AE93" s="13" t="s">
        <v>113</v>
      </c>
      <c r="AF93" s="13" t="s">
        <v>113</v>
      </c>
      <c r="AG93" s="13" t="s">
        <v>113</v>
      </c>
      <c r="AH93" s="13" t="s">
        <v>113</v>
      </c>
      <c r="AI93" s="13" t="s">
        <v>113</v>
      </c>
      <c r="AJ93" s="13" t="s">
        <v>113</v>
      </c>
      <c r="AK93" s="13" t="s">
        <v>113</v>
      </c>
      <c r="AL93" s="13" t="s">
        <v>113</v>
      </c>
      <c r="AM93" s="13"/>
      <c r="AN93" s="13" t="s">
        <v>113</v>
      </c>
      <c r="AO93" s="13" t="s">
        <v>232</v>
      </c>
      <c r="AP93" s="14">
        <v>480</v>
      </c>
      <c r="AQ93" s="14" t="s">
        <v>100</v>
      </c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</row>
    <row r="94" spans="1:61" s="6" customFormat="1" ht="16.5">
      <c r="A94" s="13">
        <v>465</v>
      </c>
      <c r="B94" s="13" t="s">
        <v>113</v>
      </c>
      <c r="C94" s="74" t="s">
        <v>71</v>
      </c>
      <c r="D94" s="86">
        <f>IFERROR(VLOOKUP(C94, $C$2:D93, 2, FALSE), MAX($D$2:D93)+1)</f>
        <v>4</v>
      </c>
      <c r="E94" s="14">
        <v>85.34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14.66</v>
      </c>
      <c r="L94" s="14">
        <v>0</v>
      </c>
      <c r="M94" s="14">
        <v>0</v>
      </c>
      <c r="N94" s="14">
        <v>0</v>
      </c>
      <c r="O94" s="14">
        <v>1</v>
      </c>
      <c r="P94" s="14">
        <v>1</v>
      </c>
      <c r="Q94" s="13" t="s">
        <v>113</v>
      </c>
      <c r="R94" s="13" t="s">
        <v>113</v>
      </c>
      <c r="S94" s="13" t="s">
        <v>113</v>
      </c>
      <c r="T94" s="13" t="s">
        <v>113</v>
      </c>
      <c r="U94" s="13" t="s">
        <v>113</v>
      </c>
      <c r="V94" s="14">
        <v>1</v>
      </c>
      <c r="W94" s="13" t="s">
        <v>113</v>
      </c>
      <c r="X94" s="13" t="s">
        <v>113</v>
      </c>
      <c r="Y94" s="13" t="s">
        <v>113</v>
      </c>
      <c r="Z94" s="14">
        <v>64</v>
      </c>
      <c r="AA94" s="13" t="s">
        <v>113</v>
      </c>
      <c r="AB94" s="13" t="s">
        <v>113</v>
      </c>
      <c r="AC94" s="14">
        <v>456</v>
      </c>
      <c r="AD94" s="13" t="s">
        <v>113</v>
      </c>
      <c r="AE94" s="13" t="s">
        <v>113</v>
      </c>
      <c r="AF94" s="13" t="s">
        <v>113</v>
      </c>
      <c r="AG94" s="13" t="s">
        <v>113</v>
      </c>
      <c r="AH94" s="13" t="s">
        <v>113</v>
      </c>
      <c r="AI94" s="13" t="s">
        <v>113</v>
      </c>
      <c r="AJ94" s="13" t="s">
        <v>113</v>
      </c>
      <c r="AK94" s="13" t="s">
        <v>113</v>
      </c>
      <c r="AL94" s="13" t="s">
        <v>113</v>
      </c>
      <c r="AM94" s="13"/>
      <c r="AN94" s="13" t="s">
        <v>113</v>
      </c>
      <c r="AO94" s="13" t="s">
        <v>114</v>
      </c>
      <c r="AP94" s="14">
        <v>465</v>
      </c>
      <c r="AQ94" s="14" t="s">
        <v>100</v>
      </c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</row>
    <row r="95" spans="1:61" s="6" customFormat="1" ht="16.5">
      <c r="A95" s="13">
        <v>469</v>
      </c>
      <c r="B95" s="13" t="s">
        <v>113</v>
      </c>
      <c r="C95" s="74" t="s">
        <v>71</v>
      </c>
      <c r="D95" s="86">
        <f>IFERROR(VLOOKUP(C95, $C$2:D94, 2, FALSE), MAX($D$2:D94)+1)</f>
        <v>4</v>
      </c>
      <c r="E95" s="14">
        <v>81.910000000000011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18.09</v>
      </c>
      <c r="L95" s="14">
        <v>0</v>
      </c>
      <c r="M95" s="14">
        <v>0</v>
      </c>
      <c r="N95" s="14">
        <v>0</v>
      </c>
      <c r="O95" s="14">
        <v>1</v>
      </c>
      <c r="P95" s="14">
        <v>1</v>
      </c>
      <c r="Q95" s="13" t="s">
        <v>113</v>
      </c>
      <c r="R95" s="13" t="s">
        <v>113</v>
      </c>
      <c r="S95" s="13" t="s">
        <v>113</v>
      </c>
      <c r="T95" s="13" t="s">
        <v>113</v>
      </c>
      <c r="U95" s="13" t="s">
        <v>113</v>
      </c>
      <c r="V95" s="14">
        <v>1</v>
      </c>
      <c r="W95" s="13" t="s">
        <v>113</v>
      </c>
      <c r="X95" s="13" t="s">
        <v>113</v>
      </c>
      <c r="Y95" s="13" t="s">
        <v>113</v>
      </c>
      <c r="Z95" s="14">
        <v>79</v>
      </c>
      <c r="AA95" s="13" t="s">
        <v>113</v>
      </c>
      <c r="AB95" s="13" t="s">
        <v>113</v>
      </c>
      <c r="AC95" s="14">
        <v>327</v>
      </c>
      <c r="AD95" s="13" t="s">
        <v>113</v>
      </c>
      <c r="AE95" s="13" t="s">
        <v>113</v>
      </c>
      <c r="AF95" s="13" t="s">
        <v>113</v>
      </c>
      <c r="AG95" s="13" t="s">
        <v>113</v>
      </c>
      <c r="AH95" s="13" t="s">
        <v>113</v>
      </c>
      <c r="AI95" s="13" t="s">
        <v>113</v>
      </c>
      <c r="AJ95" s="13" t="s">
        <v>113</v>
      </c>
      <c r="AK95" s="13" t="s">
        <v>113</v>
      </c>
      <c r="AL95" s="13" t="s">
        <v>113</v>
      </c>
      <c r="AM95" s="13"/>
      <c r="AN95" s="13" t="s">
        <v>113</v>
      </c>
      <c r="AO95" s="13" t="s">
        <v>114</v>
      </c>
      <c r="AP95" s="14">
        <v>469</v>
      </c>
      <c r="AQ95" s="14" t="s">
        <v>100</v>
      </c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</row>
    <row r="96" spans="1:61" s="6" customFormat="1" ht="16.5">
      <c r="A96" s="13">
        <v>488</v>
      </c>
      <c r="B96" s="13" t="s">
        <v>113</v>
      </c>
      <c r="C96" s="74" t="s">
        <v>71</v>
      </c>
      <c r="D96" s="86">
        <f>IFERROR(VLOOKUP(C96, $C$2:D95, 2, FALSE), MAX($D$2:D95)+1)</f>
        <v>4</v>
      </c>
      <c r="E96" s="14">
        <v>78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22</v>
      </c>
      <c r="L96" s="14">
        <v>0</v>
      </c>
      <c r="M96" s="14">
        <v>0</v>
      </c>
      <c r="N96" s="14">
        <v>0</v>
      </c>
      <c r="O96" s="14">
        <v>1</v>
      </c>
      <c r="P96" s="14">
        <v>1</v>
      </c>
      <c r="Q96" s="13" t="s">
        <v>113</v>
      </c>
      <c r="R96" s="13" t="s">
        <v>113</v>
      </c>
      <c r="S96" s="13" t="s">
        <v>113</v>
      </c>
      <c r="T96" s="13" t="s">
        <v>113</v>
      </c>
      <c r="U96" s="13" t="s">
        <v>113</v>
      </c>
      <c r="V96" s="14">
        <v>1</v>
      </c>
      <c r="W96" s="13" t="s">
        <v>113</v>
      </c>
      <c r="X96" s="13" t="s">
        <v>113</v>
      </c>
      <c r="Y96" s="13" t="s">
        <v>113</v>
      </c>
      <c r="Z96" s="14">
        <v>73</v>
      </c>
      <c r="AA96" s="13" t="s">
        <v>113</v>
      </c>
      <c r="AB96" s="13" t="s">
        <v>113</v>
      </c>
      <c r="AC96" s="14">
        <v>405</v>
      </c>
      <c r="AD96" s="13" t="s">
        <v>113</v>
      </c>
      <c r="AE96" s="13" t="s">
        <v>113</v>
      </c>
      <c r="AF96" s="13" t="s">
        <v>113</v>
      </c>
      <c r="AG96" s="13" t="s">
        <v>113</v>
      </c>
      <c r="AH96" s="13" t="s">
        <v>113</v>
      </c>
      <c r="AI96" s="13" t="s">
        <v>113</v>
      </c>
      <c r="AJ96" s="13" t="s">
        <v>113</v>
      </c>
      <c r="AK96" s="13" t="s">
        <v>113</v>
      </c>
      <c r="AL96" s="13" t="s">
        <v>113</v>
      </c>
      <c r="AM96" s="13"/>
      <c r="AN96" s="13" t="s">
        <v>113</v>
      </c>
      <c r="AO96" s="13" t="s">
        <v>114</v>
      </c>
      <c r="AP96" s="14">
        <v>488</v>
      </c>
      <c r="AQ96" s="14" t="s">
        <v>100</v>
      </c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</row>
    <row r="97" spans="1:61" s="6" customFormat="1" ht="16.5">
      <c r="A97" s="13">
        <v>495</v>
      </c>
      <c r="B97" s="13" t="s">
        <v>113</v>
      </c>
      <c r="C97" s="74" t="s">
        <v>71</v>
      </c>
      <c r="D97" s="86">
        <f>IFERROR(VLOOKUP(C97, $C$2:D96, 2, FALSE), MAX($D$2:D96)+1)</f>
        <v>4</v>
      </c>
      <c r="E97" s="14">
        <v>74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26</v>
      </c>
      <c r="L97" s="14">
        <v>0</v>
      </c>
      <c r="M97" s="14">
        <v>0</v>
      </c>
      <c r="N97" s="14">
        <v>0</v>
      </c>
      <c r="O97" s="14">
        <v>1</v>
      </c>
      <c r="P97" s="14">
        <v>1</v>
      </c>
      <c r="Q97" s="13" t="s">
        <v>113</v>
      </c>
      <c r="R97" s="13" t="s">
        <v>113</v>
      </c>
      <c r="S97" s="13" t="s">
        <v>113</v>
      </c>
      <c r="T97" s="13" t="s">
        <v>113</v>
      </c>
      <c r="U97" s="13" t="s">
        <v>113</v>
      </c>
      <c r="V97" s="14">
        <v>1</v>
      </c>
      <c r="W97" s="13" t="s">
        <v>113</v>
      </c>
      <c r="X97" s="13" t="s">
        <v>113</v>
      </c>
      <c r="Y97" s="13" t="s">
        <v>113</v>
      </c>
      <c r="Z97" s="14">
        <v>50</v>
      </c>
      <c r="AA97" s="13" t="s">
        <v>113</v>
      </c>
      <c r="AB97" s="13" t="s">
        <v>113</v>
      </c>
      <c r="AC97" s="14">
        <v>290</v>
      </c>
      <c r="AD97" s="13" t="s">
        <v>113</v>
      </c>
      <c r="AE97" s="13" t="s">
        <v>113</v>
      </c>
      <c r="AF97" s="13" t="s">
        <v>113</v>
      </c>
      <c r="AG97" s="13" t="s">
        <v>113</v>
      </c>
      <c r="AH97" s="13" t="s">
        <v>113</v>
      </c>
      <c r="AI97" s="13" t="s">
        <v>113</v>
      </c>
      <c r="AJ97" s="13" t="s">
        <v>113</v>
      </c>
      <c r="AK97" s="13" t="s">
        <v>113</v>
      </c>
      <c r="AL97" s="13" t="s">
        <v>113</v>
      </c>
      <c r="AM97" s="13"/>
      <c r="AN97" s="13" t="s">
        <v>113</v>
      </c>
      <c r="AO97" s="13" t="s">
        <v>114</v>
      </c>
      <c r="AP97" s="14">
        <v>495</v>
      </c>
      <c r="AQ97" s="14" t="s">
        <v>100</v>
      </c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</row>
    <row r="98" spans="1:61" s="6" customFormat="1" ht="16.5">
      <c r="A98" s="66">
        <v>510</v>
      </c>
      <c r="B98" s="66" t="s">
        <v>113</v>
      </c>
      <c r="C98" s="74" t="s">
        <v>71</v>
      </c>
      <c r="D98" s="86">
        <f>IFERROR(VLOOKUP(C98, $C$2:D97, 2, FALSE), MAX($D$2:D97)+1)</f>
        <v>4</v>
      </c>
      <c r="E98" s="67">
        <v>74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26</v>
      </c>
      <c r="L98" s="67">
        <v>0</v>
      </c>
      <c r="M98" s="67">
        <v>0</v>
      </c>
      <c r="N98" s="67">
        <v>0</v>
      </c>
      <c r="O98" s="67">
        <v>1</v>
      </c>
      <c r="P98" s="72" t="s">
        <v>173</v>
      </c>
      <c r="Q98" s="66">
        <v>0</v>
      </c>
      <c r="R98" s="66">
        <v>0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67">
        <v>75</v>
      </c>
      <c r="AA98" s="66" t="s">
        <v>113</v>
      </c>
      <c r="AB98" s="66" t="s">
        <v>113</v>
      </c>
      <c r="AC98" s="67">
        <v>447</v>
      </c>
      <c r="AD98" s="66" t="s">
        <v>113</v>
      </c>
      <c r="AE98" s="66" t="s">
        <v>113</v>
      </c>
      <c r="AF98" s="66" t="s">
        <v>113</v>
      </c>
      <c r="AG98" s="66" t="s">
        <v>113</v>
      </c>
      <c r="AH98" s="66" t="s">
        <v>113</v>
      </c>
      <c r="AI98" s="66" t="s">
        <v>113</v>
      </c>
      <c r="AJ98" s="66" t="s">
        <v>113</v>
      </c>
      <c r="AK98" s="66" t="s">
        <v>113</v>
      </c>
      <c r="AL98" s="66" t="s">
        <v>113</v>
      </c>
      <c r="AM98" s="66"/>
      <c r="AN98" s="66" t="s">
        <v>113</v>
      </c>
      <c r="AO98" s="66" t="s">
        <v>114</v>
      </c>
      <c r="AP98" s="67">
        <v>510</v>
      </c>
      <c r="AQ98" s="67" t="s">
        <v>100</v>
      </c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</row>
    <row r="99" spans="1:61" s="6" customFormat="1" ht="16.5">
      <c r="A99" s="9">
        <v>59</v>
      </c>
      <c r="B99"/>
      <c r="C99" s="74" t="s">
        <v>71</v>
      </c>
      <c r="D99" s="86">
        <f>IFERROR(VLOOKUP(C99, $C$2:D98, 2, FALSE), MAX($D$2:D98)+1)</f>
        <v>4</v>
      </c>
      <c r="E99" s="9">
        <v>76</v>
      </c>
      <c r="F99"/>
      <c r="G99" s="9">
        <v>0</v>
      </c>
      <c r="H99" s="9">
        <v>0</v>
      </c>
      <c r="I99"/>
      <c r="J99" s="9">
        <v>0</v>
      </c>
      <c r="K99" s="9">
        <v>24</v>
      </c>
      <c r="L99"/>
      <c r="M99"/>
      <c r="N99" s="9">
        <v>0</v>
      </c>
      <c r="O99"/>
      <c r="P99"/>
      <c r="Q99"/>
      <c r="R99"/>
      <c r="S99"/>
      <c r="T99"/>
      <c r="U99"/>
      <c r="V99"/>
      <c r="W99"/>
      <c r="X99"/>
      <c r="Y99"/>
      <c r="Z99" s="9">
        <v>66.7</v>
      </c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s="9" t="s">
        <v>59</v>
      </c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s="6" customFormat="1" ht="16.5">
      <c r="A100" s="9">
        <v>79</v>
      </c>
      <c r="B100"/>
      <c r="C100" s="74" t="s">
        <v>71</v>
      </c>
      <c r="D100" s="86">
        <f>IFERROR(VLOOKUP(C100, $C$2:D99, 2, FALSE), MAX($D$2:D99)+1)</f>
        <v>4</v>
      </c>
      <c r="E100" s="9">
        <v>92.85</v>
      </c>
      <c r="F100"/>
      <c r="G100" s="9">
        <v>0</v>
      </c>
      <c r="H100" s="9">
        <v>0</v>
      </c>
      <c r="I100"/>
      <c r="J100" s="9">
        <v>0</v>
      </c>
      <c r="K100" s="9">
        <v>7.15</v>
      </c>
      <c r="L100"/>
      <c r="M100"/>
      <c r="N100" s="9">
        <v>0</v>
      </c>
      <c r="O100"/>
      <c r="P100"/>
      <c r="Q100"/>
      <c r="R100"/>
      <c r="S100"/>
      <c r="T100"/>
      <c r="U100"/>
      <c r="V100"/>
      <c r="W100"/>
      <c r="X100"/>
      <c r="Y100"/>
      <c r="Z100" s="9">
        <v>81.25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 s="9" t="s">
        <v>59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s="6" customFormat="1" ht="16.5">
      <c r="A101" s="9">
        <v>80</v>
      </c>
      <c r="B101"/>
      <c r="C101" s="74" t="s">
        <v>71</v>
      </c>
      <c r="D101" s="86">
        <f>IFERROR(VLOOKUP(C101, $C$2:D100, 2, FALSE), MAX($D$2:D100)+1)</f>
        <v>4</v>
      </c>
      <c r="E101" s="9">
        <v>83.31</v>
      </c>
      <c r="F101"/>
      <c r="G101" s="9">
        <v>0</v>
      </c>
      <c r="H101" s="9">
        <v>0</v>
      </c>
      <c r="I101"/>
      <c r="J101" s="9">
        <v>0</v>
      </c>
      <c r="K101" s="9">
        <v>16.690000000000001</v>
      </c>
      <c r="L101"/>
      <c r="M101"/>
      <c r="N101" s="9">
        <v>0</v>
      </c>
      <c r="O101"/>
      <c r="P101"/>
      <c r="Q101"/>
      <c r="R101"/>
      <c r="S101"/>
      <c r="T101"/>
      <c r="U101"/>
      <c r="V101"/>
      <c r="W101"/>
      <c r="X101"/>
      <c r="Y101"/>
      <c r="Z101" s="9">
        <v>80.989999999999995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 s="9" t="s">
        <v>59</v>
      </c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s="6" customFormat="1" ht="16.5">
      <c r="A102" s="9">
        <v>90</v>
      </c>
      <c r="B102"/>
      <c r="C102" s="74" t="s">
        <v>71</v>
      </c>
      <c r="D102" s="86">
        <f>IFERROR(VLOOKUP(C102, $C$2:D101, 2, FALSE), MAX($D$2:D101)+1)</f>
        <v>4</v>
      </c>
      <c r="E102" s="9">
        <v>90.9</v>
      </c>
      <c r="F102"/>
      <c r="G102" s="9">
        <v>0</v>
      </c>
      <c r="H102" s="9">
        <v>0</v>
      </c>
      <c r="I102"/>
      <c r="J102" s="9">
        <v>0</v>
      </c>
      <c r="K102" s="9">
        <v>9.1</v>
      </c>
      <c r="L102"/>
      <c r="M102"/>
      <c r="N102" s="9">
        <v>0</v>
      </c>
      <c r="O102"/>
      <c r="P102"/>
      <c r="Q102"/>
      <c r="R102"/>
      <c r="S102"/>
      <c r="T102"/>
      <c r="U102"/>
      <c r="V102"/>
      <c r="W102"/>
      <c r="X102"/>
      <c r="Y102"/>
      <c r="Z102" s="9">
        <v>92.7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 s="9" t="s">
        <v>59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s="6" customFormat="1" ht="16.5">
      <c r="A103" s="9">
        <v>91</v>
      </c>
      <c r="B103"/>
      <c r="C103" s="74" t="s">
        <v>71</v>
      </c>
      <c r="D103" s="86">
        <f>IFERROR(VLOOKUP(C103, $C$2:D102, 2, FALSE), MAX($D$2:D102)+1)</f>
        <v>4</v>
      </c>
      <c r="E103" s="9">
        <v>90.8</v>
      </c>
      <c r="F103"/>
      <c r="G103" s="9">
        <v>0</v>
      </c>
      <c r="H103" s="9">
        <v>0</v>
      </c>
      <c r="I103"/>
      <c r="J103" s="9">
        <v>0</v>
      </c>
      <c r="K103" s="9">
        <v>9.1999999999999993</v>
      </c>
      <c r="L103"/>
      <c r="M103"/>
      <c r="N103" s="9">
        <v>0</v>
      </c>
      <c r="O103"/>
      <c r="P103"/>
      <c r="Q103"/>
      <c r="R103"/>
      <c r="S103"/>
      <c r="T103"/>
      <c r="U103"/>
      <c r="V103"/>
      <c r="W103"/>
      <c r="X103"/>
      <c r="Y103"/>
      <c r="Z103" s="9">
        <v>93.11</v>
      </c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 s="9" t="s">
        <v>59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s="6" customFormat="1" ht="16.5">
      <c r="A104" s="9">
        <v>92</v>
      </c>
      <c r="B104"/>
      <c r="C104" s="74" t="s">
        <v>71</v>
      </c>
      <c r="D104" s="86">
        <f>IFERROR(VLOOKUP(C104, $C$2:D103, 2, FALSE), MAX($D$2:D103)+1)</f>
        <v>4</v>
      </c>
      <c r="E104" s="9">
        <v>82.65</v>
      </c>
      <c r="F104"/>
      <c r="G104" s="9">
        <v>0</v>
      </c>
      <c r="H104" s="9">
        <v>0</v>
      </c>
      <c r="I104"/>
      <c r="J104" s="9">
        <v>0</v>
      </c>
      <c r="K104" s="9">
        <v>17.350000000000001</v>
      </c>
      <c r="L104"/>
      <c r="M104"/>
      <c r="N104" s="9">
        <v>0</v>
      </c>
      <c r="O104"/>
      <c r="P104"/>
      <c r="Q104"/>
      <c r="R104"/>
      <c r="S104"/>
      <c r="T104"/>
      <c r="U104"/>
      <c r="V104"/>
      <c r="W104"/>
      <c r="X104"/>
      <c r="Y104"/>
      <c r="Z104" s="9">
        <v>98.88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 s="9" t="s">
        <v>59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s="6" customFormat="1" ht="16.5">
      <c r="A105" s="9">
        <v>93</v>
      </c>
      <c r="B105"/>
      <c r="C105" s="74" t="s">
        <v>71</v>
      </c>
      <c r="D105" s="86">
        <f>IFERROR(VLOOKUP(C105, $C$2:D104, 2, FALSE), MAX($D$2:D104)+1)</f>
        <v>4</v>
      </c>
      <c r="E105" s="9">
        <v>72.5</v>
      </c>
      <c r="F105"/>
      <c r="G105" s="9">
        <v>0</v>
      </c>
      <c r="H105" s="9">
        <v>0</v>
      </c>
      <c r="I105"/>
      <c r="J105" s="9">
        <v>0</v>
      </c>
      <c r="K105" s="9">
        <v>27.5</v>
      </c>
      <c r="L105"/>
      <c r="M105"/>
      <c r="N105" s="9">
        <v>0</v>
      </c>
      <c r="O105"/>
      <c r="P105"/>
      <c r="Q105"/>
      <c r="R105"/>
      <c r="S105"/>
      <c r="T105"/>
      <c r="U105"/>
      <c r="V105"/>
      <c r="W105"/>
      <c r="X105"/>
      <c r="Y105"/>
      <c r="Z105" s="9">
        <v>77.31</v>
      </c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 s="9" t="s">
        <v>59</v>
      </c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s="6" customFormat="1" ht="16.5">
      <c r="A106" s="9">
        <v>94</v>
      </c>
      <c r="B106"/>
      <c r="C106" s="74" t="s">
        <v>71</v>
      </c>
      <c r="D106" s="86">
        <f>IFERROR(VLOOKUP(C106, $C$2:D105, 2, FALSE), MAX($D$2:D105)+1)</f>
        <v>4</v>
      </c>
      <c r="E106" s="9">
        <v>71.349999999999994</v>
      </c>
      <c r="F106"/>
      <c r="G106" s="9">
        <v>0</v>
      </c>
      <c r="H106" s="9">
        <v>0</v>
      </c>
      <c r="I106"/>
      <c r="J106" s="9">
        <v>0</v>
      </c>
      <c r="K106" s="9">
        <v>28.65</v>
      </c>
      <c r="L106"/>
      <c r="M106"/>
      <c r="N106" s="9">
        <v>0</v>
      </c>
      <c r="O106"/>
      <c r="P106"/>
      <c r="Q106"/>
      <c r="R106"/>
      <c r="S106"/>
      <c r="T106"/>
      <c r="U106"/>
      <c r="V106"/>
      <c r="W106"/>
      <c r="X106"/>
      <c r="Y106"/>
      <c r="Z106" s="9">
        <v>95.22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s="9" t="s">
        <v>59</v>
      </c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s="6" customFormat="1" ht="16.5">
      <c r="A107" s="9">
        <v>95</v>
      </c>
      <c r="B107"/>
      <c r="C107" s="74" t="s">
        <v>71</v>
      </c>
      <c r="D107" s="86">
        <f>IFERROR(VLOOKUP(C107, $C$2:D106, 2, FALSE), MAX($D$2:D106)+1)</f>
        <v>4</v>
      </c>
      <c r="E107" s="9">
        <v>98.7</v>
      </c>
      <c r="F107"/>
      <c r="G107" s="9">
        <v>0</v>
      </c>
      <c r="H107" s="9">
        <v>0</v>
      </c>
      <c r="I107"/>
      <c r="J107" s="9">
        <v>0</v>
      </c>
      <c r="K107" s="9">
        <v>1.3</v>
      </c>
      <c r="L107"/>
      <c r="M107"/>
      <c r="N107" s="9">
        <v>0</v>
      </c>
      <c r="O107"/>
      <c r="P107"/>
      <c r="Q107"/>
      <c r="R107"/>
      <c r="S107"/>
      <c r="T107"/>
      <c r="U107"/>
      <c r="V107"/>
      <c r="W107"/>
      <c r="X107"/>
      <c r="Y107"/>
      <c r="Z107" s="9">
        <v>112.5</v>
      </c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 s="9" t="s">
        <v>59</v>
      </c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s="6" customFormat="1" ht="16.5">
      <c r="A108" s="9">
        <v>96</v>
      </c>
      <c r="B108"/>
      <c r="C108" s="74" t="s">
        <v>71</v>
      </c>
      <c r="D108" s="86">
        <f>IFERROR(VLOOKUP(C108, $C$2:D107, 2, FALSE), MAX($D$2:D107)+1)</f>
        <v>4</v>
      </c>
      <c r="E108" s="9">
        <v>97.9</v>
      </c>
      <c r="F108"/>
      <c r="G108" s="9">
        <v>0</v>
      </c>
      <c r="H108" s="9">
        <v>0</v>
      </c>
      <c r="I108"/>
      <c r="J108" s="9">
        <v>0</v>
      </c>
      <c r="K108" s="9">
        <v>2.1</v>
      </c>
      <c r="L108"/>
      <c r="M108"/>
      <c r="N108" s="9">
        <v>0</v>
      </c>
      <c r="O108"/>
      <c r="P108"/>
      <c r="Q108"/>
      <c r="R108"/>
      <c r="S108"/>
      <c r="T108"/>
      <c r="U108"/>
      <c r="V108"/>
      <c r="W108"/>
      <c r="X108"/>
      <c r="Y108"/>
      <c r="Z108" s="9">
        <v>108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 s="9" t="s">
        <v>59</v>
      </c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s="6" customFormat="1" ht="16.5">
      <c r="A109" s="9">
        <v>97</v>
      </c>
      <c r="B109"/>
      <c r="C109" s="74" t="s">
        <v>71</v>
      </c>
      <c r="D109" s="86">
        <f>IFERROR(VLOOKUP(C109, $C$2:D108, 2, FALSE), MAX($D$2:D108)+1)</f>
        <v>4</v>
      </c>
      <c r="E109" s="9">
        <v>94.59</v>
      </c>
      <c r="F109"/>
      <c r="G109" s="9">
        <v>0</v>
      </c>
      <c r="H109" s="9">
        <v>0</v>
      </c>
      <c r="I109"/>
      <c r="J109" s="9">
        <v>0</v>
      </c>
      <c r="K109" s="9">
        <v>5.41</v>
      </c>
      <c r="L109"/>
      <c r="M109"/>
      <c r="N109" s="9">
        <v>0</v>
      </c>
      <c r="O109"/>
      <c r="P109"/>
      <c r="Q109"/>
      <c r="R109"/>
      <c r="S109"/>
      <c r="T109"/>
      <c r="U109"/>
      <c r="V109"/>
      <c r="W109"/>
      <c r="X109"/>
      <c r="Y109"/>
      <c r="Z109" s="9">
        <v>78.5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 s="9" t="s">
        <v>59</v>
      </c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s="6" customFormat="1" ht="16.5">
      <c r="A110" s="9">
        <v>98</v>
      </c>
      <c r="B110"/>
      <c r="C110" s="74" t="s">
        <v>71</v>
      </c>
      <c r="D110" s="86">
        <f>IFERROR(VLOOKUP(C110, $C$2:D109, 2, FALSE), MAX($D$2:D109)+1)</f>
        <v>4</v>
      </c>
      <c r="E110" s="9">
        <v>91.67</v>
      </c>
      <c r="F110"/>
      <c r="G110" s="9">
        <v>0</v>
      </c>
      <c r="H110" s="9">
        <v>0</v>
      </c>
      <c r="I110"/>
      <c r="J110" s="9">
        <v>0</v>
      </c>
      <c r="K110" s="9">
        <v>8.33</v>
      </c>
      <c r="L110"/>
      <c r="M110"/>
      <c r="N110" s="9">
        <v>0</v>
      </c>
      <c r="O110"/>
      <c r="P110"/>
      <c r="Q110"/>
      <c r="R110"/>
      <c r="S110"/>
      <c r="T110"/>
      <c r="U110"/>
      <c r="V110"/>
      <c r="W110"/>
      <c r="X110"/>
      <c r="Y110"/>
      <c r="Z110" s="9">
        <v>66.5</v>
      </c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s="9" t="s">
        <v>59</v>
      </c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s="6" customFormat="1" ht="16.5">
      <c r="A111" s="9">
        <v>99</v>
      </c>
      <c r="B111"/>
      <c r="C111" s="74" t="s">
        <v>71</v>
      </c>
      <c r="D111" s="86">
        <f>IFERROR(VLOOKUP(C111, $C$2:D110, 2, FALSE), MAX($D$2:D110)+1)</f>
        <v>4</v>
      </c>
      <c r="E111" s="9">
        <v>90.45</v>
      </c>
      <c r="F111"/>
      <c r="G111" s="9">
        <v>0</v>
      </c>
      <c r="H111" s="9">
        <v>0</v>
      </c>
      <c r="I111"/>
      <c r="J111" s="9">
        <v>0</v>
      </c>
      <c r="K111" s="9">
        <v>9.5500000000000007</v>
      </c>
      <c r="L111"/>
      <c r="M111"/>
      <c r="N111" s="9">
        <v>0</v>
      </c>
      <c r="O111"/>
      <c r="P111"/>
      <c r="Q111"/>
      <c r="R111"/>
      <c r="S111"/>
      <c r="T111"/>
      <c r="U111"/>
      <c r="V111"/>
      <c r="W111"/>
      <c r="X111"/>
      <c r="Y111"/>
      <c r="Z111" s="9">
        <v>66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 s="9" t="s">
        <v>59</v>
      </c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s="6" customFormat="1" ht="16.5">
      <c r="A112" s="9">
        <v>100</v>
      </c>
      <c r="B112"/>
      <c r="C112" s="74" t="s">
        <v>71</v>
      </c>
      <c r="D112" s="86">
        <f>IFERROR(VLOOKUP(C112, $C$2:D111, 2, FALSE), MAX($D$2:D111)+1)</f>
        <v>4</v>
      </c>
      <c r="E112" s="9">
        <v>88.59</v>
      </c>
      <c r="F112"/>
      <c r="G112" s="9">
        <v>0</v>
      </c>
      <c r="H112" s="9">
        <v>0</v>
      </c>
      <c r="I112"/>
      <c r="J112" s="9">
        <v>0</v>
      </c>
      <c r="K112" s="9">
        <v>11.41</v>
      </c>
      <c r="L112"/>
      <c r="M112"/>
      <c r="N112" s="9">
        <v>0</v>
      </c>
      <c r="O112"/>
      <c r="P112"/>
      <c r="Q112"/>
      <c r="R112"/>
      <c r="S112"/>
      <c r="T112"/>
      <c r="U112"/>
      <c r="V112"/>
      <c r="W112"/>
      <c r="X112"/>
      <c r="Y112"/>
      <c r="Z112" s="9">
        <v>78.5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 s="9" t="s">
        <v>59</v>
      </c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s="6" customFormat="1" ht="16.5">
      <c r="A113" s="9">
        <v>101</v>
      </c>
      <c r="B113"/>
      <c r="C113" s="74" t="s">
        <v>71</v>
      </c>
      <c r="D113" s="86">
        <f>IFERROR(VLOOKUP(C113, $C$2:D112, 2, FALSE), MAX($D$2:D112)+1)</f>
        <v>4</v>
      </c>
      <c r="E113" s="9">
        <v>81.91</v>
      </c>
      <c r="F113"/>
      <c r="G113" s="9">
        <v>0</v>
      </c>
      <c r="H113" s="9">
        <v>0</v>
      </c>
      <c r="I113"/>
      <c r="J113" s="9">
        <v>0</v>
      </c>
      <c r="K113" s="9">
        <v>18.09</v>
      </c>
      <c r="L113"/>
      <c r="M113"/>
      <c r="N113" s="9">
        <v>0</v>
      </c>
      <c r="O113"/>
      <c r="P113"/>
      <c r="Q113"/>
      <c r="R113"/>
      <c r="S113"/>
      <c r="T113"/>
      <c r="U113"/>
      <c r="V113"/>
      <c r="W113"/>
      <c r="X113"/>
      <c r="Y113"/>
      <c r="Z113" s="9">
        <v>93.5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 s="9" t="s">
        <v>59</v>
      </c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s="6" customFormat="1" ht="16.5">
      <c r="A114" s="9">
        <v>102</v>
      </c>
      <c r="B114"/>
      <c r="C114" s="74" t="s">
        <v>71</v>
      </c>
      <c r="D114" s="86">
        <f>IFERROR(VLOOKUP(C114, $C$2:D113, 2, FALSE), MAX($D$2:D113)+1)</f>
        <v>4</v>
      </c>
      <c r="E114" s="9">
        <v>74.430000000000007</v>
      </c>
      <c r="F114"/>
      <c r="G114" s="9">
        <v>0</v>
      </c>
      <c r="H114" s="9">
        <v>0</v>
      </c>
      <c r="I114"/>
      <c r="J114" s="9">
        <v>0</v>
      </c>
      <c r="K114" s="9">
        <v>25.57</v>
      </c>
      <c r="L114"/>
      <c r="M114"/>
      <c r="N114" s="9">
        <v>0</v>
      </c>
      <c r="O114"/>
      <c r="P114"/>
      <c r="Q114"/>
      <c r="R114"/>
      <c r="S114"/>
      <c r="T114"/>
      <c r="U114"/>
      <c r="V114"/>
      <c r="W114"/>
      <c r="X114"/>
      <c r="Y114"/>
      <c r="Z114" s="9">
        <v>67</v>
      </c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s="9" t="s">
        <v>59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s="6" customFormat="1" ht="16.5">
      <c r="A115" s="9">
        <v>103</v>
      </c>
      <c r="B115"/>
      <c r="C115" s="74" t="s">
        <v>71</v>
      </c>
      <c r="D115" s="86">
        <f>IFERROR(VLOOKUP(C115, $C$2:D114, 2, FALSE), MAX($D$2:D114)+1)</f>
        <v>4</v>
      </c>
      <c r="E115" s="9">
        <v>70.349999999999994</v>
      </c>
      <c r="F115"/>
      <c r="G115" s="9">
        <v>0</v>
      </c>
      <c r="H115" s="9">
        <v>0</v>
      </c>
      <c r="I115"/>
      <c r="J115" s="9">
        <v>0</v>
      </c>
      <c r="K115" s="9">
        <v>29.65</v>
      </c>
      <c r="L115"/>
      <c r="M115"/>
      <c r="N115" s="9">
        <v>0</v>
      </c>
      <c r="O115"/>
      <c r="P115"/>
      <c r="Q115"/>
      <c r="R115"/>
      <c r="S115"/>
      <c r="T115"/>
      <c r="U115"/>
      <c r="V115"/>
      <c r="W115"/>
      <c r="X115"/>
      <c r="Y115"/>
      <c r="Z115" s="9">
        <v>67.5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 s="9" t="s">
        <v>59</v>
      </c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s="6" customFormat="1" ht="16.5">
      <c r="A116" s="9">
        <v>104</v>
      </c>
      <c r="B116"/>
      <c r="C116" s="74" t="s">
        <v>71</v>
      </c>
      <c r="D116" s="86">
        <f>IFERROR(VLOOKUP(C116, $C$2:D115, 2, FALSE), MAX($D$2:D115)+1)</f>
        <v>4</v>
      </c>
      <c r="E116" s="9">
        <v>66</v>
      </c>
      <c r="F116"/>
      <c r="G116" s="9">
        <v>0</v>
      </c>
      <c r="H116" s="9">
        <v>0</v>
      </c>
      <c r="I116"/>
      <c r="J116" s="9">
        <v>0</v>
      </c>
      <c r="K116" s="9">
        <v>34</v>
      </c>
      <c r="L116"/>
      <c r="M116"/>
      <c r="N116" s="9">
        <v>0</v>
      </c>
      <c r="O116"/>
      <c r="P116"/>
      <c r="Q116"/>
      <c r="R116"/>
      <c r="S116"/>
      <c r="T116"/>
      <c r="U116"/>
      <c r="V116"/>
      <c r="W116"/>
      <c r="X116"/>
      <c r="Y116"/>
      <c r="Z116" s="9">
        <v>74.5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s="9" t="s">
        <v>59</v>
      </c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s="6" customFormat="1" ht="16.5">
      <c r="A117" s="9">
        <v>105</v>
      </c>
      <c r="B117"/>
      <c r="C117" s="74" t="s">
        <v>71</v>
      </c>
      <c r="D117" s="86">
        <f>IFERROR(VLOOKUP(C117, $C$2:D116, 2, FALSE), MAX($D$2:D116)+1)</f>
        <v>4</v>
      </c>
      <c r="E117" s="9">
        <v>56.41</v>
      </c>
      <c r="F117"/>
      <c r="G117" s="9">
        <v>0</v>
      </c>
      <c r="H117" s="9">
        <v>0</v>
      </c>
      <c r="I117"/>
      <c r="J117" s="9">
        <v>0</v>
      </c>
      <c r="K117" s="9">
        <v>43.59</v>
      </c>
      <c r="L117"/>
      <c r="M117"/>
      <c r="N117" s="9">
        <v>0</v>
      </c>
      <c r="O117"/>
      <c r="P117"/>
      <c r="Q117"/>
      <c r="R117"/>
      <c r="S117"/>
      <c r="T117"/>
      <c r="U117"/>
      <c r="V117"/>
      <c r="W117"/>
      <c r="X117"/>
      <c r="Y117"/>
      <c r="Z117" s="9">
        <v>84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 s="9" t="s">
        <v>59</v>
      </c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s="6" customFormat="1" ht="16.5">
      <c r="A118" s="9">
        <v>106</v>
      </c>
      <c r="B118"/>
      <c r="C118" s="74" t="s">
        <v>71</v>
      </c>
      <c r="D118" s="86">
        <f>IFERROR(VLOOKUP(C118, $C$2:D117, 2, FALSE), MAX($D$2:D117)+1)</f>
        <v>4</v>
      </c>
      <c r="E118" s="9">
        <v>77.53</v>
      </c>
      <c r="F118"/>
      <c r="G118" s="9">
        <v>0</v>
      </c>
      <c r="H118" s="9">
        <v>0</v>
      </c>
      <c r="I118"/>
      <c r="J118" s="9">
        <v>0</v>
      </c>
      <c r="K118" s="9">
        <v>22.47</v>
      </c>
      <c r="L118"/>
      <c r="M118"/>
      <c r="N118" s="9">
        <v>0</v>
      </c>
      <c r="O118"/>
      <c r="P118"/>
      <c r="Q118"/>
      <c r="R118"/>
      <c r="S118"/>
      <c r="T118"/>
      <c r="U118"/>
      <c r="V118"/>
      <c r="W118"/>
      <c r="X118"/>
      <c r="Y118"/>
      <c r="Z118" s="9">
        <v>72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s="9" t="s">
        <v>59</v>
      </c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16.5">
      <c r="A119" s="9">
        <v>107</v>
      </c>
      <c r="C119" s="74" t="s">
        <v>71</v>
      </c>
      <c r="D119" s="86">
        <f>IFERROR(VLOOKUP(C119, $C$2:D118, 2, FALSE), MAX($D$2:D118)+1)</f>
        <v>4</v>
      </c>
      <c r="E119" s="9">
        <v>74.430000000000007</v>
      </c>
      <c r="G119" s="9">
        <v>0</v>
      </c>
      <c r="H119" s="9">
        <v>0</v>
      </c>
      <c r="J119" s="9">
        <v>0</v>
      </c>
      <c r="K119" s="9">
        <v>25.57</v>
      </c>
      <c r="N119" s="9">
        <v>0</v>
      </c>
      <c r="Z119" s="9">
        <v>61</v>
      </c>
      <c r="AQ119" s="9" t="s">
        <v>59</v>
      </c>
    </row>
    <row r="120" spans="1:61" ht="16.5">
      <c r="A120" s="9">
        <v>108</v>
      </c>
      <c r="C120" s="74" t="s">
        <v>71</v>
      </c>
      <c r="D120" s="86">
        <f>IFERROR(VLOOKUP(C120, $C$2:D119, 2, FALSE), MAX($D$2:D119)+1)</f>
        <v>4</v>
      </c>
      <c r="E120" s="9">
        <v>72.83</v>
      </c>
      <c r="G120" s="9">
        <v>0</v>
      </c>
      <c r="H120" s="9">
        <v>0</v>
      </c>
      <c r="J120" s="9">
        <v>0</v>
      </c>
      <c r="K120" s="9">
        <v>27.17</v>
      </c>
      <c r="N120" s="9">
        <v>0</v>
      </c>
      <c r="Z120" s="9">
        <v>62</v>
      </c>
      <c r="AQ120" s="9" t="s">
        <v>59</v>
      </c>
    </row>
    <row r="121" spans="1:61" ht="16.5">
      <c r="A121" s="9">
        <v>109</v>
      </c>
      <c r="C121" s="74" t="s">
        <v>71</v>
      </c>
      <c r="D121" s="86">
        <f>IFERROR(VLOOKUP(C121, $C$2:D120, 2, FALSE), MAX($D$2:D120)+1)</f>
        <v>4</v>
      </c>
      <c r="E121" s="9">
        <v>70.25</v>
      </c>
      <c r="G121" s="9">
        <v>0</v>
      </c>
      <c r="H121" s="9">
        <v>0</v>
      </c>
      <c r="J121" s="9">
        <v>0</v>
      </c>
      <c r="K121" s="9">
        <v>29.75</v>
      </c>
      <c r="N121" s="9">
        <v>0</v>
      </c>
      <c r="Z121" s="9">
        <v>65</v>
      </c>
      <c r="AQ121" s="9" t="s">
        <v>59</v>
      </c>
    </row>
    <row r="122" spans="1:61" ht="16.5">
      <c r="A122" s="9">
        <v>110</v>
      </c>
      <c r="C122" s="74" t="s">
        <v>71</v>
      </c>
      <c r="D122" s="86">
        <f>IFERROR(VLOOKUP(C122, $C$2:D121, 2, FALSE), MAX($D$2:D121)+1)</f>
        <v>4</v>
      </c>
      <c r="E122" s="9">
        <v>70.180000000000007</v>
      </c>
      <c r="G122" s="9">
        <v>0</v>
      </c>
      <c r="H122" s="9">
        <v>0</v>
      </c>
      <c r="J122" s="9">
        <v>0</v>
      </c>
      <c r="K122" s="9">
        <v>29.82</v>
      </c>
      <c r="N122" s="9">
        <v>0</v>
      </c>
      <c r="Z122" s="9">
        <v>64.3</v>
      </c>
      <c r="AQ122" s="9" t="s">
        <v>59</v>
      </c>
    </row>
    <row r="123" spans="1:61" ht="16.5">
      <c r="A123" s="9">
        <v>121</v>
      </c>
      <c r="C123" s="74" t="s">
        <v>71</v>
      </c>
      <c r="D123" s="86">
        <f>IFERROR(VLOOKUP(C123, $C$2:D122, 2, FALSE), MAX($D$2:D122)+1)</f>
        <v>4</v>
      </c>
      <c r="E123" s="9">
        <v>80</v>
      </c>
      <c r="G123" s="9">
        <v>0</v>
      </c>
      <c r="H123" s="9">
        <v>0</v>
      </c>
      <c r="J123" s="9">
        <v>0</v>
      </c>
      <c r="K123" s="9">
        <v>20</v>
      </c>
      <c r="N123" s="9">
        <v>0</v>
      </c>
      <c r="Z123" s="9">
        <v>61.4</v>
      </c>
      <c r="AQ123" s="9" t="s">
        <v>59</v>
      </c>
    </row>
    <row r="124" spans="1:61" ht="16.5">
      <c r="A124" s="9">
        <v>126</v>
      </c>
      <c r="C124" s="74" t="s">
        <v>71</v>
      </c>
      <c r="D124" s="86">
        <f>IFERROR(VLOOKUP(C124, $C$2:D123, 2, FALSE), MAX($D$2:D123)+1)</f>
        <v>4</v>
      </c>
      <c r="E124" s="9">
        <v>74.489999999999995</v>
      </c>
      <c r="G124" s="9">
        <v>0</v>
      </c>
      <c r="H124" s="9">
        <v>0</v>
      </c>
      <c r="J124" s="9">
        <v>0</v>
      </c>
      <c r="K124" s="9">
        <v>25.51</v>
      </c>
      <c r="N124" s="9">
        <v>0</v>
      </c>
      <c r="Z124" s="9">
        <v>65</v>
      </c>
      <c r="AQ124" s="9" t="s">
        <v>59</v>
      </c>
    </row>
    <row r="125" spans="1:61" ht="16.5">
      <c r="A125" s="9">
        <v>127</v>
      </c>
      <c r="C125" s="74" t="s">
        <v>71</v>
      </c>
      <c r="D125" s="86">
        <f>IFERROR(VLOOKUP(C125, $C$2:D124, 2, FALSE), MAX($D$2:D124)+1)</f>
        <v>4</v>
      </c>
      <c r="E125" s="9">
        <v>43.59</v>
      </c>
      <c r="G125" s="9">
        <v>0</v>
      </c>
      <c r="H125" s="9">
        <v>0</v>
      </c>
      <c r="J125" s="9">
        <v>0</v>
      </c>
      <c r="K125" s="9">
        <v>56.41</v>
      </c>
      <c r="N125" s="9">
        <v>0</v>
      </c>
      <c r="Z125" s="9">
        <v>54</v>
      </c>
      <c r="AQ125" s="9" t="s">
        <v>59</v>
      </c>
    </row>
    <row r="126" spans="1:61" ht="16.5">
      <c r="A126" s="9">
        <v>175</v>
      </c>
      <c r="C126" s="74" t="s">
        <v>71</v>
      </c>
      <c r="D126" s="86">
        <f>IFERROR(VLOOKUP(C126, $C$2:D125, 2, FALSE), MAX($D$2:D125)+1)</f>
        <v>4</v>
      </c>
      <c r="E126" s="9">
        <v>73</v>
      </c>
      <c r="G126" s="9">
        <v>0</v>
      </c>
      <c r="H126" s="9">
        <v>0</v>
      </c>
      <c r="J126" s="9">
        <v>0</v>
      </c>
      <c r="K126" s="9">
        <v>27</v>
      </c>
      <c r="N126" s="9">
        <v>0</v>
      </c>
      <c r="Z126" s="9">
        <v>67.099999999999994</v>
      </c>
      <c r="AQ126" s="9" t="s">
        <v>59</v>
      </c>
    </row>
    <row r="127" spans="1:61" ht="16.5">
      <c r="A127" s="9">
        <v>176</v>
      </c>
      <c r="C127" s="74" t="s">
        <v>71</v>
      </c>
      <c r="D127" s="86">
        <f>IFERROR(VLOOKUP(C127, $C$2:D126, 2, FALSE), MAX($D$2:D126)+1)</f>
        <v>4</v>
      </c>
      <c r="E127" s="9">
        <v>72.739999999999995</v>
      </c>
      <c r="G127" s="9">
        <v>0</v>
      </c>
      <c r="H127" s="9">
        <v>0</v>
      </c>
      <c r="J127" s="9">
        <v>0</v>
      </c>
      <c r="K127" s="9">
        <v>27.26</v>
      </c>
      <c r="N127" s="9">
        <v>0</v>
      </c>
      <c r="Z127" s="9">
        <v>55</v>
      </c>
      <c r="AQ127" s="9" t="s">
        <v>59</v>
      </c>
    </row>
    <row r="128" spans="1:61" ht="16.5">
      <c r="A128" s="9">
        <v>178</v>
      </c>
      <c r="C128" s="74" t="s">
        <v>71</v>
      </c>
      <c r="D128" s="86">
        <f>IFERROR(VLOOKUP(C128, $C$2:D127, 2, FALSE), MAX($D$2:D127)+1)</f>
        <v>4</v>
      </c>
      <c r="E128" s="9">
        <v>76.849999999999994</v>
      </c>
      <c r="G128" s="9">
        <v>0</v>
      </c>
      <c r="H128" s="9">
        <v>0</v>
      </c>
      <c r="J128" s="9">
        <v>0</v>
      </c>
      <c r="K128" s="9">
        <v>23.15</v>
      </c>
      <c r="N128" s="9">
        <v>0</v>
      </c>
      <c r="Z128" s="9">
        <v>65</v>
      </c>
      <c r="AQ128" s="9" t="s">
        <v>59</v>
      </c>
    </row>
    <row r="129" spans="1:61" ht="16.5">
      <c r="A129" s="9">
        <v>180</v>
      </c>
      <c r="C129" s="74" t="s">
        <v>71</v>
      </c>
      <c r="D129" s="86">
        <f>IFERROR(VLOOKUP(C129, $C$2:D128, 2, FALSE), MAX($D$2:D128)+1)</f>
        <v>4</v>
      </c>
      <c r="E129" s="9">
        <v>71.180000000000007</v>
      </c>
      <c r="G129" s="9">
        <v>0</v>
      </c>
      <c r="H129" s="9">
        <v>0</v>
      </c>
      <c r="J129" s="9">
        <v>0</v>
      </c>
      <c r="K129" s="9">
        <v>28.82</v>
      </c>
      <c r="N129" s="9">
        <v>0</v>
      </c>
      <c r="Z129" s="9">
        <v>62</v>
      </c>
      <c r="AQ129" s="9" t="s">
        <v>59</v>
      </c>
    </row>
    <row r="130" spans="1:61" ht="16.5">
      <c r="A130" s="9">
        <v>182</v>
      </c>
      <c r="C130" s="74" t="s">
        <v>71</v>
      </c>
      <c r="D130" s="86">
        <f>IFERROR(VLOOKUP(C130, $C$2:D129, 2, FALSE), MAX($D$2:D129)+1)</f>
        <v>4</v>
      </c>
      <c r="E130" s="9">
        <v>78.28</v>
      </c>
      <c r="G130" s="9">
        <v>0</v>
      </c>
      <c r="H130" s="9">
        <v>0</v>
      </c>
      <c r="J130" s="9">
        <v>0</v>
      </c>
      <c r="K130" s="9">
        <v>21.72</v>
      </c>
      <c r="N130" s="9">
        <v>0</v>
      </c>
      <c r="Z130" s="9">
        <v>69</v>
      </c>
      <c r="AQ130" s="9" t="s">
        <v>59</v>
      </c>
    </row>
    <row r="131" spans="1:61" ht="16.5">
      <c r="A131" s="9">
        <v>216</v>
      </c>
      <c r="C131" s="74" t="s">
        <v>71</v>
      </c>
      <c r="D131" s="86">
        <f>IFERROR(VLOOKUP(C131, $C$2:D130, 2, FALSE), MAX($D$2:D130)+1)</f>
        <v>4</v>
      </c>
      <c r="E131" s="9">
        <v>76.849999999999994</v>
      </c>
      <c r="G131" s="9">
        <v>0</v>
      </c>
      <c r="H131" s="9">
        <v>0</v>
      </c>
      <c r="J131" s="9">
        <v>0</v>
      </c>
      <c r="K131" s="9">
        <v>23.15</v>
      </c>
      <c r="N131" s="9">
        <v>0</v>
      </c>
      <c r="Z131" s="9">
        <v>65</v>
      </c>
      <c r="AQ131" s="9" t="s">
        <v>59</v>
      </c>
    </row>
    <row r="132" spans="1:61" ht="16.5">
      <c r="A132" s="66">
        <v>354</v>
      </c>
      <c r="B132" s="66" t="s">
        <v>113</v>
      </c>
      <c r="C132" s="74" t="s">
        <v>84</v>
      </c>
      <c r="D132" s="86">
        <f>IFERROR(VLOOKUP(C132, $C$2:D131, 2, FALSE), MAX($D$2:D131)+1)</f>
        <v>5</v>
      </c>
      <c r="E132" s="67">
        <v>57.230000000000004</v>
      </c>
      <c r="F132" s="67">
        <v>0</v>
      </c>
      <c r="G132" s="67">
        <v>18.310000000000002</v>
      </c>
      <c r="H132" s="67">
        <v>0</v>
      </c>
      <c r="I132" s="67">
        <v>0</v>
      </c>
      <c r="J132" s="67">
        <v>0</v>
      </c>
      <c r="K132" s="67">
        <v>24.45</v>
      </c>
      <c r="L132" s="67">
        <v>0</v>
      </c>
      <c r="M132" s="67">
        <v>0</v>
      </c>
      <c r="N132" s="67">
        <v>0</v>
      </c>
      <c r="O132" s="67">
        <v>1</v>
      </c>
      <c r="P132" s="72" t="s">
        <v>173</v>
      </c>
      <c r="Q132" s="66">
        <v>0</v>
      </c>
      <c r="R132" s="66">
        <v>0</v>
      </c>
      <c r="S132" s="66">
        <v>0</v>
      </c>
      <c r="T132" s="66">
        <v>0</v>
      </c>
      <c r="U132" s="66">
        <v>0</v>
      </c>
      <c r="V132" s="66">
        <v>0</v>
      </c>
      <c r="W132" s="66">
        <v>0</v>
      </c>
      <c r="X132" s="66">
        <v>0</v>
      </c>
      <c r="Y132" s="66">
        <v>0</v>
      </c>
      <c r="Z132" s="67">
        <v>62</v>
      </c>
      <c r="AA132" s="66" t="s">
        <v>113</v>
      </c>
      <c r="AB132" s="66" t="s">
        <v>113</v>
      </c>
      <c r="AC132" s="67">
        <v>810</v>
      </c>
      <c r="AD132" s="66" t="s">
        <v>113</v>
      </c>
      <c r="AE132" s="66" t="s">
        <v>113</v>
      </c>
      <c r="AF132" s="66" t="s">
        <v>113</v>
      </c>
      <c r="AG132" s="66" t="s">
        <v>113</v>
      </c>
      <c r="AH132" s="66" t="s">
        <v>113</v>
      </c>
      <c r="AI132" s="66" t="s">
        <v>113</v>
      </c>
      <c r="AJ132" s="66" t="s">
        <v>113</v>
      </c>
      <c r="AK132" s="66" t="s">
        <v>113</v>
      </c>
      <c r="AL132" s="66" t="s">
        <v>113</v>
      </c>
      <c r="AM132" s="66"/>
      <c r="AN132" s="66" t="s">
        <v>113</v>
      </c>
      <c r="AO132" s="66" t="s">
        <v>114</v>
      </c>
      <c r="AP132" s="67">
        <v>354</v>
      </c>
      <c r="AQ132" s="67" t="s">
        <v>100</v>
      </c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</row>
    <row r="133" spans="1:61" ht="16.5">
      <c r="A133" s="66">
        <v>355</v>
      </c>
      <c r="B133" s="66" t="s">
        <v>113</v>
      </c>
      <c r="C133" s="74" t="s">
        <v>84</v>
      </c>
      <c r="D133" s="86">
        <f>IFERROR(VLOOKUP(C133, $C$2:D132, 2, FALSE), MAX($D$2:D132)+1)</f>
        <v>5</v>
      </c>
      <c r="E133" s="67">
        <v>54.09</v>
      </c>
      <c r="F133" s="67">
        <v>0</v>
      </c>
      <c r="G133" s="67">
        <v>23.9</v>
      </c>
      <c r="H133" s="67">
        <v>0</v>
      </c>
      <c r="I133" s="67">
        <v>0</v>
      </c>
      <c r="J133" s="67">
        <v>0</v>
      </c>
      <c r="K133" s="67">
        <v>22</v>
      </c>
      <c r="L133" s="67">
        <v>0</v>
      </c>
      <c r="M133" s="67">
        <v>0</v>
      </c>
      <c r="N133" s="67">
        <v>0</v>
      </c>
      <c r="O133" s="67">
        <v>1</v>
      </c>
      <c r="P133" s="72" t="s">
        <v>173</v>
      </c>
      <c r="Q133" s="66">
        <v>0</v>
      </c>
      <c r="R133" s="66">
        <v>0</v>
      </c>
      <c r="S133" s="66">
        <v>0</v>
      </c>
      <c r="T133" s="66">
        <v>0</v>
      </c>
      <c r="U133" s="66">
        <v>0</v>
      </c>
      <c r="V133" s="66">
        <v>0</v>
      </c>
      <c r="W133" s="66">
        <v>0</v>
      </c>
      <c r="X133" s="66">
        <v>0</v>
      </c>
      <c r="Y133" s="66">
        <v>0</v>
      </c>
      <c r="Z133" s="67">
        <v>65</v>
      </c>
      <c r="AA133" s="66" t="s">
        <v>113</v>
      </c>
      <c r="AB133" s="66" t="s">
        <v>113</v>
      </c>
      <c r="AC133" s="67">
        <v>782</v>
      </c>
      <c r="AD133" s="66" t="s">
        <v>113</v>
      </c>
      <c r="AE133" s="66" t="s">
        <v>113</v>
      </c>
      <c r="AF133" s="66" t="s">
        <v>113</v>
      </c>
      <c r="AG133" s="66" t="s">
        <v>113</v>
      </c>
      <c r="AH133" s="66" t="s">
        <v>113</v>
      </c>
      <c r="AI133" s="66" t="s">
        <v>113</v>
      </c>
      <c r="AJ133" s="66" t="s">
        <v>113</v>
      </c>
      <c r="AK133" s="66" t="s">
        <v>113</v>
      </c>
      <c r="AL133" s="66" t="s">
        <v>113</v>
      </c>
      <c r="AM133" s="66"/>
      <c r="AN133" s="66" t="s">
        <v>113</v>
      </c>
      <c r="AO133" s="66" t="s">
        <v>114</v>
      </c>
      <c r="AP133" s="67">
        <v>355</v>
      </c>
      <c r="AQ133" s="67" t="s">
        <v>100</v>
      </c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</row>
    <row r="134" spans="1:61" ht="16.5">
      <c r="A134" s="66">
        <v>356</v>
      </c>
      <c r="B134" s="66" t="s">
        <v>113</v>
      </c>
      <c r="C134" s="74" t="s">
        <v>84</v>
      </c>
      <c r="D134" s="86">
        <f>IFERROR(VLOOKUP(C134, $C$2:D133, 2, FALSE), MAX($D$2:D133)+1)</f>
        <v>5</v>
      </c>
      <c r="E134" s="67">
        <v>52.59</v>
      </c>
      <c r="F134" s="67">
        <v>0</v>
      </c>
      <c r="G134" s="67">
        <v>26.69</v>
      </c>
      <c r="H134" s="67">
        <v>0</v>
      </c>
      <c r="I134" s="67">
        <v>0</v>
      </c>
      <c r="J134" s="67">
        <v>0</v>
      </c>
      <c r="K134" s="67">
        <v>20.73</v>
      </c>
      <c r="L134" s="67">
        <v>0</v>
      </c>
      <c r="M134" s="67">
        <v>0</v>
      </c>
      <c r="N134" s="67">
        <v>0</v>
      </c>
      <c r="O134" s="67">
        <v>1</v>
      </c>
      <c r="P134" s="72" t="s">
        <v>173</v>
      </c>
      <c r="Q134" s="66">
        <v>0</v>
      </c>
      <c r="R134" s="66">
        <v>0</v>
      </c>
      <c r="S134" s="66">
        <v>0</v>
      </c>
      <c r="T134" s="66">
        <v>0</v>
      </c>
      <c r="U134" s="66">
        <v>0</v>
      </c>
      <c r="V134" s="66">
        <v>0</v>
      </c>
      <c r="W134" s="66">
        <v>0</v>
      </c>
      <c r="X134" s="66">
        <v>0</v>
      </c>
      <c r="Y134" s="66">
        <v>0</v>
      </c>
      <c r="Z134" s="67">
        <v>64</v>
      </c>
      <c r="AA134" s="66" t="s">
        <v>113</v>
      </c>
      <c r="AB134" s="66" t="s">
        <v>113</v>
      </c>
      <c r="AC134" s="67">
        <v>729</v>
      </c>
      <c r="AD134" s="66" t="s">
        <v>113</v>
      </c>
      <c r="AE134" s="66" t="s">
        <v>113</v>
      </c>
      <c r="AF134" s="66" t="s">
        <v>113</v>
      </c>
      <c r="AG134" s="66" t="s">
        <v>113</v>
      </c>
      <c r="AH134" s="66" t="s">
        <v>113</v>
      </c>
      <c r="AI134" s="66" t="s">
        <v>113</v>
      </c>
      <c r="AJ134" s="66" t="s">
        <v>113</v>
      </c>
      <c r="AK134" s="66" t="s">
        <v>113</v>
      </c>
      <c r="AL134" s="66" t="s">
        <v>113</v>
      </c>
      <c r="AM134" s="66"/>
      <c r="AN134" s="66" t="s">
        <v>113</v>
      </c>
      <c r="AO134" s="66" t="s">
        <v>114</v>
      </c>
      <c r="AP134" s="67">
        <v>356</v>
      </c>
      <c r="AQ134" s="67" t="s">
        <v>100</v>
      </c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</row>
    <row r="135" spans="1:61" ht="16.5">
      <c r="A135" s="66">
        <v>357</v>
      </c>
      <c r="B135" s="66" t="s">
        <v>113</v>
      </c>
      <c r="C135" s="74" t="s">
        <v>84</v>
      </c>
      <c r="D135" s="86">
        <f>IFERROR(VLOOKUP(C135, $C$2:D134, 2, FALSE), MAX($D$2:D134)+1)</f>
        <v>5</v>
      </c>
      <c r="E135" s="67">
        <v>50.27</v>
      </c>
      <c r="F135" s="67">
        <v>0</v>
      </c>
      <c r="G135" s="67">
        <v>31.119999999999997</v>
      </c>
      <c r="H135" s="67">
        <v>0</v>
      </c>
      <c r="I135" s="67">
        <v>0</v>
      </c>
      <c r="J135" s="67">
        <v>0</v>
      </c>
      <c r="K135" s="67">
        <v>18.62</v>
      </c>
      <c r="L135" s="67">
        <v>0</v>
      </c>
      <c r="M135" s="67">
        <v>0</v>
      </c>
      <c r="N135" s="67">
        <v>0</v>
      </c>
      <c r="O135" s="67">
        <v>1</v>
      </c>
      <c r="P135" s="72" t="s">
        <v>173</v>
      </c>
      <c r="Q135" s="66">
        <v>0</v>
      </c>
      <c r="R135" s="66">
        <v>0</v>
      </c>
      <c r="S135" s="66">
        <v>0</v>
      </c>
      <c r="T135" s="66">
        <v>0</v>
      </c>
      <c r="U135" s="66">
        <v>0</v>
      </c>
      <c r="V135" s="66">
        <v>0</v>
      </c>
      <c r="W135" s="66">
        <v>0</v>
      </c>
      <c r="X135" s="66">
        <v>0</v>
      </c>
      <c r="Y135" s="66">
        <v>0</v>
      </c>
      <c r="Z135" s="67">
        <v>63</v>
      </c>
      <c r="AA135" s="66" t="s">
        <v>113</v>
      </c>
      <c r="AB135" s="66" t="s">
        <v>113</v>
      </c>
      <c r="AC135" s="67">
        <v>682</v>
      </c>
      <c r="AD135" s="66" t="s">
        <v>113</v>
      </c>
      <c r="AE135" s="66" t="s">
        <v>113</v>
      </c>
      <c r="AF135" s="66" t="s">
        <v>113</v>
      </c>
      <c r="AG135" s="66" t="s">
        <v>113</v>
      </c>
      <c r="AH135" s="66" t="s">
        <v>113</v>
      </c>
      <c r="AI135" s="66" t="s">
        <v>113</v>
      </c>
      <c r="AJ135" s="66" t="s">
        <v>113</v>
      </c>
      <c r="AK135" s="66" t="s">
        <v>113</v>
      </c>
      <c r="AL135" s="66" t="s">
        <v>113</v>
      </c>
      <c r="AM135" s="66"/>
      <c r="AN135" s="66" t="s">
        <v>113</v>
      </c>
      <c r="AO135" s="66" t="s">
        <v>114</v>
      </c>
      <c r="AP135" s="67">
        <v>357</v>
      </c>
      <c r="AQ135" s="67" t="s">
        <v>100</v>
      </c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</row>
    <row r="136" spans="1:61" ht="16.5">
      <c r="A136" s="13">
        <v>358</v>
      </c>
      <c r="B136" s="13" t="s">
        <v>113</v>
      </c>
      <c r="C136" s="74" t="s">
        <v>84</v>
      </c>
      <c r="D136" s="86">
        <f>IFERROR(VLOOKUP(C136, $C$2:D135, 2, FALSE), MAX($D$2:D135)+1)</f>
        <v>5</v>
      </c>
      <c r="E136" s="14">
        <v>84.16</v>
      </c>
      <c r="F136" s="14">
        <v>0</v>
      </c>
      <c r="G136" s="14">
        <v>7.9200000000000008</v>
      </c>
      <c r="H136" s="14">
        <v>0</v>
      </c>
      <c r="I136" s="14">
        <v>0</v>
      </c>
      <c r="J136" s="14">
        <v>0</v>
      </c>
      <c r="K136" s="14">
        <v>7.9200000000000008</v>
      </c>
      <c r="L136" s="14">
        <v>0</v>
      </c>
      <c r="M136" s="14">
        <v>0</v>
      </c>
      <c r="N136" s="14">
        <v>0</v>
      </c>
      <c r="O136" s="14">
        <v>1</v>
      </c>
      <c r="P136" s="14">
        <v>1</v>
      </c>
      <c r="Q136" s="13" t="s">
        <v>113</v>
      </c>
      <c r="R136" s="13" t="s">
        <v>113</v>
      </c>
      <c r="S136" s="13" t="s">
        <v>113</v>
      </c>
      <c r="T136" s="13" t="s">
        <v>113</v>
      </c>
      <c r="U136" s="13" t="s">
        <v>113</v>
      </c>
      <c r="V136" s="13">
        <v>1</v>
      </c>
      <c r="W136" s="13" t="s">
        <v>113</v>
      </c>
      <c r="X136" s="13" t="s">
        <v>113</v>
      </c>
      <c r="Y136" s="13" t="s">
        <v>113</v>
      </c>
      <c r="Z136" s="14">
        <v>66</v>
      </c>
      <c r="AA136" s="13" t="s">
        <v>113</v>
      </c>
      <c r="AB136" s="13" t="s">
        <v>113</v>
      </c>
      <c r="AC136" s="14">
        <v>501</v>
      </c>
      <c r="AD136" s="13" t="s">
        <v>113</v>
      </c>
      <c r="AE136" s="13" t="s">
        <v>113</v>
      </c>
      <c r="AF136" s="13" t="s">
        <v>113</v>
      </c>
      <c r="AG136" s="13" t="s">
        <v>113</v>
      </c>
      <c r="AH136" s="13" t="s">
        <v>113</v>
      </c>
      <c r="AI136" s="13" t="s">
        <v>113</v>
      </c>
      <c r="AJ136" s="13" t="s">
        <v>113</v>
      </c>
      <c r="AK136" s="13" t="s">
        <v>113</v>
      </c>
      <c r="AL136" s="13" t="s">
        <v>113</v>
      </c>
      <c r="AM136" s="13"/>
      <c r="AN136" s="13" t="s">
        <v>113</v>
      </c>
      <c r="AO136" s="13" t="s">
        <v>114</v>
      </c>
      <c r="AP136" s="14">
        <v>358</v>
      </c>
      <c r="AQ136" s="14" t="s">
        <v>100</v>
      </c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</row>
    <row r="137" spans="1:61" ht="16.5">
      <c r="A137" s="13">
        <v>490</v>
      </c>
      <c r="B137" s="13" t="s">
        <v>113</v>
      </c>
      <c r="C137" s="74" t="s">
        <v>84</v>
      </c>
      <c r="D137" s="86">
        <f>IFERROR(VLOOKUP(C137, $C$2:D136, 2, FALSE), MAX($D$2:D136)+1)</f>
        <v>5</v>
      </c>
      <c r="E137" s="14">
        <v>77</v>
      </c>
      <c r="F137" s="14">
        <v>0</v>
      </c>
      <c r="G137" s="14">
        <v>1</v>
      </c>
      <c r="H137" s="14">
        <v>0</v>
      </c>
      <c r="I137" s="14">
        <v>0</v>
      </c>
      <c r="J137" s="14">
        <v>0</v>
      </c>
      <c r="K137" s="14">
        <v>22</v>
      </c>
      <c r="L137" s="14">
        <v>0</v>
      </c>
      <c r="M137" s="14">
        <v>0</v>
      </c>
      <c r="N137" s="14">
        <v>0</v>
      </c>
      <c r="O137" s="14">
        <v>1</v>
      </c>
      <c r="P137" s="14">
        <v>1</v>
      </c>
      <c r="Q137" s="13" t="s">
        <v>113</v>
      </c>
      <c r="R137" s="13" t="s">
        <v>113</v>
      </c>
      <c r="S137" s="13" t="s">
        <v>113</v>
      </c>
      <c r="T137" s="13" t="s">
        <v>113</v>
      </c>
      <c r="U137" s="13" t="s">
        <v>113</v>
      </c>
      <c r="V137" s="14">
        <v>1</v>
      </c>
      <c r="W137" s="13" t="s">
        <v>113</v>
      </c>
      <c r="X137" s="13" t="s">
        <v>113</v>
      </c>
      <c r="Y137" s="13" t="s">
        <v>113</v>
      </c>
      <c r="Z137" s="14">
        <v>68</v>
      </c>
      <c r="AA137" s="13" t="s">
        <v>113</v>
      </c>
      <c r="AB137" s="13" t="s">
        <v>113</v>
      </c>
      <c r="AC137" s="14">
        <v>370</v>
      </c>
      <c r="AD137" s="13" t="s">
        <v>113</v>
      </c>
      <c r="AE137" s="13" t="s">
        <v>113</v>
      </c>
      <c r="AF137" s="13" t="s">
        <v>113</v>
      </c>
      <c r="AG137" s="13" t="s">
        <v>113</v>
      </c>
      <c r="AH137" s="13" t="s">
        <v>113</v>
      </c>
      <c r="AI137" s="13" t="s">
        <v>113</v>
      </c>
      <c r="AJ137" s="13" t="s">
        <v>113</v>
      </c>
      <c r="AK137" s="13" t="s">
        <v>113</v>
      </c>
      <c r="AL137" s="13" t="s">
        <v>113</v>
      </c>
      <c r="AM137" s="13"/>
      <c r="AN137" s="13" t="s">
        <v>113</v>
      </c>
      <c r="AO137" s="13" t="s">
        <v>114</v>
      </c>
      <c r="AP137" s="14">
        <v>490</v>
      </c>
      <c r="AQ137" s="14" t="s">
        <v>100</v>
      </c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 spans="1:61" ht="16.5">
      <c r="A138" s="13">
        <v>496</v>
      </c>
      <c r="B138" s="13" t="s">
        <v>113</v>
      </c>
      <c r="C138" s="74" t="s">
        <v>84</v>
      </c>
      <c r="D138" s="86">
        <f>IFERROR(VLOOKUP(C138, $C$2:D137, 2, FALSE), MAX($D$2:D137)+1)</f>
        <v>5</v>
      </c>
      <c r="E138" s="14">
        <v>74</v>
      </c>
      <c r="F138" s="14">
        <v>0</v>
      </c>
      <c r="G138" s="14">
        <v>2</v>
      </c>
      <c r="H138" s="14">
        <v>0</v>
      </c>
      <c r="I138" s="14">
        <v>0</v>
      </c>
      <c r="J138" s="14">
        <v>0</v>
      </c>
      <c r="K138" s="14">
        <v>24</v>
      </c>
      <c r="L138" s="14">
        <v>0</v>
      </c>
      <c r="M138" s="14">
        <v>0</v>
      </c>
      <c r="N138" s="14">
        <v>0</v>
      </c>
      <c r="O138" s="14">
        <v>1</v>
      </c>
      <c r="P138" s="14">
        <v>1</v>
      </c>
      <c r="Q138" s="13" t="s">
        <v>113</v>
      </c>
      <c r="R138" s="13" t="s">
        <v>113</v>
      </c>
      <c r="S138" s="13" t="s">
        <v>113</v>
      </c>
      <c r="T138" s="13" t="s">
        <v>113</v>
      </c>
      <c r="U138" s="13" t="s">
        <v>113</v>
      </c>
      <c r="V138" s="14">
        <v>1</v>
      </c>
      <c r="W138" s="13" t="s">
        <v>113</v>
      </c>
      <c r="X138" s="13" t="s">
        <v>113</v>
      </c>
      <c r="Y138" s="13" t="s">
        <v>113</v>
      </c>
      <c r="Z138" s="14">
        <v>59</v>
      </c>
      <c r="AA138" s="13" t="s">
        <v>113</v>
      </c>
      <c r="AB138" s="13" t="s">
        <v>113</v>
      </c>
      <c r="AC138" s="14">
        <v>249</v>
      </c>
      <c r="AD138" s="13" t="s">
        <v>113</v>
      </c>
      <c r="AE138" s="13" t="s">
        <v>113</v>
      </c>
      <c r="AF138" s="13" t="s">
        <v>113</v>
      </c>
      <c r="AG138" s="13" t="s">
        <v>113</v>
      </c>
      <c r="AH138" s="13" t="s">
        <v>113</v>
      </c>
      <c r="AI138" s="13" t="s">
        <v>113</v>
      </c>
      <c r="AJ138" s="13" t="s">
        <v>113</v>
      </c>
      <c r="AK138" s="13" t="s">
        <v>113</v>
      </c>
      <c r="AL138" s="13" t="s">
        <v>113</v>
      </c>
      <c r="AM138" s="13"/>
      <c r="AN138" s="13" t="s">
        <v>113</v>
      </c>
      <c r="AO138" s="13" t="s">
        <v>114</v>
      </c>
      <c r="AP138" s="14">
        <v>496</v>
      </c>
      <c r="AQ138" s="14" t="s">
        <v>100</v>
      </c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</row>
    <row r="139" spans="1:61" ht="16.5">
      <c r="A139" s="13">
        <v>497</v>
      </c>
      <c r="B139" s="13" t="s">
        <v>113</v>
      </c>
      <c r="C139" s="74" t="s">
        <v>84</v>
      </c>
      <c r="D139" s="86">
        <f>IFERROR(VLOOKUP(C139, $C$2:D138, 2, FALSE), MAX($D$2:D138)+1)</f>
        <v>5</v>
      </c>
      <c r="E139" s="14">
        <v>72</v>
      </c>
      <c r="F139" s="14">
        <v>0</v>
      </c>
      <c r="G139" s="14">
        <v>4</v>
      </c>
      <c r="H139" s="14">
        <v>0</v>
      </c>
      <c r="I139" s="14">
        <v>0</v>
      </c>
      <c r="J139" s="14">
        <v>0</v>
      </c>
      <c r="K139" s="14">
        <v>24</v>
      </c>
      <c r="L139" s="14">
        <v>0</v>
      </c>
      <c r="M139" s="14">
        <v>0</v>
      </c>
      <c r="N139" s="14">
        <v>0</v>
      </c>
      <c r="O139" s="14">
        <v>1</v>
      </c>
      <c r="P139" s="14">
        <v>1</v>
      </c>
      <c r="Q139" s="13" t="s">
        <v>113</v>
      </c>
      <c r="R139" s="13" t="s">
        <v>113</v>
      </c>
      <c r="S139" s="13" t="s">
        <v>113</v>
      </c>
      <c r="T139" s="13" t="s">
        <v>113</v>
      </c>
      <c r="U139" s="13" t="s">
        <v>113</v>
      </c>
      <c r="V139" s="14">
        <v>1</v>
      </c>
      <c r="W139" s="13" t="s">
        <v>113</v>
      </c>
      <c r="X139" s="13" t="s">
        <v>113</v>
      </c>
      <c r="Y139" s="13" t="s">
        <v>113</v>
      </c>
      <c r="Z139" s="14">
        <v>60</v>
      </c>
      <c r="AA139" s="13" t="s">
        <v>113</v>
      </c>
      <c r="AB139" s="13" t="s">
        <v>113</v>
      </c>
      <c r="AC139" s="14">
        <v>417</v>
      </c>
      <c r="AD139" s="13" t="s">
        <v>113</v>
      </c>
      <c r="AE139" s="13" t="s">
        <v>113</v>
      </c>
      <c r="AF139" s="13" t="s">
        <v>113</v>
      </c>
      <c r="AG139" s="13" t="s">
        <v>113</v>
      </c>
      <c r="AH139" s="13" t="s">
        <v>113</v>
      </c>
      <c r="AI139" s="13" t="s">
        <v>113</v>
      </c>
      <c r="AJ139" s="13" t="s">
        <v>113</v>
      </c>
      <c r="AK139" s="13" t="s">
        <v>113</v>
      </c>
      <c r="AL139" s="13" t="s">
        <v>113</v>
      </c>
      <c r="AM139" s="13"/>
      <c r="AN139" s="13" t="s">
        <v>113</v>
      </c>
      <c r="AO139" s="13" t="s">
        <v>114</v>
      </c>
      <c r="AP139" s="14">
        <v>497</v>
      </c>
      <c r="AQ139" s="14" t="s">
        <v>100</v>
      </c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 spans="1:61" ht="16.5">
      <c r="A140" s="9">
        <v>16</v>
      </c>
      <c r="C140" s="74" t="s">
        <v>84</v>
      </c>
      <c r="D140" s="86">
        <f>IFERROR(VLOOKUP(C140, $C$2:D139, 2, FALSE), MAX($D$2:D139)+1)</f>
        <v>5</v>
      </c>
      <c r="E140" s="9">
        <v>76.319999999999993</v>
      </c>
      <c r="G140" s="9">
        <v>4.8099999999999996</v>
      </c>
      <c r="H140" s="9">
        <v>0</v>
      </c>
      <c r="J140" s="9">
        <v>0</v>
      </c>
      <c r="K140" s="9">
        <v>18.87</v>
      </c>
      <c r="N140" s="9">
        <v>0</v>
      </c>
      <c r="Z140" s="9">
        <v>65</v>
      </c>
      <c r="AQ140" s="9" t="s">
        <v>59</v>
      </c>
    </row>
    <row r="141" spans="1:61" ht="16.5">
      <c r="A141" s="9">
        <v>60</v>
      </c>
      <c r="C141" s="74" t="s">
        <v>84</v>
      </c>
      <c r="D141" s="86">
        <f>IFERROR(VLOOKUP(C141, $C$2:D140, 2, FALSE), MAX($D$2:D140)+1)</f>
        <v>5</v>
      </c>
      <c r="E141" s="9">
        <v>68</v>
      </c>
      <c r="G141" s="9">
        <v>12</v>
      </c>
      <c r="H141" s="9">
        <v>0</v>
      </c>
      <c r="J141" s="9">
        <v>0</v>
      </c>
      <c r="K141" s="9">
        <v>20</v>
      </c>
      <c r="N141" s="9">
        <v>0</v>
      </c>
      <c r="Z141" s="9">
        <v>54.8</v>
      </c>
      <c r="AQ141" s="9" t="s">
        <v>59</v>
      </c>
    </row>
    <row r="142" spans="1:61" ht="16.5">
      <c r="A142" s="9">
        <v>61</v>
      </c>
      <c r="C142" s="74" t="s">
        <v>84</v>
      </c>
      <c r="D142" s="86">
        <f>IFERROR(VLOOKUP(C142, $C$2:D141, 2, FALSE), MAX($D$2:D141)+1)</f>
        <v>5</v>
      </c>
      <c r="E142" s="9">
        <v>62</v>
      </c>
      <c r="G142" s="9">
        <v>21</v>
      </c>
      <c r="H142" s="9">
        <v>0</v>
      </c>
      <c r="J142" s="9">
        <v>0</v>
      </c>
      <c r="K142" s="9">
        <v>17</v>
      </c>
      <c r="N142" s="9">
        <v>0</v>
      </c>
      <c r="Z142" s="9">
        <v>52.4</v>
      </c>
      <c r="AQ142" s="9" t="s">
        <v>59</v>
      </c>
    </row>
    <row r="143" spans="1:61" ht="16.5">
      <c r="A143" s="9">
        <v>62</v>
      </c>
      <c r="C143" s="74" t="s">
        <v>84</v>
      </c>
      <c r="D143" s="86">
        <f>IFERROR(VLOOKUP(C143, $C$2:D142, 2, FALSE), MAX($D$2:D142)+1)</f>
        <v>5</v>
      </c>
      <c r="E143" s="9">
        <v>51</v>
      </c>
      <c r="G143" s="9">
        <v>38</v>
      </c>
      <c r="H143" s="9">
        <v>0</v>
      </c>
      <c r="J143" s="9">
        <v>0</v>
      </c>
      <c r="K143" s="9">
        <v>11</v>
      </c>
      <c r="N143" s="9">
        <v>0</v>
      </c>
      <c r="Z143" s="9">
        <v>48.8</v>
      </c>
      <c r="AQ143" s="9" t="s">
        <v>59</v>
      </c>
    </row>
    <row r="144" spans="1:61" ht="16.5">
      <c r="A144" s="9">
        <v>63</v>
      </c>
      <c r="C144" s="74" t="s">
        <v>84</v>
      </c>
      <c r="D144" s="86">
        <f>IFERROR(VLOOKUP(C144, $C$2:D143, 2, FALSE), MAX($D$2:D143)+1)</f>
        <v>5</v>
      </c>
      <c r="E144" s="9">
        <v>41</v>
      </c>
      <c r="G144" s="9">
        <v>53</v>
      </c>
      <c r="H144" s="9">
        <v>0</v>
      </c>
      <c r="J144" s="9">
        <v>0</v>
      </c>
      <c r="K144" s="9">
        <v>6</v>
      </c>
      <c r="N144" s="9">
        <v>0</v>
      </c>
      <c r="Z144" s="9">
        <v>48</v>
      </c>
      <c r="AQ144" s="9" t="s">
        <v>59</v>
      </c>
    </row>
    <row r="145" spans="1:43" ht="16.5">
      <c r="A145" s="9">
        <v>74</v>
      </c>
      <c r="C145" s="74" t="s">
        <v>84</v>
      </c>
      <c r="D145" s="86">
        <f>IFERROR(VLOOKUP(C145, $C$2:D144, 2, FALSE), MAX($D$2:D144)+1)</f>
        <v>5</v>
      </c>
      <c r="E145" s="9">
        <v>84.55</v>
      </c>
      <c r="G145" s="9">
        <v>7.79</v>
      </c>
      <c r="H145" s="9">
        <v>0</v>
      </c>
      <c r="J145" s="9">
        <v>0</v>
      </c>
      <c r="K145" s="9">
        <v>7.66</v>
      </c>
      <c r="N145" s="9">
        <v>0</v>
      </c>
      <c r="Z145" s="9">
        <v>91.2</v>
      </c>
      <c r="AQ145" s="9" t="s">
        <v>59</v>
      </c>
    </row>
    <row r="146" spans="1:43" ht="16.5">
      <c r="A146" s="9">
        <v>112</v>
      </c>
      <c r="C146" s="74" t="s">
        <v>84</v>
      </c>
      <c r="D146" s="86">
        <f>IFERROR(VLOOKUP(C146, $C$2:D145, 2, FALSE), MAX($D$2:D145)+1)</f>
        <v>5</v>
      </c>
      <c r="E146" s="9">
        <v>52.8</v>
      </c>
      <c r="G146" s="9">
        <v>29.5</v>
      </c>
      <c r="H146" s="9">
        <v>0</v>
      </c>
      <c r="J146" s="9">
        <v>0</v>
      </c>
      <c r="K146" s="9">
        <v>17.7</v>
      </c>
      <c r="N146" s="9">
        <v>0</v>
      </c>
      <c r="Z146" s="9">
        <v>68.2</v>
      </c>
      <c r="AQ146" s="9" t="s">
        <v>59</v>
      </c>
    </row>
    <row r="147" spans="1:43" ht="16.5">
      <c r="A147" s="9">
        <v>113</v>
      </c>
      <c r="C147" s="74" t="s">
        <v>84</v>
      </c>
      <c r="D147" s="86">
        <f>IFERROR(VLOOKUP(C147, $C$2:D146, 2, FALSE), MAX($D$2:D146)+1)</f>
        <v>5</v>
      </c>
      <c r="E147" s="9">
        <v>54</v>
      </c>
      <c r="G147" s="9">
        <v>20</v>
      </c>
      <c r="H147" s="9">
        <v>0</v>
      </c>
      <c r="J147" s="9">
        <v>0</v>
      </c>
      <c r="K147" s="9">
        <v>26</v>
      </c>
      <c r="N147" s="9">
        <v>0</v>
      </c>
      <c r="Z147" s="9">
        <v>59.07</v>
      </c>
      <c r="AQ147" s="9" t="s">
        <v>59</v>
      </c>
    </row>
    <row r="148" spans="1:43" ht="16.5">
      <c r="A148" s="9">
        <v>114</v>
      </c>
      <c r="C148" s="74" t="s">
        <v>84</v>
      </c>
      <c r="D148" s="86">
        <f>IFERROR(VLOOKUP(C148, $C$2:D147, 2, FALSE), MAX($D$2:D147)+1)</f>
        <v>5</v>
      </c>
      <c r="E148" s="9">
        <v>53.1</v>
      </c>
      <c r="G148" s="9">
        <v>10.4</v>
      </c>
      <c r="H148" s="9">
        <v>0</v>
      </c>
      <c r="J148" s="9">
        <v>0</v>
      </c>
      <c r="K148" s="9">
        <v>36.5</v>
      </c>
      <c r="N148" s="9">
        <v>0</v>
      </c>
      <c r="Z148" s="9">
        <v>92.18</v>
      </c>
      <c r="AQ148" s="9" t="s">
        <v>59</v>
      </c>
    </row>
    <row r="149" spans="1:43" ht="16.5">
      <c r="A149" s="9">
        <v>115</v>
      </c>
      <c r="C149" s="74" t="s">
        <v>84</v>
      </c>
      <c r="D149" s="86">
        <f>IFERROR(VLOOKUP(C149, $C$2:D148, 2, FALSE), MAX($D$2:D148)+1)</f>
        <v>5</v>
      </c>
      <c r="E149" s="9">
        <v>84.09</v>
      </c>
      <c r="G149" s="9">
        <v>8.1199999999999992</v>
      </c>
      <c r="H149" s="9">
        <v>0</v>
      </c>
      <c r="J149" s="9">
        <v>0</v>
      </c>
      <c r="K149" s="9">
        <v>7.79</v>
      </c>
      <c r="N149" s="9">
        <v>0</v>
      </c>
      <c r="Z149" s="9">
        <v>80</v>
      </c>
      <c r="AQ149" s="9" t="s">
        <v>59</v>
      </c>
    </row>
    <row r="150" spans="1:43" ht="16.5">
      <c r="A150" s="9">
        <v>116</v>
      </c>
      <c r="C150" s="74" t="s">
        <v>84</v>
      </c>
      <c r="D150" s="86">
        <f>IFERROR(VLOOKUP(C150, $C$2:D149, 2, FALSE), MAX($D$2:D149)+1)</f>
        <v>5</v>
      </c>
      <c r="E150" s="9">
        <v>67.53</v>
      </c>
      <c r="G150" s="9">
        <v>4.8600000000000003</v>
      </c>
      <c r="H150" s="9">
        <v>0</v>
      </c>
      <c r="J150" s="9">
        <v>0</v>
      </c>
      <c r="K150" s="9">
        <v>27.61</v>
      </c>
      <c r="N150" s="9">
        <v>0</v>
      </c>
      <c r="Z150" s="9">
        <v>65</v>
      </c>
      <c r="AQ150" s="9" t="s">
        <v>59</v>
      </c>
    </row>
    <row r="151" spans="1:43" ht="16.5">
      <c r="A151" s="9">
        <v>117</v>
      </c>
      <c r="C151" s="74" t="s">
        <v>84</v>
      </c>
      <c r="D151" s="86">
        <f>IFERROR(VLOOKUP(C151, $C$2:D150, 2, FALSE), MAX($D$2:D150)+1)</f>
        <v>5</v>
      </c>
      <c r="E151" s="9">
        <v>72</v>
      </c>
      <c r="G151" s="9">
        <v>3</v>
      </c>
      <c r="H151" s="9">
        <v>0</v>
      </c>
      <c r="J151" s="9">
        <v>0</v>
      </c>
      <c r="K151" s="9">
        <v>25</v>
      </c>
      <c r="N151" s="9">
        <v>0</v>
      </c>
      <c r="Z151" s="9">
        <v>66</v>
      </c>
      <c r="AQ151" s="9" t="s">
        <v>59</v>
      </c>
    </row>
    <row r="152" spans="1:43" ht="16.5">
      <c r="A152" s="9">
        <v>118</v>
      </c>
      <c r="C152" s="74" t="s">
        <v>84</v>
      </c>
      <c r="D152" s="86">
        <f>IFERROR(VLOOKUP(C152, $C$2:D151, 2, FALSE), MAX($D$2:D151)+1)</f>
        <v>5</v>
      </c>
      <c r="E152" s="9">
        <v>71</v>
      </c>
      <c r="G152" s="9">
        <v>4</v>
      </c>
      <c r="H152" s="9">
        <v>0</v>
      </c>
      <c r="J152" s="9">
        <v>0</v>
      </c>
      <c r="K152" s="9">
        <v>25</v>
      </c>
      <c r="N152" s="9">
        <v>0</v>
      </c>
      <c r="Z152" s="9">
        <v>69</v>
      </c>
      <c r="AQ152" s="9" t="s">
        <v>59</v>
      </c>
    </row>
    <row r="153" spans="1:43" ht="16.5">
      <c r="A153" s="9">
        <v>119</v>
      </c>
      <c r="C153" s="74" t="s">
        <v>84</v>
      </c>
      <c r="D153" s="86">
        <f>IFERROR(VLOOKUP(C153, $C$2:D152, 2, FALSE), MAX($D$2:D152)+1)</f>
        <v>5</v>
      </c>
      <c r="E153" s="9">
        <v>69</v>
      </c>
      <c r="G153" s="9">
        <v>6</v>
      </c>
      <c r="H153" s="9">
        <v>0</v>
      </c>
      <c r="J153" s="9">
        <v>0</v>
      </c>
      <c r="K153" s="9">
        <v>25</v>
      </c>
      <c r="N153" s="9">
        <v>0</v>
      </c>
      <c r="Z153" s="9">
        <v>68</v>
      </c>
      <c r="AQ153" s="9" t="s">
        <v>59</v>
      </c>
    </row>
    <row r="154" spans="1:43" ht="16.5">
      <c r="A154" s="9">
        <v>120</v>
      </c>
      <c r="C154" s="74" t="s">
        <v>84</v>
      </c>
      <c r="D154" s="86">
        <f>IFERROR(VLOOKUP(C154, $C$2:D153, 2, FALSE), MAX($D$2:D153)+1)</f>
        <v>5</v>
      </c>
      <c r="E154" s="9">
        <v>57.23</v>
      </c>
      <c r="G154" s="9">
        <v>18.32</v>
      </c>
      <c r="H154" s="9">
        <v>0</v>
      </c>
      <c r="J154" s="9">
        <v>0</v>
      </c>
      <c r="K154" s="9">
        <v>24.45</v>
      </c>
      <c r="N154" s="9">
        <v>0</v>
      </c>
      <c r="Z154" s="9">
        <v>62</v>
      </c>
      <c r="AQ154" s="9" t="s">
        <v>59</v>
      </c>
    </row>
    <row r="155" spans="1:43" ht="16.5">
      <c r="A155" s="9">
        <v>122</v>
      </c>
      <c r="C155" s="74" t="s">
        <v>84</v>
      </c>
      <c r="D155" s="86">
        <f>IFERROR(VLOOKUP(C155, $C$2:D154, 2, FALSE), MAX($D$2:D154)+1)</f>
        <v>5</v>
      </c>
      <c r="E155" s="9">
        <v>75</v>
      </c>
      <c r="G155" s="9">
        <v>5</v>
      </c>
      <c r="H155" s="9">
        <v>0</v>
      </c>
      <c r="J155" s="9">
        <v>0</v>
      </c>
      <c r="K155" s="9">
        <v>20</v>
      </c>
      <c r="N155" s="9">
        <v>0</v>
      </c>
      <c r="Z155" s="9">
        <v>51.3</v>
      </c>
      <c r="AQ155" s="9" t="s">
        <v>59</v>
      </c>
    </row>
    <row r="156" spans="1:43" ht="16.5">
      <c r="A156" s="9">
        <v>123</v>
      </c>
      <c r="C156" s="74" t="s">
        <v>84</v>
      </c>
      <c r="D156" s="86">
        <f>IFERROR(VLOOKUP(C156, $C$2:D155, 2, FALSE), MAX($D$2:D155)+1)</f>
        <v>5</v>
      </c>
      <c r="E156" s="9">
        <v>60</v>
      </c>
      <c r="G156" s="9">
        <v>20</v>
      </c>
      <c r="H156" s="9">
        <v>0</v>
      </c>
      <c r="J156" s="9">
        <v>0</v>
      </c>
      <c r="K156" s="9">
        <v>20</v>
      </c>
      <c r="N156" s="9">
        <v>0</v>
      </c>
      <c r="Z156" s="9">
        <v>47.3</v>
      </c>
      <c r="AQ156" s="9" t="s">
        <v>59</v>
      </c>
    </row>
    <row r="157" spans="1:43" ht="16.5">
      <c r="A157" s="9">
        <v>124</v>
      </c>
      <c r="C157" s="74" t="s">
        <v>84</v>
      </c>
      <c r="D157" s="86">
        <f>IFERROR(VLOOKUP(C157, $C$2:D156, 2, FALSE), MAX($D$2:D156)+1)</f>
        <v>5</v>
      </c>
      <c r="E157" s="9">
        <v>50</v>
      </c>
      <c r="G157" s="9">
        <v>30</v>
      </c>
      <c r="H157" s="9">
        <v>0</v>
      </c>
      <c r="J157" s="9">
        <v>0</v>
      </c>
      <c r="K157" s="9">
        <v>20</v>
      </c>
      <c r="N157" s="9">
        <v>0</v>
      </c>
      <c r="Z157" s="9">
        <v>52.7</v>
      </c>
      <c r="AQ157" s="9" t="s">
        <v>59</v>
      </c>
    </row>
    <row r="158" spans="1:43" ht="16.5">
      <c r="A158" s="9">
        <v>125</v>
      </c>
      <c r="C158" s="74" t="s">
        <v>84</v>
      </c>
      <c r="D158" s="86">
        <f>IFERROR(VLOOKUP(C158, $C$2:D157, 2, FALSE), MAX($D$2:D157)+1)</f>
        <v>5</v>
      </c>
      <c r="E158" s="9">
        <v>40</v>
      </c>
      <c r="G158" s="9">
        <v>40</v>
      </c>
      <c r="H158" s="9">
        <v>0</v>
      </c>
      <c r="J158" s="9">
        <v>0</v>
      </c>
      <c r="K158" s="9">
        <v>20</v>
      </c>
      <c r="N158" s="9">
        <v>0</v>
      </c>
      <c r="Z158" s="9">
        <v>50.5</v>
      </c>
      <c r="AQ158" s="9" t="s">
        <v>59</v>
      </c>
    </row>
    <row r="159" spans="1:43" ht="16.5">
      <c r="A159" s="9">
        <v>128</v>
      </c>
      <c r="C159" s="74" t="s">
        <v>84</v>
      </c>
      <c r="D159" s="86">
        <f>IFERROR(VLOOKUP(C159, $C$2:D158, 2, FALSE), MAX($D$2:D158)+1)</f>
        <v>5</v>
      </c>
      <c r="E159" s="9">
        <v>21.12</v>
      </c>
      <c r="G159" s="9">
        <v>39.08</v>
      </c>
      <c r="H159" s="9">
        <v>0</v>
      </c>
      <c r="J159" s="9">
        <v>0</v>
      </c>
      <c r="K159" s="9">
        <v>39.799999999999997</v>
      </c>
      <c r="N159" s="9">
        <v>0</v>
      </c>
      <c r="Z159" s="9">
        <v>78</v>
      </c>
      <c r="AQ159" s="9" t="s">
        <v>59</v>
      </c>
    </row>
    <row r="160" spans="1:43" ht="16.5">
      <c r="A160" s="9">
        <v>129</v>
      </c>
      <c r="C160" s="74" t="s">
        <v>84</v>
      </c>
      <c r="D160" s="86">
        <f>IFERROR(VLOOKUP(C160, $C$2:D159, 2, FALSE), MAX($D$2:D159)+1)</f>
        <v>5</v>
      </c>
      <c r="E160" s="9">
        <v>11.5</v>
      </c>
      <c r="G160" s="9">
        <v>43.85</v>
      </c>
      <c r="H160" s="9">
        <v>0</v>
      </c>
      <c r="J160" s="9">
        <v>0</v>
      </c>
      <c r="K160" s="9">
        <v>44.65</v>
      </c>
      <c r="N160" s="9">
        <v>0</v>
      </c>
      <c r="Z160" s="9">
        <v>75</v>
      </c>
      <c r="AQ160" s="9" t="s">
        <v>59</v>
      </c>
    </row>
    <row r="161" spans="1:43" ht="16.5">
      <c r="A161" s="9">
        <v>136</v>
      </c>
      <c r="C161" s="74" t="s">
        <v>84</v>
      </c>
      <c r="D161" s="86">
        <f>IFERROR(VLOOKUP(C161, $C$2:D160, 2, FALSE), MAX($D$2:D160)+1)</f>
        <v>5</v>
      </c>
      <c r="E161" s="9">
        <v>57.24</v>
      </c>
      <c r="G161" s="9">
        <v>18.309999999999999</v>
      </c>
      <c r="H161" s="9">
        <v>0</v>
      </c>
      <c r="J161" s="9">
        <v>0</v>
      </c>
      <c r="K161" s="9">
        <v>24.45</v>
      </c>
      <c r="N161" s="9">
        <v>0</v>
      </c>
      <c r="Z161" s="9">
        <v>62</v>
      </c>
      <c r="AQ161" s="9" t="s">
        <v>59</v>
      </c>
    </row>
    <row r="162" spans="1:43" ht="16.5">
      <c r="A162" s="9">
        <v>137</v>
      </c>
      <c r="C162" s="74" t="s">
        <v>84</v>
      </c>
      <c r="D162" s="86">
        <f>IFERROR(VLOOKUP(C162, $C$2:D161, 2, FALSE), MAX($D$2:D161)+1)</f>
        <v>5</v>
      </c>
      <c r="E162" s="9">
        <v>54.1</v>
      </c>
      <c r="G162" s="9">
        <v>23.9</v>
      </c>
      <c r="H162" s="9">
        <v>0</v>
      </c>
      <c r="J162" s="9">
        <v>0</v>
      </c>
      <c r="K162" s="9">
        <v>22</v>
      </c>
      <c r="N162" s="9">
        <v>0</v>
      </c>
      <c r="Z162" s="9">
        <v>65</v>
      </c>
      <c r="AQ162" s="9" t="s">
        <v>59</v>
      </c>
    </row>
    <row r="163" spans="1:43" ht="16.5">
      <c r="A163" s="9">
        <v>138</v>
      </c>
      <c r="C163" s="74" t="s">
        <v>84</v>
      </c>
      <c r="D163" s="86">
        <f>IFERROR(VLOOKUP(C163, $C$2:D162, 2, FALSE), MAX($D$2:D162)+1)</f>
        <v>5</v>
      </c>
      <c r="E163" s="9">
        <v>52.58</v>
      </c>
      <c r="G163" s="9">
        <v>26.69</v>
      </c>
      <c r="H163" s="9">
        <v>0</v>
      </c>
      <c r="J163" s="9">
        <v>0</v>
      </c>
      <c r="K163" s="9">
        <v>20.73</v>
      </c>
      <c r="N163" s="9">
        <v>0</v>
      </c>
      <c r="Z163" s="9">
        <v>64</v>
      </c>
      <c r="AQ163" s="9" t="s">
        <v>59</v>
      </c>
    </row>
    <row r="164" spans="1:43" ht="16.5">
      <c r="A164" s="9">
        <v>139</v>
      </c>
      <c r="C164" s="74" t="s">
        <v>84</v>
      </c>
      <c r="D164" s="86">
        <f>IFERROR(VLOOKUP(C164, $C$2:D163, 2, FALSE), MAX($D$2:D163)+1)</f>
        <v>5</v>
      </c>
      <c r="E164" s="9">
        <v>50.26</v>
      </c>
      <c r="G164" s="9">
        <v>31.12</v>
      </c>
      <c r="H164" s="9">
        <v>0</v>
      </c>
      <c r="J164" s="9">
        <v>0</v>
      </c>
      <c r="K164" s="9">
        <v>18.62</v>
      </c>
      <c r="N164" s="9">
        <v>0</v>
      </c>
      <c r="Z164" s="9">
        <v>63</v>
      </c>
      <c r="AQ164" s="9" t="s">
        <v>59</v>
      </c>
    </row>
    <row r="165" spans="1:43" ht="16.5">
      <c r="A165" s="9">
        <v>141</v>
      </c>
      <c r="C165" s="74" t="s">
        <v>84</v>
      </c>
      <c r="D165" s="86">
        <f>IFERROR(VLOOKUP(C165, $C$2:D164, 2, FALSE), MAX($D$2:D164)+1)</f>
        <v>5</v>
      </c>
      <c r="E165" s="9">
        <v>38</v>
      </c>
      <c r="G165" s="9">
        <v>32</v>
      </c>
      <c r="H165" s="9">
        <v>0</v>
      </c>
      <c r="J165" s="9">
        <v>0</v>
      </c>
      <c r="K165" s="9">
        <v>30</v>
      </c>
      <c r="N165" s="9">
        <v>0</v>
      </c>
      <c r="Z165" s="9">
        <v>65</v>
      </c>
      <c r="AQ165" s="9" t="s">
        <v>59</v>
      </c>
    </row>
    <row r="166" spans="1:43" ht="16.5">
      <c r="A166" s="9">
        <v>142</v>
      </c>
      <c r="C166" s="74" t="s">
        <v>84</v>
      </c>
      <c r="D166" s="86">
        <f>IFERROR(VLOOKUP(C166, $C$2:D165, 2, FALSE), MAX($D$2:D165)+1)</f>
        <v>5</v>
      </c>
      <c r="E166" s="9">
        <v>41</v>
      </c>
      <c r="G166" s="9">
        <v>25</v>
      </c>
      <c r="H166" s="9">
        <v>0</v>
      </c>
      <c r="J166" s="9">
        <v>0</v>
      </c>
      <c r="K166" s="9">
        <v>34</v>
      </c>
      <c r="N166" s="9">
        <v>0</v>
      </c>
      <c r="Z166" s="9">
        <v>62</v>
      </c>
      <c r="AQ166" s="9" t="s">
        <v>59</v>
      </c>
    </row>
    <row r="167" spans="1:43" ht="16.5">
      <c r="A167" s="9">
        <v>143</v>
      </c>
      <c r="C167" s="74" t="s">
        <v>84</v>
      </c>
      <c r="D167" s="86">
        <f>IFERROR(VLOOKUP(C167, $C$2:D166, 2, FALSE), MAX($D$2:D166)+1)</f>
        <v>5</v>
      </c>
      <c r="E167" s="9">
        <v>55</v>
      </c>
      <c r="G167" s="9">
        <v>10</v>
      </c>
      <c r="H167" s="9">
        <v>0</v>
      </c>
      <c r="J167" s="9">
        <v>0</v>
      </c>
      <c r="K167" s="9">
        <v>35</v>
      </c>
      <c r="N167" s="9">
        <v>0</v>
      </c>
      <c r="Z167" s="9">
        <v>58.8</v>
      </c>
      <c r="AQ167" s="9" t="s">
        <v>59</v>
      </c>
    </row>
    <row r="168" spans="1:43" ht="16.5">
      <c r="A168" s="9">
        <v>144</v>
      </c>
      <c r="C168" s="74" t="s">
        <v>84</v>
      </c>
      <c r="D168" s="86">
        <f>IFERROR(VLOOKUP(C168, $C$2:D167, 2, FALSE), MAX($D$2:D167)+1)</f>
        <v>5</v>
      </c>
      <c r="E168" s="9">
        <v>60</v>
      </c>
      <c r="G168" s="9">
        <v>5</v>
      </c>
      <c r="H168" s="9">
        <v>0</v>
      </c>
      <c r="J168" s="9">
        <v>0</v>
      </c>
      <c r="K168" s="9">
        <v>35</v>
      </c>
      <c r="N168" s="9">
        <v>0</v>
      </c>
      <c r="Z168" s="9">
        <v>59.8</v>
      </c>
      <c r="AQ168" s="9" t="s">
        <v>59</v>
      </c>
    </row>
    <row r="169" spans="1:43" ht="16.5">
      <c r="A169" s="9">
        <v>145</v>
      </c>
      <c r="C169" s="74" t="s">
        <v>84</v>
      </c>
      <c r="D169" s="86">
        <f>IFERROR(VLOOKUP(C169, $C$2:D168, 2, FALSE), MAX($D$2:D168)+1)</f>
        <v>5</v>
      </c>
      <c r="E169" s="9">
        <v>57</v>
      </c>
      <c r="G169" s="9">
        <v>6</v>
      </c>
      <c r="H169" s="9">
        <v>0</v>
      </c>
      <c r="J169" s="9">
        <v>0</v>
      </c>
      <c r="K169" s="9">
        <v>37</v>
      </c>
      <c r="N169" s="9">
        <v>0</v>
      </c>
      <c r="Z169" s="9">
        <v>60</v>
      </c>
      <c r="AQ169" s="9" t="s">
        <v>59</v>
      </c>
    </row>
    <row r="170" spans="1:43" ht="16.5">
      <c r="A170" s="9">
        <v>146</v>
      </c>
      <c r="C170" s="74" t="s">
        <v>84</v>
      </c>
      <c r="D170" s="86">
        <f>IFERROR(VLOOKUP(C170, $C$2:D169, 2, FALSE), MAX($D$2:D169)+1)</f>
        <v>5</v>
      </c>
      <c r="E170" s="9">
        <v>60</v>
      </c>
      <c r="G170" s="9">
        <v>3</v>
      </c>
      <c r="H170" s="9">
        <v>0</v>
      </c>
      <c r="J170" s="9">
        <v>0</v>
      </c>
      <c r="K170" s="9">
        <v>37</v>
      </c>
      <c r="N170" s="9">
        <v>0</v>
      </c>
      <c r="Z170" s="9">
        <v>58</v>
      </c>
      <c r="AQ170" s="9" t="s">
        <v>59</v>
      </c>
    </row>
    <row r="171" spans="1:43" ht="16.5">
      <c r="A171" s="9">
        <v>158</v>
      </c>
      <c r="C171" s="74" t="s">
        <v>84</v>
      </c>
      <c r="D171" s="86">
        <f>IFERROR(VLOOKUP(C171, $C$2:D170, 2, FALSE), MAX($D$2:D170)+1)</f>
        <v>5</v>
      </c>
      <c r="E171" s="9">
        <v>67.53</v>
      </c>
      <c r="G171" s="9">
        <v>4.8600000000000003</v>
      </c>
      <c r="H171" s="9">
        <v>0</v>
      </c>
      <c r="J171" s="9">
        <v>0</v>
      </c>
      <c r="K171" s="9">
        <v>27.61</v>
      </c>
      <c r="N171" s="9">
        <v>0</v>
      </c>
      <c r="Z171" s="9">
        <v>64.900000000000006</v>
      </c>
      <c r="AQ171" s="9" t="s">
        <v>59</v>
      </c>
    </row>
    <row r="172" spans="1:43" ht="16.5">
      <c r="A172" s="9">
        <v>179</v>
      </c>
      <c r="C172" s="74" t="s">
        <v>84</v>
      </c>
      <c r="D172" s="86">
        <f>IFERROR(VLOOKUP(C172, $C$2:D171, 2, FALSE), MAX($D$2:D171)+1)</f>
        <v>5</v>
      </c>
      <c r="E172" s="9">
        <v>80.38</v>
      </c>
      <c r="G172" s="9">
        <v>7.44</v>
      </c>
      <c r="H172" s="9">
        <v>0</v>
      </c>
      <c r="J172" s="9">
        <v>0</v>
      </c>
      <c r="K172" s="9">
        <v>12.18</v>
      </c>
      <c r="N172" s="9">
        <v>0</v>
      </c>
      <c r="Z172" s="9">
        <v>55</v>
      </c>
      <c r="AQ172" s="9" t="s">
        <v>59</v>
      </c>
    </row>
    <row r="173" spans="1:43" ht="16.5">
      <c r="A173" s="9">
        <v>198</v>
      </c>
      <c r="C173" s="74" t="s">
        <v>84</v>
      </c>
      <c r="D173" s="86">
        <f>IFERROR(VLOOKUP(C173, $C$2:D172, 2, FALSE), MAX($D$2:D172)+1)</f>
        <v>5</v>
      </c>
      <c r="E173" s="9">
        <v>73.59</v>
      </c>
      <c r="G173" s="9">
        <v>3.27</v>
      </c>
      <c r="H173" s="9">
        <v>0</v>
      </c>
      <c r="J173" s="9">
        <v>0</v>
      </c>
      <c r="K173" s="9">
        <v>23.14</v>
      </c>
      <c r="N173" s="9">
        <v>0</v>
      </c>
      <c r="Z173" s="9">
        <v>76</v>
      </c>
      <c r="AQ173" s="9" t="s">
        <v>59</v>
      </c>
    </row>
    <row r="174" spans="1:43" ht="16.5">
      <c r="A174" s="9">
        <v>204</v>
      </c>
      <c r="C174" s="74" t="s">
        <v>84</v>
      </c>
      <c r="D174" s="86">
        <f>IFERROR(VLOOKUP(C174, $C$2:D173, 2, FALSE), MAX($D$2:D173)+1)</f>
        <v>5</v>
      </c>
      <c r="E174" s="9">
        <v>74.3</v>
      </c>
      <c r="G174" s="9">
        <v>9.75</v>
      </c>
      <c r="H174" s="9">
        <v>0</v>
      </c>
      <c r="J174" s="9">
        <v>0</v>
      </c>
      <c r="K174" s="9">
        <v>15.95</v>
      </c>
      <c r="N174" s="9">
        <v>0</v>
      </c>
      <c r="Z174" s="9">
        <v>75</v>
      </c>
      <c r="AQ174" s="9" t="s">
        <v>59</v>
      </c>
    </row>
    <row r="175" spans="1:43" s="15" customFormat="1" ht="16.5">
      <c r="A175" s="46">
        <v>378</v>
      </c>
      <c r="B175" s="52" t="s">
        <v>113</v>
      </c>
      <c r="C175" s="74" t="s">
        <v>123</v>
      </c>
      <c r="D175" s="86">
        <f>IFERROR(VLOOKUP(C175, $C$2:D174, 2, FALSE), MAX($D$2:D174)+1)</f>
        <v>6</v>
      </c>
      <c r="E175" s="57">
        <v>97.14</v>
      </c>
      <c r="F175" s="57">
        <v>0</v>
      </c>
      <c r="G175" s="57">
        <v>0</v>
      </c>
      <c r="H175" s="57">
        <v>0</v>
      </c>
      <c r="I175" s="57">
        <v>0</v>
      </c>
      <c r="J175" s="57">
        <v>2.86</v>
      </c>
      <c r="K175" s="57">
        <v>0</v>
      </c>
      <c r="L175" s="57">
        <v>0</v>
      </c>
      <c r="M175" s="57">
        <v>0</v>
      </c>
      <c r="N175" s="57">
        <v>0</v>
      </c>
      <c r="O175" s="57">
        <v>1</v>
      </c>
      <c r="P175" s="57">
        <v>1</v>
      </c>
      <c r="Q175" s="52" t="s">
        <v>113</v>
      </c>
      <c r="R175" s="52" t="s">
        <v>113</v>
      </c>
      <c r="S175" s="52" t="s">
        <v>113</v>
      </c>
      <c r="T175" s="52" t="s">
        <v>113</v>
      </c>
      <c r="U175" s="52" t="s">
        <v>113</v>
      </c>
      <c r="V175" s="52">
        <v>1</v>
      </c>
      <c r="W175" s="52" t="s">
        <v>113</v>
      </c>
      <c r="X175" s="52" t="s">
        <v>113</v>
      </c>
      <c r="Y175" s="52" t="s">
        <v>113</v>
      </c>
      <c r="Z175" s="57">
        <v>100</v>
      </c>
      <c r="AA175" s="52" t="s">
        <v>113</v>
      </c>
      <c r="AB175" s="52" t="s">
        <v>113</v>
      </c>
      <c r="AC175" s="57">
        <v>396</v>
      </c>
      <c r="AD175" s="52" t="s">
        <v>113</v>
      </c>
      <c r="AE175" s="52" t="s">
        <v>113</v>
      </c>
      <c r="AF175" s="52" t="s">
        <v>113</v>
      </c>
      <c r="AG175" s="52" t="s">
        <v>113</v>
      </c>
      <c r="AH175" s="52" t="s">
        <v>113</v>
      </c>
      <c r="AI175" s="52" t="s">
        <v>113</v>
      </c>
      <c r="AJ175" s="52" t="s">
        <v>113</v>
      </c>
      <c r="AK175" s="52" t="s">
        <v>113</v>
      </c>
      <c r="AL175" s="52" t="s">
        <v>113</v>
      </c>
      <c r="AM175" s="52"/>
      <c r="AN175" s="52" t="s">
        <v>113</v>
      </c>
      <c r="AO175" s="52" t="s">
        <v>232</v>
      </c>
      <c r="AP175" s="50">
        <v>378</v>
      </c>
      <c r="AQ175" s="47" t="s">
        <v>100</v>
      </c>
    </row>
    <row r="176" spans="1:43" s="15" customFormat="1" ht="15.6" customHeight="1">
      <c r="A176" s="60">
        <v>379</v>
      </c>
      <c r="B176" s="52" t="s">
        <v>113</v>
      </c>
      <c r="C176" s="74" t="s">
        <v>123</v>
      </c>
      <c r="D176" s="86">
        <f>IFERROR(VLOOKUP(C176, $C$2:D175, 2, FALSE), MAX($D$2:D175)+1)</f>
        <v>6</v>
      </c>
      <c r="E176" s="57">
        <v>89.82</v>
      </c>
      <c r="F176" s="57">
        <v>0</v>
      </c>
      <c r="G176" s="57">
        <v>0</v>
      </c>
      <c r="H176" s="57">
        <v>0</v>
      </c>
      <c r="I176" s="57">
        <v>0</v>
      </c>
      <c r="J176" s="57">
        <v>10.18</v>
      </c>
      <c r="K176" s="57">
        <v>0</v>
      </c>
      <c r="L176" s="57">
        <v>0</v>
      </c>
      <c r="M176" s="57">
        <v>0</v>
      </c>
      <c r="N176" s="57">
        <v>0</v>
      </c>
      <c r="O176" s="57">
        <v>1</v>
      </c>
      <c r="P176" s="57">
        <v>1</v>
      </c>
      <c r="Q176" s="52" t="s">
        <v>113</v>
      </c>
      <c r="R176" s="52" t="s">
        <v>113</v>
      </c>
      <c r="S176" s="52" t="s">
        <v>113</v>
      </c>
      <c r="T176" s="52" t="s">
        <v>113</v>
      </c>
      <c r="U176" s="52" t="s">
        <v>113</v>
      </c>
      <c r="V176" s="52">
        <v>1</v>
      </c>
      <c r="W176" s="52" t="s">
        <v>113</v>
      </c>
      <c r="X176" s="52" t="s">
        <v>113</v>
      </c>
      <c r="Y176" s="52" t="s">
        <v>113</v>
      </c>
      <c r="Z176" s="57">
        <v>69</v>
      </c>
      <c r="AA176" s="52" t="s">
        <v>113</v>
      </c>
      <c r="AB176" s="52" t="s">
        <v>113</v>
      </c>
      <c r="AC176" s="57">
        <v>441</v>
      </c>
      <c r="AD176" s="52" t="s">
        <v>113</v>
      </c>
      <c r="AE176" s="52" t="s">
        <v>113</v>
      </c>
      <c r="AF176" s="52" t="s">
        <v>113</v>
      </c>
      <c r="AG176" s="52" t="s">
        <v>113</v>
      </c>
      <c r="AH176" s="52" t="s">
        <v>113</v>
      </c>
      <c r="AI176" s="52" t="s">
        <v>113</v>
      </c>
      <c r="AJ176" s="52" t="s">
        <v>113</v>
      </c>
      <c r="AK176" s="52" t="s">
        <v>113</v>
      </c>
      <c r="AL176" s="52" t="s">
        <v>113</v>
      </c>
      <c r="AM176" s="52"/>
      <c r="AN176" s="52" t="s">
        <v>113</v>
      </c>
      <c r="AO176" s="52" t="s">
        <v>114</v>
      </c>
      <c r="AP176" s="61">
        <v>379</v>
      </c>
      <c r="AQ176" s="47" t="s">
        <v>100</v>
      </c>
    </row>
    <row r="177" spans="1:61" s="15" customFormat="1" ht="16.5">
      <c r="A177" s="46">
        <v>380</v>
      </c>
      <c r="B177" s="52" t="s">
        <v>113</v>
      </c>
      <c r="C177" s="74" t="s">
        <v>123</v>
      </c>
      <c r="D177" s="86">
        <f>IFERROR(VLOOKUP(C177, $C$2:D176, 2, FALSE), MAX($D$2:D176)+1)</f>
        <v>6</v>
      </c>
      <c r="E177" s="57">
        <v>79.08</v>
      </c>
      <c r="F177" s="57">
        <v>0</v>
      </c>
      <c r="G177" s="57">
        <v>0</v>
      </c>
      <c r="H177" s="57">
        <v>0</v>
      </c>
      <c r="I177" s="57">
        <v>0</v>
      </c>
      <c r="J177" s="57">
        <v>20.919999999999998</v>
      </c>
      <c r="K177" s="57">
        <v>0</v>
      </c>
      <c r="L177" s="57">
        <v>0</v>
      </c>
      <c r="M177" s="57">
        <v>0</v>
      </c>
      <c r="N177" s="57">
        <v>0</v>
      </c>
      <c r="O177" s="57">
        <v>1</v>
      </c>
      <c r="P177" s="57">
        <v>1</v>
      </c>
      <c r="Q177" s="52" t="s">
        <v>113</v>
      </c>
      <c r="R177" s="52" t="s">
        <v>113</v>
      </c>
      <c r="S177" s="52" t="s">
        <v>113</v>
      </c>
      <c r="T177" s="52" t="s">
        <v>113</v>
      </c>
      <c r="U177" s="52" t="s">
        <v>113</v>
      </c>
      <c r="V177" s="52">
        <v>1</v>
      </c>
      <c r="W177" s="52" t="s">
        <v>113</v>
      </c>
      <c r="X177" s="52" t="s">
        <v>113</v>
      </c>
      <c r="Y177" s="52" t="s">
        <v>113</v>
      </c>
      <c r="Z177" s="57">
        <v>88</v>
      </c>
      <c r="AA177" s="52" t="s">
        <v>113</v>
      </c>
      <c r="AB177" s="52" t="s">
        <v>113</v>
      </c>
      <c r="AC177" s="57">
        <v>379</v>
      </c>
      <c r="AD177" s="52" t="s">
        <v>113</v>
      </c>
      <c r="AE177" s="52" t="s">
        <v>113</v>
      </c>
      <c r="AF177" s="52" t="s">
        <v>113</v>
      </c>
      <c r="AG177" s="52" t="s">
        <v>113</v>
      </c>
      <c r="AH177" s="52" t="s">
        <v>113</v>
      </c>
      <c r="AI177" s="52" t="s">
        <v>113</v>
      </c>
      <c r="AJ177" s="52" t="s">
        <v>113</v>
      </c>
      <c r="AK177" s="52" t="s">
        <v>113</v>
      </c>
      <c r="AL177" s="52" t="s">
        <v>113</v>
      </c>
      <c r="AM177" s="52"/>
      <c r="AN177" s="52" t="s">
        <v>113</v>
      </c>
      <c r="AO177" s="52" t="s">
        <v>114</v>
      </c>
      <c r="AP177" s="50">
        <v>380</v>
      </c>
      <c r="AQ177" s="47" t="s">
        <v>100</v>
      </c>
    </row>
    <row r="178" spans="1:61" s="15" customFormat="1" ht="16.5">
      <c r="A178" s="60">
        <v>381</v>
      </c>
      <c r="B178" s="52" t="s">
        <v>113</v>
      </c>
      <c r="C178" s="74" t="s">
        <v>123</v>
      </c>
      <c r="D178" s="86">
        <f>IFERROR(VLOOKUP(C178, $C$2:D177, 2, FALSE), MAX($D$2:D177)+1)</f>
        <v>6</v>
      </c>
      <c r="E178" s="57">
        <v>61.83</v>
      </c>
      <c r="F178" s="57">
        <v>0</v>
      </c>
      <c r="G178" s="57">
        <v>0</v>
      </c>
      <c r="H178" s="57">
        <v>0</v>
      </c>
      <c r="I178" s="57">
        <v>0</v>
      </c>
      <c r="J178" s="57">
        <v>38.17</v>
      </c>
      <c r="K178" s="57">
        <v>0</v>
      </c>
      <c r="L178" s="57">
        <v>0</v>
      </c>
      <c r="M178" s="57">
        <v>0</v>
      </c>
      <c r="N178" s="57">
        <v>0</v>
      </c>
      <c r="O178" s="57">
        <v>1</v>
      </c>
      <c r="P178" s="57">
        <v>1</v>
      </c>
      <c r="Q178" s="52" t="s">
        <v>113</v>
      </c>
      <c r="R178" s="52" t="s">
        <v>113</v>
      </c>
      <c r="S178" s="52" t="s">
        <v>113</v>
      </c>
      <c r="T178" s="52" t="s">
        <v>113</v>
      </c>
      <c r="U178" s="52" t="s">
        <v>113</v>
      </c>
      <c r="V178" s="52">
        <v>1</v>
      </c>
      <c r="W178" s="52" t="s">
        <v>113</v>
      </c>
      <c r="X178" s="52" t="s">
        <v>113</v>
      </c>
      <c r="Y178" s="52" t="s">
        <v>113</v>
      </c>
      <c r="Z178" s="57">
        <v>67</v>
      </c>
      <c r="AA178" s="52" t="s">
        <v>113</v>
      </c>
      <c r="AB178" s="52" t="s">
        <v>113</v>
      </c>
      <c r="AC178" s="57">
        <v>373</v>
      </c>
      <c r="AD178" s="52" t="s">
        <v>113</v>
      </c>
      <c r="AE178" s="52" t="s">
        <v>113</v>
      </c>
      <c r="AF178" s="52" t="s">
        <v>113</v>
      </c>
      <c r="AG178" s="52" t="s">
        <v>113</v>
      </c>
      <c r="AH178" s="52" t="s">
        <v>113</v>
      </c>
      <c r="AI178" s="52" t="s">
        <v>113</v>
      </c>
      <c r="AJ178" s="52" t="s">
        <v>113</v>
      </c>
      <c r="AK178" s="52" t="s">
        <v>113</v>
      </c>
      <c r="AL178" s="52" t="s">
        <v>113</v>
      </c>
      <c r="AM178" s="52"/>
      <c r="AN178" s="52" t="s">
        <v>113</v>
      </c>
      <c r="AO178" s="52" t="s">
        <v>114</v>
      </c>
      <c r="AP178" s="61">
        <v>381</v>
      </c>
      <c r="AQ178" s="47" t="s">
        <v>100</v>
      </c>
    </row>
    <row r="179" spans="1:61" s="15" customFormat="1" ht="16.5">
      <c r="A179" s="46">
        <v>351</v>
      </c>
      <c r="B179" s="52" t="s">
        <v>113</v>
      </c>
      <c r="C179" s="74" t="s">
        <v>126</v>
      </c>
      <c r="D179" s="86">
        <f>IFERROR(VLOOKUP(C179, $C$2:D178, 2, FALSE), MAX($D$2:D178)+1)</f>
        <v>7</v>
      </c>
      <c r="E179" s="57">
        <v>95.35</v>
      </c>
      <c r="F179" s="57">
        <v>0</v>
      </c>
      <c r="G179" s="57">
        <v>0</v>
      </c>
      <c r="H179" s="57">
        <v>4.6500000000000004</v>
      </c>
      <c r="I179" s="57">
        <v>0</v>
      </c>
      <c r="J179" s="57">
        <v>0</v>
      </c>
      <c r="K179" s="57">
        <v>0</v>
      </c>
      <c r="L179" s="57">
        <v>0</v>
      </c>
      <c r="M179" s="57">
        <v>0</v>
      </c>
      <c r="N179" s="57">
        <v>0</v>
      </c>
      <c r="O179" s="57">
        <v>1</v>
      </c>
      <c r="P179" s="57">
        <v>1</v>
      </c>
      <c r="Q179" s="52" t="s">
        <v>113</v>
      </c>
      <c r="R179" s="52" t="s">
        <v>113</v>
      </c>
      <c r="S179" s="52" t="s">
        <v>113</v>
      </c>
      <c r="T179" s="52" t="s">
        <v>113</v>
      </c>
      <c r="U179" s="52" t="s">
        <v>113</v>
      </c>
      <c r="V179" s="52">
        <v>1</v>
      </c>
      <c r="W179" s="52" t="s">
        <v>113</v>
      </c>
      <c r="X179" s="52" t="s">
        <v>113</v>
      </c>
      <c r="Y179" s="52" t="s">
        <v>113</v>
      </c>
      <c r="Z179" s="57">
        <v>91</v>
      </c>
      <c r="AA179" s="52" t="s">
        <v>113</v>
      </c>
      <c r="AB179" s="52" t="s">
        <v>113</v>
      </c>
      <c r="AC179" s="57">
        <v>537</v>
      </c>
      <c r="AD179" s="52" t="s">
        <v>113</v>
      </c>
      <c r="AE179" s="52" t="s">
        <v>113</v>
      </c>
      <c r="AF179" s="52" t="s">
        <v>113</v>
      </c>
      <c r="AG179" s="52" t="s">
        <v>113</v>
      </c>
      <c r="AH179" s="52" t="s">
        <v>113</v>
      </c>
      <c r="AI179" s="52" t="s">
        <v>113</v>
      </c>
      <c r="AJ179" s="52" t="s">
        <v>113</v>
      </c>
      <c r="AK179" s="52" t="s">
        <v>113</v>
      </c>
      <c r="AL179" s="52" t="s">
        <v>113</v>
      </c>
      <c r="AM179" s="52"/>
      <c r="AN179" s="52" t="s">
        <v>113</v>
      </c>
      <c r="AO179" s="52" t="s">
        <v>114</v>
      </c>
      <c r="AP179" s="50">
        <v>351</v>
      </c>
      <c r="AQ179" s="47" t="s">
        <v>100</v>
      </c>
    </row>
    <row r="180" spans="1:61" s="15" customFormat="1" ht="16.5">
      <c r="A180" s="46">
        <v>394</v>
      </c>
      <c r="B180" s="52" t="s">
        <v>113</v>
      </c>
      <c r="C180" s="74" t="s">
        <v>126</v>
      </c>
      <c r="D180" s="86">
        <f>IFERROR(VLOOKUP(C180, $C$2:D179, 2, FALSE), MAX($D$2:D179)+1)</f>
        <v>7</v>
      </c>
      <c r="E180" s="57">
        <v>94.61</v>
      </c>
      <c r="F180" s="57">
        <v>0</v>
      </c>
      <c r="G180" s="57">
        <v>0</v>
      </c>
      <c r="H180" s="57">
        <v>5.3900000000000006</v>
      </c>
      <c r="I180" s="57">
        <v>0</v>
      </c>
      <c r="J180" s="57">
        <v>0</v>
      </c>
      <c r="K180" s="57">
        <v>0</v>
      </c>
      <c r="L180" s="57">
        <v>0</v>
      </c>
      <c r="M180" s="57">
        <v>0</v>
      </c>
      <c r="N180" s="57">
        <v>0</v>
      </c>
      <c r="O180" s="57">
        <v>1</v>
      </c>
      <c r="P180" s="57">
        <v>1</v>
      </c>
      <c r="Q180" s="52" t="s">
        <v>113</v>
      </c>
      <c r="R180" s="52" t="s">
        <v>113</v>
      </c>
      <c r="S180" s="52" t="s">
        <v>113</v>
      </c>
      <c r="T180" s="52" t="s">
        <v>113</v>
      </c>
      <c r="U180" s="52" t="s">
        <v>113</v>
      </c>
      <c r="V180" s="52">
        <v>1</v>
      </c>
      <c r="W180" s="52" t="s">
        <v>113</v>
      </c>
      <c r="X180" s="52" t="s">
        <v>113</v>
      </c>
      <c r="Y180" s="52" t="s">
        <v>113</v>
      </c>
      <c r="Z180" s="57">
        <v>93</v>
      </c>
      <c r="AA180" s="52" t="s">
        <v>113</v>
      </c>
      <c r="AB180" s="52" t="s">
        <v>113</v>
      </c>
      <c r="AC180" s="57">
        <v>731</v>
      </c>
      <c r="AD180" s="52" t="s">
        <v>113</v>
      </c>
      <c r="AE180" s="52" t="s">
        <v>113</v>
      </c>
      <c r="AF180" s="52" t="s">
        <v>113</v>
      </c>
      <c r="AG180" s="52" t="s">
        <v>113</v>
      </c>
      <c r="AH180" s="52" t="s">
        <v>113</v>
      </c>
      <c r="AI180" s="52" t="s">
        <v>113</v>
      </c>
      <c r="AJ180" s="52" t="s">
        <v>113</v>
      </c>
      <c r="AK180" s="52" t="s">
        <v>113</v>
      </c>
      <c r="AL180" s="52" t="s">
        <v>113</v>
      </c>
      <c r="AM180" s="52"/>
      <c r="AN180" s="52" t="s">
        <v>113</v>
      </c>
      <c r="AO180" s="52" t="s">
        <v>114</v>
      </c>
      <c r="AP180" s="50">
        <v>394</v>
      </c>
      <c r="AQ180" s="47" t="s">
        <v>100</v>
      </c>
    </row>
    <row r="181" spans="1:61" s="15" customFormat="1" ht="16.5">
      <c r="A181" s="60">
        <v>395</v>
      </c>
      <c r="B181" s="52" t="s">
        <v>113</v>
      </c>
      <c r="C181" s="74" t="s">
        <v>126</v>
      </c>
      <c r="D181" s="86">
        <f>IFERROR(VLOOKUP(C181, $C$2:D180, 2, FALSE), MAX($D$2:D180)+1)</f>
        <v>7</v>
      </c>
      <c r="E181" s="57">
        <v>89.24</v>
      </c>
      <c r="F181" s="57">
        <v>0</v>
      </c>
      <c r="G181" s="57">
        <v>0</v>
      </c>
      <c r="H181" s="57">
        <v>10.76</v>
      </c>
      <c r="I181" s="57">
        <v>0</v>
      </c>
      <c r="J181" s="57">
        <v>0</v>
      </c>
      <c r="K181" s="57">
        <v>0</v>
      </c>
      <c r="L181" s="57">
        <v>0</v>
      </c>
      <c r="M181" s="57">
        <v>0</v>
      </c>
      <c r="N181" s="57">
        <v>0</v>
      </c>
      <c r="O181" s="57">
        <v>1</v>
      </c>
      <c r="P181" s="57">
        <v>1</v>
      </c>
      <c r="Q181" s="52" t="s">
        <v>113</v>
      </c>
      <c r="R181" s="52" t="s">
        <v>113</v>
      </c>
      <c r="S181" s="52" t="s">
        <v>113</v>
      </c>
      <c r="T181" s="52" t="s">
        <v>113</v>
      </c>
      <c r="U181" s="52" t="s">
        <v>113</v>
      </c>
      <c r="V181" s="52">
        <v>1</v>
      </c>
      <c r="W181" s="52" t="s">
        <v>113</v>
      </c>
      <c r="X181" s="52" t="s">
        <v>113</v>
      </c>
      <c r="Y181" s="52" t="s">
        <v>113</v>
      </c>
      <c r="Z181" s="57">
        <v>75</v>
      </c>
      <c r="AA181" s="52" t="s">
        <v>113</v>
      </c>
      <c r="AB181" s="52" t="s">
        <v>113</v>
      </c>
      <c r="AC181" s="57">
        <v>823</v>
      </c>
      <c r="AD181" s="52" t="s">
        <v>113</v>
      </c>
      <c r="AE181" s="52" t="s">
        <v>113</v>
      </c>
      <c r="AF181" s="52" t="s">
        <v>113</v>
      </c>
      <c r="AG181" s="52" t="s">
        <v>113</v>
      </c>
      <c r="AH181" s="52" t="s">
        <v>113</v>
      </c>
      <c r="AI181" s="52" t="s">
        <v>113</v>
      </c>
      <c r="AJ181" s="52" t="s">
        <v>113</v>
      </c>
      <c r="AK181" s="52" t="s">
        <v>113</v>
      </c>
      <c r="AL181" s="52" t="s">
        <v>113</v>
      </c>
      <c r="AM181" s="52"/>
      <c r="AN181" s="52" t="s">
        <v>113</v>
      </c>
      <c r="AO181" s="52" t="s">
        <v>114</v>
      </c>
      <c r="AP181" s="61">
        <v>395</v>
      </c>
      <c r="AQ181" s="47" t="s">
        <v>100</v>
      </c>
    </row>
    <row r="182" spans="1:61" s="15" customFormat="1" ht="16.5">
      <c r="A182" s="46">
        <v>396</v>
      </c>
      <c r="B182" s="52" t="s">
        <v>113</v>
      </c>
      <c r="C182" s="74" t="s">
        <v>126</v>
      </c>
      <c r="D182" s="86">
        <f>IFERROR(VLOOKUP(C182, $C$2:D181, 2, FALSE), MAX($D$2:D181)+1)</f>
        <v>7</v>
      </c>
      <c r="E182" s="57">
        <v>94.75</v>
      </c>
      <c r="F182" s="57">
        <v>0</v>
      </c>
      <c r="G182" s="57">
        <v>0</v>
      </c>
      <c r="H182" s="57">
        <v>5.25</v>
      </c>
      <c r="I182" s="57">
        <v>0</v>
      </c>
      <c r="J182" s="57">
        <v>0</v>
      </c>
      <c r="K182" s="57">
        <v>0</v>
      </c>
      <c r="L182" s="57">
        <v>0</v>
      </c>
      <c r="M182" s="57">
        <v>0</v>
      </c>
      <c r="N182" s="57">
        <v>0</v>
      </c>
      <c r="O182" s="57">
        <v>1</v>
      </c>
      <c r="P182" s="57">
        <v>1</v>
      </c>
      <c r="Q182" s="52" t="s">
        <v>113</v>
      </c>
      <c r="R182" s="52" t="s">
        <v>113</v>
      </c>
      <c r="S182" s="52" t="s">
        <v>113</v>
      </c>
      <c r="T182" s="52" t="s">
        <v>113</v>
      </c>
      <c r="U182" s="52" t="s">
        <v>113</v>
      </c>
      <c r="V182" s="52">
        <v>3</v>
      </c>
      <c r="W182" s="52" t="s">
        <v>113</v>
      </c>
      <c r="X182" s="52" t="s">
        <v>113</v>
      </c>
      <c r="Y182" s="52" t="s">
        <v>113</v>
      </c>
      <c r="Z182" s="57">
        <v>77.599999999999994</v>
      </c>
      <c r="AA182" s="52" t="s">
        <v>113</v>
      </c>
      <c r="AB182" s="52" t="s">
        <v>113</v>
      </c>
      <c r="AC182" s="57">
        <v>862</v>
      </c>
      <c r="AD182" s="52" t="s">
        <v>113</v>
      </c>
      <c r="AE182" s="52" t="s">
        <v>113</v>
      </c>
      <c r="AF182" s="52" t="s">
        <v>113</v>
      </c>
      <c r="AG182" s="52" t="s">
        <v>113</v>
      </c>
      <c r="AH182" s="52" t="s">
        <v>113</v>
      </c>
      <c r="AI182" s="52" t="s">
        <v>113</v>
      </c>
      <c r="AJ182" s="52" t="s">
        <v>113</v>
      </c>
      <c r="AK182" s="52" t="s">
        <v>113</v>
      </c>
      <c r="AL182" s="52" t="s">
        <v>113</v>
      </c>
      <c r="AM182" s="52"/>
      <c r="AN182" s="52" t="s">
        <v>113</v>
      </c>
      <c r="AO182" s="52" t="s">
        <v>114</v>
      </c>
      <c r="AP182" s="50">
        <v>396</v>
      </c>
      <c r="AQ182" s="47" t="s">
        <v>100</v>
      </c>
    </row>
    <row r="183" spans="1:61" s="15" customFormat="1" ht="16.5">
      <c r="A183" s="46">
        <v>481</v>
      </c>
      <c r="B183" s="52" t="s">
        <v>113</v>
      </c>
      <c r="C183" s="74" t="s">
        <v>126</v>
      </c>
      <c r="D183" s="86">
        <f>IFERROR(VLOOKUP(C183, $C$2:D182, 2, FALSE), MAX($D$2:D182)+1)</f>
        <v>7</v>
      </c>
      <c r="E183" s="57">
        <v>93.63</v>
      </c>
      <c r="F183" s="57">
        <v>0</v>
      </c>
      <c r="G183" s="57">
        <v>0</v>
      </c>
      <c r="H183" s="57">
        <v>6.370000000000001</v>
      </c>
      <c r="I183" s="57">
        <v>0</v>
      </c>
      <c r="J183" s="57">
        <v>0</v>
      </c>
      <c r="K183" s="57">
        <v>0</v>
      </c>
      <c r="L183" s="57">
        <v>0</v>
      </c>
      <c r="M183" s="57">
        <v>0</v>
      </c>
      <c r="N183" s="57">
        <v>0</v>
      </c>
      <c r="O183" s="57">
        <v>1</v>
      </c>
      <c r="P183" s="57">
        <v>1</v>
      </c>
      <c r="Q183" s="52" t="s">
        <v>113</v>
      </c>
      <c r="R183" s="52" t="s">
        <v>113</v>
      </c>
      <c r="S183" s="52" t="s">
        <v>113</v>
      </c>
      <c r="T183" s="52" t="s">
        <v>113</v>
      </c>
      <c r="U183" s="52" t="s">
        <v>113</v>
      </c>
      <c r="V183" s="57">
        <v>1</v>
      </c>
      <c r="W183" s="52" t="s">
        <v>113</v>
      </c>
      <c r="X183" s="52" t="s">
        <v>113</v>
      </c>
      <c r="Y183" s="52" t="s">
        <v>113</v>
      </c>
      <c r="Z183" s="57">
        <v>90</v>
      </c>
      <c r="AA183" s="52" t="s">
        <v>113</v>
      </c>
      <c r="AB183" s="52" t="s">
        <v>113</v>
      </c>
      <c r="AC183" s="57">
        <v>550</v>
      </c>
      <c r="AD183" s="52" t="s">
        <v>113</v>
      </c>
      <c r="AE183" s="52" t="s">
        <v>113</v>
      </c>
      <c r="AF183" s="52" t="s">
        <v>113</v>
      </c>
      <c r="AG183" s="52" t="s">
        <v>113</v>
      </c>
      <c r="AH183" s="52" t="s">
        <v>113</v>
      </c>
      <c r="AI183" s="52" t="s">
        <v>113</v>
      </c>
      <c r="AJ183" s="52" t="s">
        <v>113</v>
      </c>
      <c r="AK183" s="52" t="s">
        <v>113</v>
      </c>
      <c r="AL183" s="52" t="s">
        <v>113</v>
      </c>
      <c r="AM183" s="52"/>
      <c r="AN183" s="52" t="s">
        <v>113</v>
      </c>
      <c r="AO183" s="52" t="s">
        <v>114</v>
      </c>
      <c r="AP183" s="50">
        <v>481</v>
      </c>
      <c r="AQ183" s="59" t="s">
        <v>100</v>
      </c>
    </row>
    <row r="184" spans="1:61" s="15" customFormat="1" ht="16.5">
      <c r="A184" s="29">
        <v>2</v>
      </c>
      <c r="B184" s="24"/>
      <c r="C184" s="74" t="s">
        <v>126</v>
      </c>
      <c r="D184" s="86">
        <f>IFERROR(VLOOKUP(C184, $C$2:D183, 2, FALSE), MAX($D$2:D183)+1)</f>
        <v>7</v>
      </c>
      <c r="E184" s="23">
        <v>93.75</v>
      </c>
      <c r="F184" s="24"/>
      <c r="G184" s="23">
        <v>0</v>
      </c>
      <c r="H184" s="23">
        <v>6.25</v>
      </c>
      <c r="I184" s="24"/>
      <c r="J184" s="23">
        <v>0</v>
      </c>
      <c r="K184" s="23">
        <v>0</v>
      </c>
      <c r="L184" s="24"/>
      <c r="M184" s="24"/>
      <c r="N184" s="23">
        <v>0</v>
      </c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3">
        <v>116</v>
      </c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19"/>
      <c r="AQ184" s="28" t="s">
        <v>59</v>
      </c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</row>
    <row r="185" spans="1:61" s="15" customFormat="1" ht="16.5">
      <c r="A185" s="29">
        <v>13</v>
      </c>
      <c r="B185" s="24"/>
      <c r="C185" s="74" t="s">
        <v>126</v>
      </c>
      <c r="D185" s="86">
        <f>IFERROR(VLOOKUP(C185, $C$2:D184, 2, FALSE), MAX($D$2:D184)+1)</f>
        <v>7</v>
      </c>
      <c r="E185" s="23">
        <v>91.9</v>
      </c>
      <c r="F185" s="24"/>
      <c r="G185" s="23">
        <v>0</v>
      </c>
      <c r="H185" s="23">
        <v>8.1</v>
      </c>
      <c r="I185" s="24"/>
      <c r="J185" s="23">
        <v>0</v>
      </c>
      <c r="K185" s="23">
        <v>0</v>
      </c>
      <c r="L185" s="24"/>
      <c r="M185" s="24"/>
      <c r="N185" s="23">
        <v>0</v>
      </c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3">
        <v>78</v>
      </c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19"/>
      <c r="AQ185" s="26" t="s">
        <v>59</v>
      </c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</row>
    <row r="186" spans="1:61" s="15" customFormat="1" ht="16.5">
      <c r="A186" s="29">
        <v>20</v>
      </c>
      <c r="B186" s="24"/>
      <c r="C186" s="74" t="s">
        <v>126</v>
      </c>
      <c r="D186" s="86">
        <f>IFERROR(VLOOKUP(C186, $C$2:D185, 2, FALSE), MAX($D$2:D185)+1)</f>
        <v>7</v>
      </c>
      <c r="E186" s="23">
        <v>77.8</v>
      </c>
      <c r="F186" s="24"/>
      <c r="G186" s="23">
        <v>0</v>
      </c>
      <c r="H186" s="23">
        <v>22.2</v>
      </c>
      <c r="I186" s="24"/>
      <c r="J186" s="23">
        <v>0</v>
      </c>
      <c r="K186" s="23">
        <v>0</v>
      </c>
      <c r="L186" s="24"/>
      <c r="M186" s="24"/>
      <c r="N186" s="23">
        <v>0</v>
      </c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3">
        <v>99</v>
      </c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19"/>
      <c r="AQ186" s="26" t="s">
        <v>59</v>
      </c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</row>
    <row r="187" spans="1:61" s="15" customFormat="1" ht="16.5">
      <c r="A187" s="29">
        <v>21</v>
      </c>
      <c r="B187" s="24"/>
      <c r="C187" s="74" t="s">
        <v>126</v>
      </c>
      <c r="D187" s="86">
        <f>IFERROR(VLOOKUP(C187, $C$2:D186, 2, FALSE), MAX($D$2:D186)+1)</f>
        <v>7</v>
      </c>
      <c r="E187" s="23">
        <v>88.2</v>
      </c>
      <c r="F187" s="24"/>
      <c r="G187" s="23">
        <v>0</v>
      </c>
      <c r="H187" s="23">
        <v>11.8</v>
      </c>
      <c r="I187" s="24"/>
      <c r="J187" s="23">
        <v>0</v>
      </c>
      <c r="K187" s="23">
        <v>0</v>
      </c>
      <c r="L187" s="24"/>
      <c r="M187" s="24"/>
      <c r="N187" s="23">
        <v>0</v>
      </c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3">
        <v>116</v>
      </c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19"/>
      <c r="AQ187" s="28" t="s">
        <v>59</v>
      </c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</row>
    <row r="188" spans="1:61" s="25" customFormat="1" ht="16.5">
      <c r="A188" s="30">
        <v>65</v>
      </c>
      <c r="B188" s="24"/>
      <c r="C188" s="74" t="s">
        <v>126</v>
      </c>
      <c r="D188" s="86">
        <f>IFERROR(VLOOKUP(C188, $C$2:D187, 2, FALSE), MAX($D$2:D187)+1)</f>
        <v>7</v>
      </c>
      <c r="E188" s="23">
        <v>96.11</v>
      </c>
      <c r="F188" s="24"/>
      <c r="G188" s="23">
        <v>0</v>
      </c>
      <c r="H188" s="23">
        <v>3.89</v>
      </c>
      <c r="I188" s="24"/>
      <c r="J188" s="23">
        <v>0</v>
      </c>
      <c r="K188" s="23">
        <v>0</v>
      </c>
      <c r="L188" s="24"/>
      <c r="M188" s="24"/>
      <c r="N188" s="23">
        <v>0</v>
      </c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3">
        <v>70</v>
      </c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77"/>
      <c r="AQ188" s="28" t="s">
        <v>59</v>
      </c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</row>
    <row r="189" spans="1:61" s="25" customFormat="1" ht="16.5">
      <c r="A189" s="30">
        <v>66</v>
      </c>
      <c r="B189" s="24"/>
      <c r="C189" s="74" t="s">
        <v>126</v>
      </c>
      <c r="D189" s="86">
        <f>IFERROR(VLOOKUP(C189, $C$2:D188, 2, FALSE), MAX($D$2:D188)+1)</f>
        <v>7</v>
      </c>
      <c r="E189" s="23">
        <v>91.91</v>
      </c>
      <c r="F189" s="24"/>
      <c r="G189" s="23">
        <v>0</v>
      </c>
      <c r="H189" s="23">
        <v>8.09</v>
      </c>
      <c r="I189" s="24"/>
      <c r="J189" s="23">
        <v>0</v>
      </c>
      <c r="K189" s="23">
        <v>0</v>
      </c>
      <c r="L189" s="24"/>
      <c r="M189" s="24"/>
      <c r="N189" s="23">
        <v>0</v>
      </c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3">
        <v>84</v>
      </c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77"/>
      <c r="AQ189" s="26" t="s">
        <v>59</v>
      </c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</row>
    <row r="190" spans="1:61" s="25" customFormat="1" ht="16.5">
      <c r="A190" s="29">
        <v>81</v>
      </c>
      <c r="B190" s="24"/>
      <c r="C190" s="74" t="s">
        <v>126</v>
      </c>
      <c r="D190" s="86">
        <f>IFERROR(VLOOKUP(C190, $C$2:D189, 2, FALSE), MAX($D$2:D189)+1)</f>
        <v>7</v>
      </c>
      <c r="E190" s="23">
        <v>96.8</v>
      </c>
      <c r="F190" s="24"/>
      <c r="G190" s="23">
        <v>0</v>
      </c>
      <c r="H190" s="23">
        <v>3.2</v>
      </c>
      <c r="I190" s="24"/>
      <c r="J190" s="23">
        <v>0</v>
      </c>
      <c r="K190" s="23">
        <v>0</v>
      </c>
      <c r="L190" s="24"/>
      <c r="M190" s="24"/>
      <c r="N190" s="23">
        <v>0</v>
      </c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3">
        <v>83.73</v>
      </c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19"/>
      <c r="AQ190" s="28" t="s">
        <v>59</v>
      </c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</row>
    <row r="191" spans="1:61" s="25" customFormat="1" ht="16.5">
      <c r="A191" s="29">
        <v>82</v>
      </c>
      <c r="B191" s="24"/>
      <c r="C191" s="74" t="s">
        <v>126</v>
      </c>
      <c r="D191" s="86">
        <f>IFERROR(VLOOKUP(C191, $C$2:D190, 2, FALSE), MAX($D$2:D190)+1)</f>
        <v>7</v>
      </c>
      <c r="E191" s="23">
        <v>95.5</v>
      </c>
      <c r="F191" s="24"/>
      <c r="G191" s="23">
        <v>0</v>
      </c>
      <c r="H191" s="23">
        <v>4.5</v>
      </c>
      <c r="I191" s="24"/>
      <c r="J191" s="23">
        <v>0</v>
      </c>
      <c r="K191" s="23">
        <v>0</v>
      </c>
      <c r="L191" s="24"/>
      <c r="M191" s="24"/>
      <c r="N191" s="23">
        <v>0</v>
      </c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3">
        <v>88.36</v>
      </c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19"/>
      <c r="AQ191" s="26" t="s">
        <v>59</v>
      </c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</row>
    <row r="192" spans="1:61" s="25" customFormat="1" ht="16.5">
      <c r="A192" s="29">
        <v>83</v>
      </c>
      <c r="B192" s="24"/>
      <c r="C192" s="74" t="s">
        <v>126</v>
      </c>
      <c r="D192" s="86">
        <f>IFERROR(VLOOKUP(C192, $C$2:D191, 2, FALSE), MAX($D$2:D191)+1)</f>
        <v>7</v>
      </c>
      <c r="E192" s="23">
        <v>94</v>
      </c>
      <c r="F192" s="24"/>
      <c r="G192" s="23">
        <v>0</v>
      </c>
      <c r="H192" s="23">
        <v>6</v>
      </c>
      <c r="I192" s="24"/>
      <c r="J192" s="23">
        <v>0</v>
      </c>
      <c r="K192" s="23">
        <v>0</v>
      </c>
      <c r="L192" s="24"/>
      <c r="M192" s="24"/>
      <c r="N192" s="23">
        <v>0</v>
      </c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3">
        <v>111.7</v>
      </c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19"/>
      <c r="AQ192" s="26" t="s">
        <v>59</v>
      </c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</row>
    <row r="193" spans="1:61" s="15" customFormat="1" ht="16.5">
      <c r="A193" s="30">
        <v>84</v>
      </c>
      <c r="B193" s="24"/>
      <c r="C193" s="74" t="s">
        <v>126</v>
      </c>
      <c r="D193" s="86">
        <f>IFERROR(VLOOKUP(C193, $C$2:D192, 2, FALSE), MAX($D$2:D192)+1)</f>
        <v>7</v>
      </c>
      <c r="E193" s="23">
        <v>93</v>
      </c>
      <c r="F193" s="24"/>
      <c r="G193" s="23">
        <v>0</v>
      </c>
      <c r="H193" s="23">
        <v>7</v>
      </c>
      <c r="I193" s="24"/>
      <c r="J193" s="23">
        <v>0</v>
      </c>
      <c r="K193" s="23">
        <v>0</v>
      </c>
      <c r="L193" s="24"/>
      <c r="M193" s="24"/>
      <c r="N193" s="23">
        <v>0</v>
      </c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3">
        <v>99.55</v>
      </c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77"/>
      <c r="AQ193" s="26" t="s">
        <v>59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</row>
    <row r="194" spans="1:61" s="15" customFormat="1" ht="16.5">
      <c r="A194" s="30">
        <v>85</v>
      </c>
      <c r="B194" s="24"/>
      <c r="C194" s="74" t="s">
        <v>126</v>
      </c>
      <c r="D194" s="86">
        <f>IFERROR(VLOOKUP(C194, $C$2:D193, 2, FALSE), MAX($D$2:D193)+1)</f>
        <v>7</v>
      </c>
      <c r="E194" s="23">
        <v>92</v>
      </c>
      <c r="F194" s="24"/>
      <c r="G194" s="23">
        <v>0</v>
      </c>
      <c r="H194" s="23">
        <v>8</v>
      </c>
      <c r="I194" s="24"/>
      <c r="J194" s="23">
        <v>0</v>
      </c>
      <c r="K194" s="23">
        <v>0</v>
      </c>
      <c r="L194" s="24"/>
      <c r="M194" s="24"/>
      <c r="N194" s="23">
        <v>0</v>
      </c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3">
        <v>82.84</v>
      </c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77"/>
      <c r="AQ194" s="28" t="s">
        <v>59</v>
      </c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</row>
    <row r="195" spans="1:61" s="15" customFormat="1" ht="16.5">
      <c r="A195" s="29">
        <v>86</v>
      </c>
      <c r="B195" s="24"/>
      <c r="C195" s="74" t="s">
        <v>126</v>
      </c>
      <c r="D195" s="86">
        <f>IFERROR(VLOOKUP(C195, $C$2:D194, 2, FALSE), MAX($D$2:D194)+1)</f>
        <v>7</v>
      </c>
      <c r="E195" s="23">
        <v>88</v>
      </c>
      <c r="F195" s="24"/>
      <c r="G195" s="23">
        <v>0</v>
      </c>
      <c r="H195" s="23">
        <v>12</v>
      </c>
      <c r="I195" s="24"/>
      <c r="J195" s="23">
        <v>0</v>
      </c>
      <c r="K195" s="23">
        <v>0</v>
      </c>
      <c r="L195" s="24"/>
      <c r="M195" s="24"/>
      <c r="N195" s="23">
        <v>0</v>
      </c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3">
        <v>89.7</v>
      </c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19"/>
      <c r="AQ195" s="26" t="s">
        <v>59</v>
      </c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</row>
    <row r="196" spans="1:61" s="15" customFormat="1" ht="16.5">
      <c r="A196" s="29">
        <v>150</v>
      </c>
      <c r="B196" s="24"/>
      <c r="C196" s="74" t="s">
        <v>126</v>
      </c>
      <c r="D196" s="86">
        <f>IFERROR(VLOOKUP(C196, $C$2:D195, 2, FALSE), MAX($D$2:D195)+1)</f>
        <v>7</v>
      </c>
      <c r="E196" s="23">
        <v>94.74</v>
      </c>
      <c r="F196" s="24"/>
      <c r="G196" s="23">
        <v>0</v>
      </c>
      <c r="H196" s="23">
        <v>5.26</v>
      </c>
      <c r="I196" s="24"/>
      <c r="J196" s="23">
        <v>0</v>
      </c>
      <c r="K196" s="23">
        <v>0</v>
      </c>
      <c r="L196" s="24"/>
      <c r="M196" s="24"/>
      <c r="N196" s="23">
        <v>0</v>
      </c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3">
        <v>113</v>
      </c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19"/>
      <c r="AQ196" s="26" t="s">
        <v>59</v>
      </c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</row>
    <row r="197" spans="1:61" ht="16.5">
      <c r="A197" s="29">
        <v>151</v>
      </c>
      <c r="B197" s="19"/>
      <c r="C197" s="74" t="s">
        <v>126</v>
      </c>
      <c r="D197" s="86">
        <f>IFERROR(VLOOKUP(C197, $C$2:D196, 2, FALSE), MAX($D$2:D196)+1)</f>
        <v>7</v>
      </c>
      <c r="E197" s="18">
        <v>94.29</v>
      </c>
      <c r="F197" s="19"/>
      <c r="G197" s="18">
        <v>0</v>
      </c>
      <c r="H197" s="18">
        <v>5.71</v>
      </c>
      <c r="I197" s="19"/>
      <c r="J197" s="18">
        <v>0</v>
      </c>
      <c r="K197" s="18">
        <v>0</v>
      </c>
      <c r="L197" s="19"/>
      <c r="M197" s="19"/>
      <c r="N197" s="18">
        <v>0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8">
        <v>105.17</v>
      </c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26" t="s">
        <v>59</v>
      </c>
    </row>
    <row r="198" spans="1:61" ht="16.5">
      <c r="A198" s="29">
        <v>152</v>
      </c>
      <c r="B198" s="19"/>
      <c r="C198" s="74" t="s">
        <v>126</v>
      </c>
      <c r="D198" s="86">
        <f>IFERROR(VLOOKUP(C198, $C$2:D197, 2, FALSE), MAX($D$2:D197)+1)</f>
        <v>7</v>
      </c>
      <c r="E198" s="18">
        <v>93.13</v>
      </c>
      <c r="F198" s="19"/>
      <c r="G198" s="18">
        <v>0</v>
      </c>
      <c r="H198" s="18">
        <v>6.87</v>
      </c>
      <c r="I198" s="19"/>
      <c r="J198" s="18">
        <v>0</v>
      </c>
      <c r="K198" s="18">
        <v>0</v>
      </c>
      <c r="L198" s="19"/>
      <c r="M198" s="19"/>
      <c r="N198" s="18">
        <v>0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8">
        <v>104.47</v>
      </c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26" t="s">
        <v>59</v>
      </c>
    </row>
    <row r="199" spans="1:61" ht="16.5">
      <c r="A199" s="29">
        <v>153</v>
      </c>
      <c r="B199" s="19"/>
      <c r="C199" s="74" t="s">
        <v>126</v>
      </c>
      <c r="D199" s="86">
        <f>IFERROR(VLOOKUP(C199, $C$2:D198, 2, FALSE), MAX($D$2:D198)+1)</f>
        <v>7</v>
      </c>
      <c r="E199" s="18">
        <v>91.88</v>
      </c>
      <c r="F199" s="19"/>
      <c r="G199" s="18">
        <v>0</v>
      </c>
      <c r="H199" s="18">
        <v>8.1199999999999992</v>
      </c>
      <c r="I199" s="19"/>
      <c r="J199" s="18">
        <v>0</v>
      </c>
      <c r="K199" s="18">
        <v>0</v>
      </c>
      <c r="L199" s="19"/>
      <c r="M199" s="19"/>
      <c r="N199" s="18">
        <v>0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8">
        <v>70.48</v>
      </c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26" t="s">
        <v>59</v>
      </c>
    </row>
    <row r="200" spans="1:61" ht="16.5">
      <c r="A200" s="46">
        <v>458</v>
      </c>
      <c r="B200" s="49" t="s">
        <v>113</v>
      </c>
      <c r="C200" s="74" t="s">
        <v>132</v>
      </c>
      <c r="D200" s="86">
        <f>IFERROR(VLOOKUP(C200, $C$2:D199, 2, FALSE), MAX($D$2:D199)+1)</f>
        <v>8</v>
      </c>
      <c r="E200" s="50">
        <v>91.44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7.95</v>
      </c>
      <c r="M200" s="50">
        <v>0</v>
      </c>
      <c r="N200" s="50">
        <v>0.61</v>
      </c>
      <c r="O200" s="50">
        <v>1</v>
      </c>
      <c r="P200" s="50">
        <v>1</v>
      </c>
      <c r="Q200" s="49" t="s">
        <v>113</v>
      </c>
      <c r="R200" s="49" t="s">
        <v>113</v>
      </c>
      <c r="S200" s="49" t="s">
        <v>113</v>
      </c>
      <c r="T200" s="49" t="s">
        <v>113</v>
      </c>
      <c r="U200" s="49" t="s">
        <v>113</v>
      </c>
      <c r="V200" s="49">
        <v>1</v>
      </c>
      <c r="W200" s="49" t="s">
        <v>113</v>
      </c>
      <c r="X200" s="49" t="s">
        <v>113</v>
      </c>
      <c r="Y200" s="49" t="s">
        <v>113</v>
      </c>
      <c r="Z200" s="50">
        <v>83</v>
      </c>
      <c r="AA200" s="49" t="s">
        <v>113</v>
      </c>
      <c r="AB200" s="49" t="s">
        <v>113</v>
      </c>
      <c r="AC200" s="50">
        <v>554</v>
      </c>
      <c r="AD200" s="49" t="s">
        <v>113</v>
      </c>
      <c r="AE200" s="49" t="s">
        <v>113</v>
      </c>
      <c r="AF200" s="49" t="s">
        <v>113</v>
      </c>
      <c r="AG200" s="49" t="s">
        <v>113</v>
      </c>
      <c r="AH200" s="49" t="s">
        <v>113</v>
      </c>
      <c r="AI200" s="49" t="s">
        <v>113</v>
      </c>
      <c r="AJ200" s="49" t="s">
        <v>113</v>
      </c>
      <c r="AK200" s="49" t="s">
        <v>113</v>
      </c>
      <c r="AL200" s="49" t="s">
        <v>113</v>
      </c>
      <c r="AM200" s="49"/>
      <c r="AN200" s="49" t="s">
        <v>113</v>
      </c>
      <c r="AO200" s="49" t="s">
        <v>174</v>
      </c>
      <c r="AP200" s="50">
        <v>458</v>
      </c>
      <c r="AQ200" s="47" t="s">
        <v>100</v>
      </c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</row>
    <row r="201" spans="1:61" ht="16.5">
      <c r="A201" s="46">
        <v>373</v>
      </c>
      <c r="B201" s="49" t="s">
        <v>113</v>
      </c>
      <c r="C201" s="74" t="s">
        <v>139</v>
      </c>
      <c r="D201" s="86">
        <f>IFERROR(VLOOKUP(C201, $C$2:D200, 2, FALSE), MAX($D$2:D200)+1)</f>
        <v>9</v>
      </c>
      <c r="E201" s="50">
        <v>73.05</v>
      </c>
      <c r="F201" s="50">
        <v>0</v>
      </c>
      <c r="G201" s="50">
        <v>4.49</v>
      </c>
      <c r="H201" s="50">
        <v>0</v>
      </c>
      <c r="I201" s="50">
        <v>0</v>
      </c>
      <c r="J201" s="50">
        <v>0</v>
      </c>
      <c r="K201" s="50">
        <v>21.09</v>
      </c>
      <c r="L201" s="50">
        <v>0</v>
      </c>
      <c r="M201" s="50">
        <v>0</v>
      </c>
      <c r="N201" s="50">
        <v>1.37</v>
      </c>
      <c r="O201" s="50">
        <v>1</v>
      </c>
      <c r="P201" s="50">
        <v>1</v>
      </c>
      <c r="Q201" s="49" t="s">
        <v>113</v>
      </c>
      <c r="R201" s="49" t="s">
        <v>113</v>
      </c>
      <c r="S201" s="49" t="s">
        <v>113</v>
      </c>
      <c r="T201" s="49" t="s">
        <v>113</v>
      </c>
      <c r="U201" s="49" t="s">
        <v>113</v>
      </c>
      <c r="V201" s="49">
        <v>1</v>
      </c>
      <c r="W201" s="49" t="s">
        <v>113</v>
      </c>
      <c r="X201" s="49" t="s">
        <v>113</v>
      </c>
      <c r="Y201" s="49" t="s">
        <v>113</v>
      </c>
      <c r="Z201" s="50">
        <v>66.900000000000006</v>
      </c>
      <c r="AA201" s="49" t="s">
        <v>113</v>
      </c>
      <c r="AB201" s="49" t="s">
        <v>113</v>
      </c>
      <c r="AC201" s="50">
        <v>806</v>
      </c>
      <c r="AD201" s="49" t="s">
        <v>113</v>
      </c>
      <c r="AE201" s="49" t="s">
        <v>113</v>
      </c>
      <c r="AF201" s="49" t="s">
        <v>113</v>
      </c>
      <c r="AG201" s="49" t="s">
        <v>113</v>
      </c>
      <c r="AH201" s="49" t="s">
        <v>113</v>
      </c>
      <c r="AI201" s="49" t="s">
        <v>113</v>
      </c>
      <c r="AJ201" s="49" t="s">
        <v>113</v>
      </c>
      <c r="AK201" s="49" t="s">
        <v>113</v>
      </c>
      <c r="AL201" s="49" t="s">
        <v>113</v>
      </c>
      <c r="AM201" s="49"/>
      <c r="AN201" s="49" t="s">
        <v>113</v>
      </c>
      <c r="AO201" s="49" t="s">
        <v>232</v>
      </c>
      <c r="AP201" s="50">
        <v>373</v>
      </c>
      <c r="AQ201" s="47" t="s">
        <v>100</v>
      </c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 spans="1:61" ht="16.5">
      <c r="A202" s="46">
        <v>453</v>
      </c>
      <c r="B202" s="49" t="s">
        <v>113</v>
      </c>
      <c r="C202" s="74" t="s">
        <v>139</v>
      </c>
      <c r="D202" s="86">
        <f>IFERROR(VLOOKUP(C202, $C$2:D201, 2, FALSE), MAX($D$2:D201)+1)</f>
        <v>9</v>
      </c>
      <c r="E202" s="50">
        <v>73.05</v>
      </c>
      <c r="F202" s="50">
        <v>0</v>
      </c>
      <c r="G202" s="50">
        <v>4.49</v>
      </c>
      <c r="H202" s="50">
        <v>0</v>
      </c>
      <c r="I202" s="50">
        <v>0</v>
      </c>
      <c r="J202" s="50">
        <v>0</v>
      </c>
      <c r="K202" s="50">
        <v>21.09</v>
      </c>
      <c r="L202" s="50">
        <v>0</v>
      </c>
      <c r="M202" s="50">
        <v>0</v>
      </c>
      <c r="N202" s="50">
        <v>1.37</v>
      </c>
      <c r="O202" s="50">
        <v>1</v>
      </c>
      <c r="P202" s="50">
        <v>1</v>
      </c>
      <c r="Q202" s="49" t="s">
        <v>113</v>
      </c>
      <c r="R202" s="49" t="s">
        <v>113</v>
      </c>
      <c r="S202" s="49" t="s">
        <v>113</v>
      </c>
      <c r="T202" s="49" t="s">
        <v>113</v>
      </c>
      <c r="U202" s="49" t="s">
        <v>113</v>
      </c>
      <c r="V202" s="49">
        <v>1</v>
      </c>
      <c r="W202" s="49" t="s">
        <v>113</v>
      </c>
      <c r="X202" s="49" t="s">
        <v>113</v>
      </c>
      <c r="Y202" s="49" t="s">
        <v>113</v>
      </c>
      <c r="Z202" s="50">
        <v>54.2</v>
      </c>
      <c r="AA202" s="49" t="s">
        <v>113</v>
      </c>
      <c r="AB202" s="49" t="s">
        <v>113</v>
      </c>
      <c r="AC202" s="50">
        <v>380</v>
      </c>
      <c r="AD202" s="49" t="s">
        <v>113</v>
      </c>
      <c r="AE202" s="49" t="s">
        <v>113</v>
      </c>
      <c r="AF202" s="49" t="s">
        <v>113</v>
      </c>
      <c r="AG202" s="49" t="s">
        <v>113</v>
      </c>
      <c r="AH202" s="49" t="s">
        <v>113</v>
      </c>
      <c r="AI202" s="49" t="s">
        <v>113</v>
      </c>
      <c r="AJ202" s="49" t="s">
        <v>113</v>
      </c>
      <c r="AK202" s="49" t="s">
        <v>113</v>
      </c>
      <c r="AL202" s="49" t="s">
        <v>113</v>
      </c>
      <c r="AM202" s="49"/>
      <c r="AN202" s="49" t="s">
        <v>113</v>
      </c>
      <c r="AO202" s="49" t="s">
        <v>232</v>
      </c>
      <c r="AP202" s="50">
        <v>453</v>
      </c>
      <c r="AQ202" s="47" t="s">
        <v>100</v>
      </c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 spans="1:61" ht="16.5">
      <c r="A203" s="46">
        <v>460</v>
      </c>
      <c r="B203" s="49" t="s">
        <v>113</v>
      </c>
      <c r="C203" s="74" t="s">
        <v>139</v>
      </c>
      <c r="D203" s="86">
        <f>IFERROR(VLOOKUP(C203, $C$2:D202, 2, FALSE), MAX($D$2:D202)+1)</f>
        <v>9</v>
      </c>
      <c r="E203" s="50">
        <v>78.430000000000007</v>
      </c>
      <c r="F203" s="50">
        <v>0</v>
      </c>
      <c r="G203" s="50">
        <v>2.52</v>
      </c>
      <c r="H203" s="50">
        <v>0</v>
      </c>
      <c r="I203" s="50">
        <v>0</v>
      </c>
      <c r="J203" s="50">
        <v>0</v>
      </c>
      <c r="K203" s="50">
        <v>15.190000000000001</v>
      </c>
      <c r="L203" s="50">
        <v>0</v>
      </c>
      <c r="M203" s="50">
        <v>0</v>
      </c>
      <c r="N203" s="50">
        <v>3.8699999999999997</v>
      </c>
      <c r="O203" s="50">
        <v>1</v>
      </c>
      <c r="P203" s="50">
        <v>1</v>
      </c>
      <c r="Q203" s="49" t="s">
        <v>113</v>
      </c>
      <c r="R203" s="49" t="s">
        <v>113</v>
      </c>
      <c r="S203" s="49" t="s">
        <v>113</v>
      </c>
      <c r="T203" s="49" t="s">
        <v>113</v>
      </c>
      <c r="U203" s="49" t="s">
        <v>113</v>
      </c>
      <c r="V203" s="50">
        <v>2</v>
      </c>
      <c r="W203" s="49" t="s">
        <v>113</v>
      </c>
      <c r="X203" s="49" t="s">
        <v>113</v>
      </c>
      <c r="Y203" s="49" t="s">
        <v>113</v>
      </c>
      <c r="Z203" s="50">
        <v>50</v>
      </c>
      <c r="AA203" s="49" t="s">
        <v>113</v>
      </c>
      <c r="AB203" s="49" t="s">
        <v>113</v>
      </c>
      <c r="AC203" s="50">
        <v>350</v>
      </c>
      <c r="AD203" s="49" t="s">
        <v>113</v>
      </c>
      <c r="AE203" s="49" t="s">
        <v>113</v>
      </c>
      <c r="AF203" s="49" t="s">
        <v>113</v>
      </c>
      <c r="AG203" s="49" t="s">
        <v>113</v>
      </c>
      <c r="AH203" s="49" t="s">
        <v>113</v>
      </c>
      <c r="AI203" s="49" t="s">
        <v>113</v>
      </c>
      <c r="AJ203" s="49" t="s">
        <v>113</v>
      </c>
      <c r="AK203" s="49" t="s">
        <v>113</v>
      </c>
      <c r="AL203" s="49" t="s">
        <v>113</v>
      </c>
      <c r="AM203" s="49"/>
      <c r="AN203" s="49" t="s">
        <v>113</v>
      </c>
      <c r="AO203" s="49" t="s">
        <v>232</v>
      </c>
      <c r="AP203" s="50">
        <v>460</v>
      </c>
      <c r="AQ203" s="47" t="s">
        <v>100</v>
      </c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 spans="1:61" ht="16.5">
      <c r="A204" s="46">
        <v>461</v>
      </c>
      <c r="B204" s="49" t="s">
        <v>113</v>
      </c>
      <c r="C204" s="74" t="s">
        <v>139</v>
      </c>
      <c r="D204" s="86">
        <f>IFERROR(VLOOKUP(C204, $C$2:D203, 2, FALSE), MAX($D$2:D203)+1)</f>
        <v>9</v>
      </c>
      <c r="E204" s="50">
        <v>78.83</v>
      </c>
      <c r="F204" s="50">
        <v>0</v>
      </c>
      <c r="G204" s="50">
        <v>2.4299999999999997</v>
      </c>
      <c r="H204" s="50">
        <v>0</v>
      </c>
      <c r="I204" s="50">
        <v>0</v>
      </c>
      <c r="J204" s="50">
        <v>0</v>
      </c>
      <c r="K204" s="50">
        <v>15</v>
      </c>
      <c r="L204" s="50">
        <v>0</v>
      </c>
      <c r="M204" s="50">
        <v>0</v>
      </c>
      <c r="N204" s="50">
        <v>3.74</v>
      </c>
      <c r="O204" s="50">
        <v>1</v>
      </c>
      <c r="P204" s="50">
        <v>1</v>
      </c>
      <c r="Q204" s="49" t="s">
        <v>113</v>
      </c>
      <c r="R204" s="49" t="s">
        <v>113</v>
      </c>
      <c r="S204" s="49" t="s">
        <v>113</v>
      </c>
      <c r="T204" s="49" t="s">
        <v>113</v>
      </c>
      <c r="U204" s="49" t="s">
        <v>113</v>
      </c>
      <c r="V204" s="50">
        <v>2</v>
      </c>
      <c r="W204" s="49" t="s">
        <v>113</v>
      </c>
      <c r="X204" s="49" t="s">
        <v>113</v>
      </c>
      <c r="Y204" s="49" t="s">
        <v>113</v>
      </c>
      <c r="Z204" s="50">
        <v>59.2</v>
      </c>
      <c r="AA204" s="49" t="s">
        <v>113</v>
      </c>
      <c r="AB204" s="49" t="s">
        <v>113</v>
      </c>
      <c r="AC204" s="50">
        <v>282</v>
      </c>
      <c r="AD204" s="49" t="s">
        <v>113</v>
      </c>
      <c r="AE204" s="49" t="s">
        <v>113</v>
      </c>
      <c r="AF204" s="49" t="s">
        <v>113</v>
      </c>
      <c r="AG204" s="49" t="s">
        <v>113</v>
      </c>
      <c r="AH204" s="49" t="s">
        <v>113</v>
      </c>
      <c r="AI204" s="49" t="s">
        <v>113</v>
      </c>
      <c r="AJ204" s="49" t="s">
        <v>113</v>
      </c>
      <c r="AK204" s="49" t="s">
        <v>113</v>
      </c>
      <c r="AL204" s="49" t="s">
        <v>113</v>
      </c>
      <c r="AM204" s="49"/>
      <c r="AN204" s="49" t="s">
        <v>113</v>
      </c>
      <c r="AO204" s="49" t="s">
        <v>232</v>
      </c>
      <c r="AP204" s="50">
        <v>461</v>
      </c>
      <c r="AQ204" s="47" t="s">
        <v>100</v>
      </c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 spans="1:61" ht="16.5">
      <c r="A205" s="46">
        <v>462</v>
      </c>
      <c r="B205" s="49" t="s">
        <v>113</v>
      </c>
      <c r="C205" s="74" t="s">
        <v>139</v>
      </c>
      <c r="D205" s="86">
        <f>IFERROR(VLOOKUP(C205, $C$2:D204, 2, FALSE), MAX($D$2:D204)+1)</f>
        <v>9</v>
      </c>
      <c r="E205" s="50">
        <v>78.23</v>
      </c>
      <c r="F205" s="50">
        <v>0</v>
      </c>
      <c r="G205" s="50">
        <v>2.5700000000000003</v>
      </c>
      <c r="H205" s="50">
        <v>0</v>
      </c>
      <c r="I205" s="50">
        <v>0</v>
      </c>
      <c r="J205" s="50">
        <v>0</v>
      </c>
      <c r="K205" s="50">
        <v>15.22</v>
      </c>
      <c r="L205" s="50">
        <v>0</v>
      </c>
      <c r="M205" s="50">
        <v>0</v>
      </c>
      <c r="N205" s="50">
        <v>3.9800000000000004</v>
      </c>
      <c r="O205" s="50">
        <v>1</v>
      </c>
      <c r="P205" s="50">
        <v>1</v>
      </c>
      <c r="Q205" s="49" t="s">
        <v>113</v>
      </c>
      <c r="R205" s="49" t="s">
        <v>113</v>
      </c>
      <c r="S205" s="49" t="s">
        <v>113</v>
      </c>
      <c r="T205" s="49" t="s">
        <v>113</v>
      </c>
      <c r="U205" s="49" t="s">
        <v>113</v>
      </c>
      <c r="V205" s="50">
        <v>2</v>
      </c>
      <c r="W205" s="49" t="s">
        <v>113</v>
      </c>
      <c r="X205" s="49" t="s">
        <v>113</v>
      </c>
      <c r="Y205" s="49" t="s">
        <v>113</v>
      </c>
      <c r="Z205" s="50">
        <v>61.6</v>
      </c>
      <c r="AA205" s="49" t="s">
        <v>113</v>
      </c>
      <c r="AB205" s="49" t="s">
        <v>113</v>
      </c>
      <c r="AC205" s="50">
        <v>380</v>
      </c>
      <c r="AD205" s="49" t="s">
        <v>113</v>
      </c>
      <c r="AE205" s="49" t="s">
        <v>113</v>
      </c>
      <c r="AF205" s="49" t="s">
        <v>113</v>
      </c>
      <c r="AG205" s="49" t="s">
        <v>113</v>
      </c>
      <c r="AH205" s="49" t="s">
        <v>113</v>
      </c>
      <c r="AI205" s="49" t="s">
        <v>113</v>
      </c>
      <c r="AJ205" s="49" t="s">
        <v>113</v>
      </c>
      <c r="AK205" s="49" t="s">
        <v>113</v>
      </c>
      <c r="AL205" s="49" t="s">
        <v>113</v>
      </c>
      <c r="AM205" s="49"/>
      <c r="AN205" s="49" t="s">
        <v>113</v>
      </c>
      <c r="AO205" s="49" t="s">
        <v>232</v>
      </c>
      <c r="AP205" s="50">
        <v>462</v>
      </c>
      <c r="AQ205" s="47" t="s">
        <v>100</v>
      </c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 spans="1:61" ht="16.5">
      <c r="A206" s="46">
        <v>463</v>
      </c>
      <c r="B206" s="49" t="s">
        <v>113</v>
      </c>
      <c r="C206" s="74" t="s">
        <v>139</v>
      </c>
      <c r="D206" s="86">
        <f>IFERROR(VLOOKUP(C206, $C$2:D205, 2, FALSE), MAX($D$2:D205)+1)</f>
        <v>9</v>
      </c>
      <c r="E206" s="50">
        <v>78.180000000000007</v>
      </c>
      <c r="F206" s="50">
        <v>0</v>
      </c>
      <c r="G206" s="50">
        <v>2.59</v>
      </c>
      <c r="H206" s="50">
        <v>0</v>
      </c>
      <c r="I206" s="50">
        <v>0</v>
      </c>
      <c r="J206" s="50">
        <v>0</v>
      </c>
      <c r="K206" s="50">
        <v>15.28</v>
      </c>
      <c r="L206" s="50">
        <v>0</v>
      </c>
      <c r="M206" s="50">
        <v>0</v>
      </c>
      <c r="N206" s="50">
        <v>3.94</v>
      </c>
      <c r="O206" s="50">
        <v>1</v>
      </c>
      <c r="P206" s="50">
        <v>1</v>
      </c>
      <c r="Q206" s="49" t="s">
        <v>113</v>
      </c>
      <c r="R206" s="49" t="s">
        <v>113</v>
      </c>
      <c r="S206" s="49" t="s">
        <v>113</v>
      </c>
      <c r="T206" s="49" t="s">
        <v>113</v>
      </c>
      <c r="U206" s="49" t="s">
        <v>113</v>
      </c>
      <c r="V206" s="50">
        <v>2</v>
      </c>
      <c r="W206" s="49" t="s">
        <v>113</v>
      </c>
      <c r="X206" s="49" t="s">
        <v>113</v>
      </c>
      <c r="Y206" s="49" t="s">
        <v>113</v>
      </c>
      <c r="Z206" s="50">
        <v>47.8</v>
      </c>
      <c r="AA206" s="49" t="s">
        <v>113</v>
      </c>
      <c r="AB206" s="49" t="s">
        <v>113</v>
      </c>
      <c r="AC206" s="50">
        <v>515</v>
      </c>
      <c r="AD206" s="49" t="s">
        <v>113</v>
      </c>
      <c r="AE206" s="49" t="s">
        <v>113</v>
      </c>
      <c r="AF206" s="49" t="s">
        <v>113</v>
      </c>
      <c r="AG206" s="49" t="s">
        <v>113</v>
      </c>
      <c r="AH206" s="49" t="s">
        <v>113</v>
      </c>
      <c r="AI206" s="49" t="s">
        <v>113</v>
      </c>
      <c r="AJ206" s="49" t="s">
        <v>113</v>
      </c>
      <c r="AK206" s="49" t="s">
        <v>113</v>
      </c>
      <c r="AL206" s="49" t="s">
        <v>113</v>
      </c>
      <c r="AM206" s="49"/>
      <c r="AN206" s="49" t="s">
        <v>113</v>
      </c>
      <c r="AO206" s="49" t="s">
        <v>232</v>
      </c>
      <c r="AP206" s="50">
        <v>463</v>
      </c>
      <c r="AQ206" s="47" t="s">
        <v>100</v>
      </c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</row>
    <row r="207" spans="1:61" ht="16.5">
      <c r="A207" s="46">
        <v>464</v>
      </c>
      <c r="B207" s="49" t="s">
        <v>113</v>
      </c>
      <c r="C207" s="74" t="s">
        <v>139</v>
      </c>
      <c r="D207" s="86">
        <f>IFERROR(VLOOKUP(C207, $C$2:D206, 2, FALSE), MAX($D$2:D206)+1)</f>
        <v>9</v>
      </c>
      <c r="E207" s="50">
        <v>78.61</v>
      </c>
      <c r="F207" s="50">
        <v>0</v>
      </c>
      <c r="G207" s="50">
        <v>2.4</v>
      </c>
      <c r="H207" s="50">
        <v>0</v>
      </c>
      <c r="I207" s="50">
        <v>0</v>
      </c>
      <c r="J207" s="50">
        <v>0</v>
      </c>
      <c r="K207" s="50">
        <v>15.040000000000001</v>
      </c>
      <c r="L207" s="50">
        <v>0</v>
      </c>
      <c r="M207" s="50">
        <v>0</v>
      </c>
      <c r="N207" s="50">
        <v>3.95</v>
      </c>
      <c r="O207" s="50">
        <v>1</v>
      </c>
      <c r="P207" s="50">
        <v>1</v>
      </c>
      <c r="Q207" s="49" t="s">
        <v>113</v>
      </c>
      <c r="R207" s="49" t="s">
        <v>113</v>
      </c>
      <c r="S207" s="49" t="s">
        <v>113</v>
      </c>
      <c r="T207" s="49" t="s">
        <v>113</v>
      </c>
      <c r="U207" s="49" t="s">
        <v>113</v>
      </c>
      <c r="V207" s="50">
        <v>2</v>
      </c>
      <c r="W207" s="49" t="s">
        <v>113</v>
      </c>
      <c r="X207" s="49" t="s">
        <v>113</v>
      </c>
      <c r="Y207" s="49" t="s">
        <v>113</v>
      </c>
      <c r="Z207" s="50">
        <v>53.2</v>
      </c>
      <c r="AA207" s="49" t="s">
        <v>113</v>
      </c>
      <c r="AB207" s="49" t="s">
        <v>113</v>
      </c>
      <c r="AC207" s="50">
        <v>649</v>
      </c>
      <c r="AD207" s="49" t="s">
        <v>113</v>
      </c>
      <c r="AE207" s="49" t="s">
        <v>113</v>
      </c>
      <c r="AF207" s="49" t="s">
        <v>113</v>
      </c>
      <c r="AG207" s="49" t="s">
        <v>113</v>
      </c>
      <c r="AH207" s="49" t="s">
        <v>113</v>
      </c>
      <c r="AI207" s="49" t="s">
        <v>113</v>
      </c>
      <c r="AJ207" s="49" t="s">
        <v>113</v>
      </c>
      <c r="AK207" s="49" t="s">
        <v>113</v>
      </c>
      <c r="AL207" s="49" t="s">
        <v>113</v>
      </c>
      <c r="AM207" s="49"/>
      <c r="AN207" s="49" t="s">
        <v>113</v>
      </c>
      <c r="AO207" s="49" t="s">
        <v>232</v>
      </c>
      <c r="AP207" s="50">
        <v>464</v>
      </c>
      <c r="AQ207" s="47" t="s">
        <v>100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 spans="1:61" ht="16.5">
      <c r="A208" s="46">
        <v>503</v>
      </c>
      <c r="B208" s="49" t="s">
        <v>113</v>
      </c>
      <c r="C208" s="74" t="s">
        <v>139</v>
      </c>
      <c r="D208" s="86">
        <f>IFERROR(VLOOKUP(C208, $C$2:D207, 2, FALSE), MAX($D$2:D207)+1)</f>
        <v>9</v>
      </c>
      <c r="E208" s="50">
        <v>83.84</v>
      </c>
      <c r="F208" s="50">
        <v>0</v>
      </c>
      <c r="G208" s="50">
        <v>1.51</v>
      </c>
      <c r="H208" s="50">
        <v>0</v>
      </c>
      <c r="I208" s="50">
        <v>0</v>
      </c>
      <c r="J208" s="50">
        <v>0</v>
      </c>
      <c r="K208" s="50">
        <v>14.04</v>
      </c>
      <c r="L208" s="50">
        <v>0</v>
      </c>
      <c r="M208" s="50">
        <v>0</v>
      </c>
      <c r="N208" s="50">
        <v>0.61</v>
      </c>
      <c r="O208" s="50">
        <v>1</v>
      </c>
      <c r="P208" s="50">
        <v>1</v>
      </c>
      <c r="Q208" s="49" t="s">
        <v>113</v>
      </c>
      <c r="R208" s="49" t="s">
        <v>113</v>
      </c>
      <c r="S208" s="49" t="s">
        <v>113</v>
      </c>
      <c r="T208" s="49" t="s">
        <v>113</v>
      </c>
      <c r="U208" s="49" t="s">
        <v>113</v>
      </c>
      <c r="V208" s="50">
        <v>1</v>
      </c>
      <c r="W208" s="49" t="s">
        <v>113</v>
      </c>
      <c r="X208" s="49" t="s">
        <v>113</v>
      </c>
      <c r="Y208" s="49" t="s">
        <v>113</v>
      </c>
      <c r="Z208" s="50">
        <v>75</v>
      </c>
      <c r="AA208" s="49" t="s">
        <v>113</v>
      </c>
      <c r="AB208" s="49" t="s">
        <v>113</v>
      </c>
      <c r="AC208" s="50">
        <v>499</v>
      </c>
      <c r="AD208" s="49" t="s">
        <v>113</v>
      </c>
      <c r="AE208" s="49" t="s">
        <v>113</v>
      </c>
      <c r="AF208" s="49" t="s">
        <v>113</v>
      </c>
      <c r="AG208" s="49" t="s">
        <v>113</v>
      </c>
      <c r="AH208" s="49" t="s">
        <v>113</v>
      </c>
      <c r="AI208" s="49" t="s">
        <v>113</v>
      </c>
      <c r="AJ208" s="49" t="s">
        <v>113</v>
      </c>
      <c r="AK208" s="49" t="s">
        <v>113</v>
      </c>
      <c r="AL208" s="49" t="s">
        <v>113</v>
      </c>
      <c r="AM208" s="49"/>
      <c r="AN208" s="49" t="s">
        <v>113</v>
      </c>
      <c r="AO208" s="49" t="s">
        <v>232</v>
      </c>
      <c r="AP208" s="50">
        <v>503</v>
      </c>
      <c r="AQ208" s="47" t="s">
        <v>100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</row>
    <row r="209" spans="1:61" ht="16.5">
      <c r="A209" s="29">
        <v>34</v>
      </c>
      <c r="B209" s="19"/>
      <c r="C209" s="74" t="s">
        <v>139</v>
      </c>
      <c r="D209" s="86">
        <f>IFERROR(VLOOKUP(C209, $C$2:D208, 2, FALSE), MAX($D$2:D208)+1)</f>
        <v>9</v>
      </c>
      <c r="E209" s="18">
        <v>61</v>
      </c>
      <c r="F209" s="19"/>
      <c r="G209" s="18">
        <v>9</v>
      </c>
      <c r="H209" s="18">
        <v>0</v>
      </c>
      <c r="I209" s="19"/>
      <c r="J209" s="18">
        <v>0</v>
      </c>
      <c r="K209" s="18">
        <v>18.3</v>
      </c>
      <c r="L209" s="19"/>
      <c r="M209" s="19"/>
      <c r="N209" s="18">
        <v>11.7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8">
        <v>56</v>
      </c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26" t="s">
        <v>59</v>
      </c>
    </row>
    <row r="210" spans="1:61" ht="16.5">
      <c r="A210" s="29">
        <v>35</v>
      </c>
      <c r="B210" s="19"/>
      <c r="C210" s="74" t="s">
        <v>139</v>
      </c>
      <c r="D210" s="86">
        <f>IFERROR(VLOOKUP(C210, $C$2:D209, 2, FALSE), MAX($D$2:D209)+1)</f>
        <v>9</v>
      </c>
      <c r="E210" s="18">
        <v>54</v>
      </c>
      <c r="F210" s="19"/>
      <c r="G210" s="18">
        <v>17.2</v>
      </c>
      <c r="H210" s="18">
        <v>0</v>
      </c>
      <c r="I210" s="19"/>
      <c r="J210" s="18">
        <v>0</v>
      </c>
      <c r="K210" s="18">
        <v>17.600000000000001</v>
      </c>
      <c r="L210" s="19"/>
      <c r="M210" s="19"/>
      <c r="N210" s="18">
        <v>11.2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8">
        <v>63</v>
      </c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26" t="s">
        <v>59</v>
      </c>
    </row>
    <row r="211" spans="1:61" ht="16.5">
      <c r="A211" s="29">
        <v>42</v>
      </c>
      <c r="B211" s="19"/>
      <c r="C211" s="74" t="s">
        <v>139</v>
      </c>
      <c r="D211" s="86">
        <f>IFERROR(VLOOKUP(C211, $C$2:D210, 2, FALSE), MAX($D$2:D210)+1)</f>
        <v>9</v>
      </c>
      <c r="E211" s="18">
        <v>56.1</v>
      </c>
      <c r="F211" s="19"/>
      <c r="G211" s="18">
        <v>8.1</v>
      </c>
      <c r="H211" s="18">
        <v>0</v>
      </c>
      <c r="I211" s="19"/>
      <c r="J211" s="18">
        <v>0</v>
      </c>
      <c r="K211" s="18">
        <v>25.2</v>
      </c>
      <c r="L211" s="19"/>
      <c r="M211" s="19"/>
      <c r="N211" s="18">
        <v>10.6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8">
        <v>59</v>
      </c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26" t="s">
        <v>59</v>
      </c>
    </row>
    <row r="212" spans="1:61" ht="16.5">
      <c r="A212" s="29">
        <v>43</v>
      </c>
      <c r="B212" s="19"/>
      <c r="C212" s="74" t="s">
        <v>139</v>
      </c>
      <c r="D212" s="86">
        <f>IFERROR(VLOOKUP(C212, $C$2:D211, 2, FALSE), MAX($D$2:D211)+1)</f>
        <v>9</v>
      </c>
      <c r="E212" s="18">
        <v>49.8</v>
      </c>
      <c r="F212" s="19"/>
      <c r="G212" s="18">
        <v>15.8</v>
      </c>
      <c r="H212" s="18">
        <v>0</v>
      </c>
      <c r="I212" s="19"/>
      <c r="J212" s="18">
        <v>0</v>
      </c>
      <c r="K212" s="18">
        <v>24.2</v>
      </c>
      <c r="L212" s="19"/>
      <c r="M212" s="19"/>
      <c r="N212" s="18">
        <v>10.199999999999999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8">
        <v>64</v>
      </c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26" t="s">
        <v>59</v>
      </c>
    </row>
    <row r="213" spans="1:61" ht="16.5">
      <c r="A213" s="29">
        <v>73</v>
      </c>
      <c r="B213" s="19"/>
      <c r="C213" s="74" t="s">
        <v>139</v>
      </c>
      <c r="D213" s="86">
        <f>IFERROR(VLOOKUP(C213, $C$2:D212, 2, FALSE), MAX($D$2:D212)+1)</f>
        <v>9</v>
      </c>
      <c r="E213" s="18">
        <v>78.16</v>
      </c>
      <c r="F213" s="19"/>
      <c r="G213" s="18">
        <v>15.38</v>
      </c>
      <c r="H213" s="18">
        <v>0</v>
      </c>
      <c r="I213" s="19"/>
      <c r="J213" s="18">
        <v>0</v>
      </c>
      <c r="K213" s="18">
        <v>2.52</v>
      </c>
      <c r="L213" s="19"/>
      <c r="M213" s="19"/>
      <c r="N213" s="18">
        <v>3.94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8">
        <v>53</v>
      </c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26" t="s">
        <v>59</v>
      </c>
    </row>
    <row r="214" spans="1:61" ht="16.5">
      <c r="A214" s="29">
        <v>140</v>
      </c>
      <c r="B214" s="19"/>
      <c r="C214" s="74" t="s">
        <v>139</v>
      </c>
      <c r="D214" s="86">
        <f>IFERROR(VLOOKUP(C214, $C$2:D213, 2, FALSE), MAX($D$2:D213)+1)</f>
        <v>9</v>
      </c>
      <c r="E214" s="18">
        <v>73.05</v>
      </c>
      <c r="F214" s="19"/>
      <c r="G214" s="18">
        <v>4.49</v>
      </c>
      <c r="H214" s="18">
        <v>0</v>
      </c>
      <c r="I214" s="19"/>
      <c r="J214" s="18">
        <v>0</v>
      </c>
      <c r="K214" s="18">
        <v>21.09</v>
      </c>
      <c r="L214" s="19"/>
      <c r="M214" s="19"/>
      <c r="N214" s="18">
        <v>1.37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8">
        <v>54.2</v>
      </c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26" t="s">
        <v>59</v>
      </c>
    </row>
    <row r="215" spans="1:61" ht="16.5">
      <c r="A215" s="29">
        <v>161</v>
      </c>
      <c r="B215" s="19"/>
      <c r="C215" s="74" t="s">
        <v>139</v>
      </c>
      <c r="D215" s="86">
        <f>IFERROR(VLOOKUP(C215, $C$2:D214, 2, FALSE), MAX($D$2:D214)+1)</f>
        <v>9</v>
      </c>
      <c r="E215" s="18">
        <v>76.47</v>
      </c>
      <c r="F215" s="19"/>
      <c r="G215" s="18">
        <v>5.88</v>
      </c>
      <c r="H215" s="18">
        <v>0</v>
      </c>
      <c r="I215" s="19"/>
      <c r="J215" s="18">
        <v>0</v>
      </c>
      <c r="K215" s="18">
        <v>11.78</v>
      </c>
      <c r="L215" s="19"/>
      <c r="M215" s="19"/>
      <c r="N215" s="18">
        <v>5.87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8">
        <v>56</v>
      </c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26" t="s">
        <v>59</v>
      </c>
    </row>
    <row r="216" spans="1:61" ht="16.5">
      <c r="A216" s="29">
        <v>163</v>
      </c>
      <c r="B216" s="19"/>
      <c r="C216" s="74" t="s">
        <v>139</v>
      </c>
      <c r="D216" s="86">
        <f>IFERROR(VLOOKUP(C216, $C$2:D215, 2, FALSE), MAX($D$2:D215)+1)</f>
        <v>9</v>
      </c>
      <c r="E216" s="18">
        <v>72.22</v>
      </c>
      <c r="F216" s="19"/>
      <c r="G216" s="18">
        <v>5.56</v>
      </c>
      <c r="H216" s="18">
        <v>0</v>
      </c>
      <c r="I216" s="19"/>
      <c r="J216" s="18">
        <v>0</v>
      </c>
      <c r="K216" s="18">
        <v>16.66</v>
      </c>
      <c r="L216" s="19"/>
      <c r="M216" s="19"/>
      <c r="N216" s="18">
        <v>5.56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8">
        <v>59</v>
      </c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26" t="s">
        <v>59</v>
      </c>
    </row>
    <row r="217" spans="1:61" ht="16.5">
      <c r="A217" s="29">
        <v>164</v>
      </c>
      <c r="B217" s="19"/>
      <c r="C217" s="74" t="s">
        <v>139</v>
      </c>
      <c r="D217" s="86">
        <f>IFERROR(VLOOKUP(C217, $C$2:D216, 2, FALSE), MAX($D$2:D216)+1)</f>
        <v>9</v>
      </c>
      <c r="E217" s="18">
        <v>66.67</v>
      </c>
      <c r="F217" s="19"/>
      <c r="G217" s="18">
        <v>11.11</v>
      </c>
      <c r="H217" s="18">
        <v>0</v>
      </c>
      <c r="I217" s="19"/>
      <c r="J217" s="18">
        <v>0</v>
      </c>
      <c r="K217" s="18">
        <v>16.66</v>
      </c>
      <c r="L217" s="19"/>
      <c r="M217" s="19"/>
      <c r="N217" s="18">
        <v>5.56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8">
        <v>64</v>
      </c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26" t="s">
        <v>59</v>
      </c>
    </row>
    <row r="218" spans="1:61" ht="16.5">
      <c r="A218" s="29">
        <v>167</v>
      </c>
      <c r="B218" s="19"/>
      <c r="C218" s="74" t="s">
        <v>139</v>
      </c>
      <c r="D218" s="86">
        <f>IFERROR(VLOOKUP(C218, $C$2:D217, 2, FALSE), MAX($D$2:D217)+1)</f>
        <v>9</v>
      </c>
      <c r="E218" s="18">
        <v>72.22</v>
      </c>
      <c r="F218" s="19"/>
      <c r="G218" s="18">
        <v>5.56</v>
      </c>
      <c r="H218" s="18">
        <v>0</v>
      </c>
      <c r="I218" s="19"/>
      <c r="J218" s="18">
        <v>0</v>
      </c>
      <c r="K218" s="18">
        <v>16.66</v>
      </c>
      <c r="L218" s="19"/>
      <c r="M218" s="19"/>
      <c r="N218" s="18">
        <v>5.56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8">
        <v>59</v>
      </c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26" t="s">
        <v>59</v>
      </c>
    </row>
    <row r="219" spans="1:61" ht="16.5">
      <c r="A219" s="29">
        <v>168</v>
      </c>
      <c r="B219" s="19"/>
      <c r="C219" s="74" t="s">
        <v>139</v>
      </c>
      <c r="D219" s="86">
        <f>IFERROR(VLOOKUP(C219, $C$2:D218, 2, FALSE), MAX($D$2:D218)+1)</f>
        <v>9</v>
      </c>
      <c r="E219" s="18">
        <v>66.67</v>
      </c>
      <c r="F219" s="19"/>
      <c r="G219" s="18">
        <v>11.11</v>
      </c>
      <c r="H219" s="18">
        <v>0</v>
      </c>
      <c r="I219" s="19"/>
      <c r="J219" s="18">
        <v>0</v>
      </c>
      <c r="K219" s="18">
        <v>16.66</v>
      </c>
      <c r="L219" s="19"/>
      <c r="M219" s="19"/>
      <c r="N219" s="18">
        <v>5.56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8">
        <v>64</v>
      </c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26" t="s">
        <v>59</v>
      </c>
    </row>
    <row r="220" spans="1:61" s="15" customFormat="1" ht="16.5">
      <c r="A220" s="30">
        <v>169</v>
      </c>
      <c r="B220" s="24"/>
      <c r="C220" s="74" t="s">
        <v>139</v>
      </c>
      <c r="D220" s="86">
        <f>IFERROR(VLOOKUP(C220, $C$2:D219, 2, FALSE), MAX($D$2:D219)+1)</f>
        <v>9</v>
      </c>
      <c r="E220" s="23">
        <v>72.22</v>
      </c>
      <c r="F220" s="24"/>
      <c r="G220" s="23">
        <v>5.56</v>
      </c>
      <c r="H220" s="23">
        <v>0</v>
      </c>
      <c r="I220" s="24"/>
      <c r="J220" s="23">
        <v>0</v>
      </c>
      <c r="K220" s="23">
        <v>16.66</v>
      </c>
      <c r="L220" s="24"/>
      <c r="M220" s="24"/>
      <c r="N220" s="23">
        <v>5.56</v>
      </c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3">
        <v>59</v>
      </c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77"/>
      <c r="AQ220" s="26" t="s">
        <v>59</v>
      </c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</row>
    <row r="221" spans="1:61" s="15" customFormat="1" ht="16.5">
      <c r="A221" s="29">
        <v>177</v>
      </c>
      <c r="B221" s="24"/>
      <c r="C221" s="74" t="s">
        <v>139</v>
      </c>
      <c r="D221" s="86">
        <f>IFERROR(VLOOKUP(C221, $C$2:D220, 2, FALSE), MAX($D$2:D220)+1)</f>
        <v>9</v>
      </c>
      <c r="E221" s="23">
        <v>66.67</v>
      </c>
      <c r="F221" s="24"/>
      <c r="G221" s="23">
        <v>11.11</v>
      </c>
      <c r="H221" s="23">
        <v>0</v>
      </c>
      <c r="I221" s="24"/>
      <c r="J221" s="23">
        <v>0</v>
      </c>
      <c r="K221" s="23">
        <v>16.66</v>
      </c>
      <c r="L221" s="24"/>
      <c r="M221" s="24"/>
      <c r="N221" s="23">
        <v>5.56</v>
      </c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3">
        <v>64</v>
      </c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19"/>
      <c r="AQ221" s="26" t="s">
        <v>59</v>
      </c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</row>
    <row r="222" spans="1:61" s="15" customFormat="1" ht="16.5">
      <c r="A222" s="29">
        <v>190</v>
      </c>
      <c r="B222" s="24"/>
      <c r="C222" s="74" t="s">
        <v>139</v>
      </c>
      <c r="D222" s="86">
        <f>IFERROR(VLOOKUP(C222, $C$2:D221, 2, FALSE), MAX($D$2:D221)+1)</f>
        <v>9</v>
      </c>
      <c r="E222" s="23">
        <v>76</v>
      </c>
      <c r="F222" s="24"/>
      <c r="G222" s="23">
        <v>2.64</v>
      </c>
      <c r="H222" s="23">
        <v>0</v>
      </c>
      <c r="I222" s="24"/>
      <c r="J222" s="23">
        <v>0</v>
      </c>
      <c r="K222" s="23">
        <v>15.53</v>
      </c>
      <c r="L222" s="24"/>
      <c r="M222" s="24"/>
      <c r="N222" s="23">
        <v>5.83</v>
      </c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3">
        <v>88</v>
      </c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19"/>
      <c r="AQ222" s="28" t="s">
        <v>59</v>
      </c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</row>
    <row r="223" spans="1:61" s="15" customFormat="1" ht="16.5">
      <c r="A223" s="29">
        <v>191</v>
      </c>
      <c r="B223" s="24"/>
      <c r="C223" s="74" t="s">
        <v>139</v>
      </c>
      <c r="D223" s="86">
        <f>IFERROR(VLOOKUP(C223, $C$2:D222, 2, FALSE), MAX($D$2:D222)+1)</f>
        <v>9</v>
      </c>
      <c r="E223" s="23">
        <v>75.540000000000006</v>
      </c>
      <c r="F223" s="24"/>
      <c r="G223" s="23">
        <v>5.24</v>
      </c>
      <c r="H223" s="23">
        <v>0</v>
      </c>
      <c r="I223" s="24"/>
      <c r="J223" s="23">
        <v>0</v>
      </c>
      <c r="K223" s="23">
        <v>15.44</v>
      </c>
      <c r="L223" s="24"/>
      <c r="M223" s="24"/>
      <c r="N223" s="23">
        <v>3.78</v>
      </c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3">
        <v>79</v>
      </c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19"/>
      <c r="AQ223" s="26" t="s">
        <v>59</v>
      </c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</row>
    <row r="224" spans="1:61" s="25" customFormat="1" ht="16.5">
      <c r="A224" s="29">
        <v>192</v>
      </c>
      <c r="B224" s="24"/>
      <c r="C224" s="74" t="s">
        <v>139</v>
      </c>
      <c r="D224" s="86">
        <f>IFERROR(VLOOKUP(C224, $C$2:D223, 2, FALSE), MAX($D$2:D223)+1)</f>
        <v>9</v>
      </c>
      <c r="E224" s="23">
        <v>77.14</v>
      </c>
      <c r="F224" s="24"/>
      <c r="G224" s="23">
        <v>2.59</v>
      </c>
      <c r="H224" s="23">
        <v>0</v>
      </c>
      <c r="I224" s="24"/>
      <c r="J224" s="23">
        <v>0</v>
      </c>
      <c r="K224" s="23">
        <v>16.53</v>
      </c>
      <c r="L224" s="24"/>
      <c r="M224" s="24"/>
      <c r="N224" s="23">
        <v>3.74</v>
      </c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3">
        <v>61</v>
      </c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19"/>
      <c r="AQ224" s="26" t="s">
        <v>59</v>
      </c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</row>
    <row r="225" spans="1:61" s="25" customFormat="1" ht="16.5">
      <c r="A225" s="29">
        <v>193</v>
      </c>
      <c r="B225" s="24"/>
      <c r="C225" s="74" t="s">
        <v>139</v>
      </c>
      <c r="D225" s="86">
        <f>IFERROR(VLOOKUP(C225, $C$2:D224, 2, FALSE), MAX($D$2:D224)+1)</f>
        <v>9</v>
      </c>
      <c r="E225" s="23">
        <v>74.400000000000006</v>
      </c>
      <c r="F225" s="24"/>
      <c r="G225" s="23">
        <v>2.66</v>
      </c>
      <c r="H225" s="23">
        <v>0</v>
      </c>
      <c r="I225" s="24"/>
      <c r="J225" s="23">
        <v>0</v>
      </c>
      <c r="K225" s="23">
        <v>17.04</v>
      </c>
      <c r="L225" s="24"/>
      <c r="M225" s="24"/>
      <c r="N225" s="23">
        <v>5.9</v>
      </c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3">
        <v>54</v>
      </c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19"/>
      <c r="AQ225" s="26" t="s">
        <v>59</v>
      </c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</row>
    <row r="226" spans="1:61" s="25" customFormat="1" ht="16.5">
      <c r="A226" s="29">
        <v>194</v>
      </c>
      <c r="B226" s="24"/>
      <c r="C226" s="74" t="s">
        <v>139</v>
      </c>
      <c r="D226" s="86">
        <f>IFERROR(VLOOKUP(C226, $C$2:D225, 2, FALSE), MAX($D$2:D225)+1)</f>
        <v>9</v>
      </c>
      <c r="E226" s="23">
        <v>79.099999999999994</v>
      </c>
      <c r="F226" s="24"/>
      <c r="G226" s="23">
        <v>2.57</v>
      </c>
      <c r="H226" s="23">
        <v>0</v>
      </c>
      <c r="I226" s="24"/>
      <c r="J226" s="23">
        <v>0</v>
      </c>
      <c r="K226" s="23">
        <v>12.64</v>
      </c>
      <c r="L226" s="24"/>
      <c r="M226" s="24"/>
      <c r="N226" s="23">
        <v>5.69</v>
      </c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3">
        <v>77</v>
      </c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19"/>
      <c r="AQ226" s="26" t="s">
        <v>59</v>
      </c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</row>
    <row r="227" spans="1:61" s="25" customFormat="1" ht="16.5">
      <c r="A227" s="30">
        <v>195</v>
      </c>
      <c r="B227" s="24"/>
      <c r="C227" s="74" t="s">
        <v>139</v>
      </c>
      <c r="D227" s="86">
        <f>IFERROR(VLOOKUP(C227, $C$2:D226, 2, FALSE), MAX($D$2:D226)+1)</f>
        <v>9</v>
      </c>
      <c r="E227" s="23">
        <v>80.16</v>
      </c>
      <c r="F227" s="24"/>
      <c r="G227" s="23">
        <v>2.5299999999999998</v>
      </c>
      <c r="H227" s="23">
        <v>0</v>
      </c>
      <c r="I227" s="24"/>
      <c r="J227" s="23">
        <v>0</v>
      </c>
      <c r="K227" s="23">
        <v>13.66</v>
      </c>
      <c r="L227" s="24"/>
      <c r="M227" s="24"/>
      <c r="N227" s="23">
        <v>3.65</v>
      </c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3">
        <v>61</v>
      </c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77"/>
      <c r="AQ227" s="28" t="s">
        <v>59</v>
      </c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</row>
    <row r="228" spans="1:61" ht="16.5">
      <c r="A228" s="29">
        <v>196</v>
      </c>
      <c r="B228" s="19"/>
      <c r="C228" s="74" t="s">
        <v>139</v>
      </c>
      <c r="D228" s="86">
        <f>IFERROR(VLOOKUP(C228, $C$2:D227, 2, FALSE), MAX($D$2:D227)+1)</f>
        <v>9</v>
      </c>
      <c r="E228" s="18">
        <v>79.73</v>
      </c>
      <c r="F228" s="19"/>
      <c r="G228" s="18">
        <v>2.52</v>
      </c>
      <c r="H228" s="18">
        <v>0</v>
      </c>
      <c r="I228" s="19"/>
      <c r="J228" s="18">
        <v>0</v>
      </c>
      <c r="K228" s="18">
        <v>16.059999999999999</v>
      </c>
      <c r="L228" s="19"/>
      <c r="M228" s="19"/>
      <c r="N228" s="18">
        <v>1.69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8">
        <v>69</v>
      </c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26" t="s">
        <v>59</v>
      </c>
    </row>
    <row r="229" spans="1:61" ht="16.5">
      <c r="A229" s="29">
        <v>197</v>
      </c>
      <c r="B229" s="19"/>
      <c r="C229" s="74" t="s">
        <v>139</v>
      </c>
      <c r="D229" s="86">
        <f>IFERROR(VLOOKUP(C229, $C$2:D228, 2, FALSE), MAX($D$2:D228)+1)</f>
        <v>9</v>
      </c>
      <c r="E229" s="18">
        <v>81.62</v>
      </c>
      <c r="F229" s="19"/>
      <c r="G229" s="18">
        <v>2.5</v>
      </c>
      <c r="H229" s="18">
        <v>0</v>
      </c>
      <c r="I229" s="19"/>
      <c r="J229" s="18">
        <v>0</v>
      </c>
      <c r="K229" s="18">
        <v>12.28</v>
      </c>
      <c r="L229" s="19"/>
      <c r="M229" s="19"/>
      <c r="N229" s="18">
        <v>3.6</v>
      </c>
      <c r="O229" s="19"/>
      <c r="P229" s="19"/>
      <c r="R229" s="19"/>
      <c r="S229" s="19"/>
      <c r="T229" s="19"/>
      <c r="U229" s="19"/>
      <c r="V229" s="19"/>
      <c r="W229" s="19"/>
      <c r="X229" s="19"/>
      <c r="Y229" s="19"/>
      <c r="Z229" s="18">
        <v>73</v>
      </c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26" t="s">
        <v>59</v>
      </c>
    </row>
    <row r="230" spans="1:61" s="15" customFormat="1" ht="16.5">
      <c r="A230" s="46">
        <v>489</v>
      </c>
      <c r="B230" s="52" t="s">
        <v>113</v>
      </c>
      <c r="C230" s="74" t="s">
        <v>152</v>
      </c>
      <c r="D230" s="86">
        <f>IFERROR(VLOOKUP(C230, $C$2:D229, 2, FALSE), MAX($D$2:D229)+1)</f>
        <v>10</v>
      </c>
      <c r="E230" s="57">
        <v>77</v>
      </c>
      <c r="F230" s="57">
        <v>0</v>
      </c>
      <c r="G230" s="57">
        <v>0</v>
      </c>
      <c r="H230" s="57">
        <v>1</v>
      </c>
      <c r="I230" s="57">
        <v>0</v>
      </c>
      <c r="J230" s="57">
        <v>0</v>
      </c>
      <c r="K230" s="57">
        <v>22</v>
      </c>
      <c r="L230" s="57">
        <v>0</v>
      </c>
      <c r="M230" s="57">
        <v>0</v>
      </c>
      <c r="N230" s="57">
        <v>0</v>
      </c>
      <c r="O230" s="57">
        <v>1</v>
      </c>
      <c r="P230" s="57">
        <v>1</v>
      </c>
      <c r="Q230" s="52" t="s">
        <v>113</v>
      </c>
      <c r="R230" s="52" t="s">
        <v>113</v>
      </c>
      <c r="S230" s="52" t="s">
        <v>113</v>
      </c>
      <c r="T230" s="52" t="s">
        <v>113</v>
      </c>
      <c r="U230" s="52" t="s">
        <v>113</v>
      </c>
      <c r="V230" s="57">
        <v>1</v>
      </c>
      <c r="W230" s="52" t="s">
        <v>113</v>
      </c>
      <c r="X230" s="52" t="s">
        <v>113</v>
      </c>
      <c r="Y230" s="52" t="s">
        <v>113</v>
      </c>
      <c r="Z230" s="57">
        <v>87</v>
      </c>
      <c r="AA230" s="52" t="s">
        <v>113</v>
      </c>
      <c r="AB230" s="52" t="s">
        <v>113</v>
      </c>
      <c r="AC230" s="57">
        <v>452</v>
      </c>
      <c r="AD230" s="52" t="s">
        <v>113</v>
      </c>
      <c r="AE230" s="52" t="s">
        <v>113</v>
      </c>
      <c r="AF230" s="52" t="s">
        <v>113</v>
      </c>
      <c r="AG230" s="52" t="s">
        <v>113</v>
      </c>
      <c r="AH230" s="52" t="s">
        <v>113</v>
      </c>
      <c r="AI230" s="52" t="s">
        <v>113</v>
      </c>
      <c r="AJ230" s="52" t="s">
        <v>113</v>
      </c>
      <c r="AK230" s="52" t="s">
        <v>113</v>
      </c>
      <c r="AL230" s="52" t="s">
        <v>113</v>
      </c>
      <c r="AM230" s="52"/>
      <c r="AN230" s="52" t="s">
        <v>113</v>
      </c>
      <c r="AO230" s="52" t="s">
        <v>114</v>
      </c>
      <c r="AP230" s="50">
        <v>489</v>
      </c>
      <c r="AQ230" s="59" t="s">
        <v>100</v>
      </c>
    </row>
    <row r="231" spans="1:61" s="15" customFormat="1" ht="16.5">
      <c r="A231" s="46">
        <v>506</v>
      </c>
      <c r="B231" s="52" t="s">
        <v>113</v>
      </c>
      <c r="C231" s="74" t="s">
        <v>152</v>
      </c>
      <c r="D231" s="86">
        <f>IFERROR(VLOOKUP(C231, $C$2:D230, 2, FALSE), MAX($D$2:D230)+1)</f>
        <v>10</v>
      </c>
      <c r="E231" s="57">
        <v>91.86</v>
      </c>
      <c r="F231" s="57">
        <v>0</v>
      </c>
      <c r="G231" s="57">
        <v>0</v>
      </c>
      <c r="H231" s="57">
        <v>6.47</v>
      </c>
      <c r="I231" s="57">
        <v>0</v>
      </c>
      <c r="J231" s="57">
        <v>0</v>
      </c>
      <c r="K231" s="57">
        <v>1.67</v>
      </c>
      <c r="L231" s="57">
        <v>0</v>
      </c>
      <c r="M231" s="57">
        <v>0</v>
      </c>
      <c r="N231" s="57">
        <v>0</v>
      </c>
      <c r="O231" s="57">
        <v>1</v>
      </c>
      <c r="P231" s="57">
        <v>1</v>
      </c>
      <c r="Q231" s="52" t="s">
        <v>113</v>
      </c>
      <c r="R231" s="52" t="s">
        <v>113</v>
      </c>
      <c r="S231" s="52" t="s">
        <v>113</v>
      </c>
      <c r="T231" s="52" t="s">
        <v>113</v>
      </c>
      <c r="U231" s="52" t="s">
        <v>113</v>
      </c>
      <c r="V231" s="57">
        <v>1</v>
      </c>
      <c r="W231" s="52" t="s">
        <v>113</v>
      </c>
      <c r="X231" s="52" t="s">
        <v>113</v>
      </c>
      <c r="Y231" s="52" t="s">
        <v>113</v>
      </c>
      <c r="Z231" s="57">
        <v>105</v>
      </c>
      <c r="AA231" s="52" t="s">
        <v>113</v>
      </c>
      <c r="AB231" s="52" t="s">
        <v>113</v>
      </c>
      <c r="AC231" s="57">
        <v>449</v>
      </c>
      <c r="AD231" s="52" t="s">
        <v>113</v>
      </c>
      <c r="AE231" s="52" t="s">
        <v>113</v>
      </c>
      <c r="AF231" s="52" t="s">
        <v>113</v>
      </c>
      <c r="AG231" s="52" t="s">
        <v>113</v>
      </c>
      <c r="AH231" s="52" t="s">
        <v>113</v>
      </c>
      <c r="AI231" s="52" t="s">
        <v>113</v>
      </c>
      <c r="AJ231" s="52" t="s">
        <v>113</v>
      </c>
      <c r="AK231" s="52" t="s">
        <v>113</v>
      </c>
      <c r="AL231" s="52" t="s">
        <v>113</v>
      </c>
      <c r="AM231" s="52"/>
      <c r="AN231" s="52" t="s">
        <v>113</v>
      </c>
      <c r="AO231" s="52" t="s">
        <v>114</v>
      </c>
      <c r="AP231" s="50">
        <v>506</v>
      </c>
      <c r="AQ231" s="47" t="s">
        <v>100</v>
      </c>
    </row>
    <row r="232" spans="1:61" s="15" customFormat="1" ht="16.5">
      <c r="A232" s="64">
        <v>511</v>
      </c>
      <c r="B232" s="62" t="s">
        <v>113</v>
      </c>
      <c r="C232" s="74" t="s">
        <v>152</v>
      </c>
      <c r="D232" s="86">
        <f>IFERROR(VLOOKUP(C232, $C$2:D231, 2, FALSE), MAX($D$2:D231)+1)</f>
        <v>10</v>
      </c>
      <c r="E232" s="63">
        <v>72</v>
      </c>
      <c r="F232" s="63">
        <v>0</v>
      </c>
      <c r="G232" s="63">
        <v>0</v>
      </c>
      <c r="H232" s="63">
        <v>2</v>
      </c>
      <c r="I232" s="63">
        <v>0</v>
      </c>
      <c r="J232" s="63">
        <v>0</v>
      </c>
      <c r="K232" s="63">
        <v>26</v>
      </c>
      <c r="L232" s="63">
        <v>0</v>
      </c>
      <c r="M232" s="63">
        <v>0</v>
      </c>
      <c r="N232" s="63">
        <v>0</v>
      </c>
      <c r="O232" s="63">
        <v>1</v>
      </c>
      <c r="P232" s="65" t="s">
        <v>173</v>
      </c>
      <c r="Q232" s="62">
        <v>0</v>
      </c>
      <c r="R232" s="62">
        <v>0</v>
      </c>
      <c r="S232" s="62">
        <v>0</v>
      </c>
      <c r="T232" s="62">
        <v>0</v>
      </c>
      <c r="U232" s="62">
        <v>0</v>
      </c>
      <c r="V232" s="62">
        <v>0</v>
      </c>
      <c r="W232" s="62">
        <v>0</v>
      </c>
      <c r="X232" s="62">
        <v>0</v>
      </c>
      <c r="Y232" s="62">
        <v>0</v>
      </c>
      <c r="Z232" s="63">
        <v>67</v>
      </c>
      <c r="AA232" s="62" t="s">
        <v>113</v>
      </c>
      <c r="AB232" s="62" t="s">
        <v>113</v>
      </c>
      <c r="AC232" s="63">
        <v>535</v>
      </c>
      <c r="AD232" s="62" t="s">
        <v>113</v>
      </c>
      <c r="AE232" s="62" t="s">
        <v>113</v>
      </c>
      <c r="AF232" s="62" t="s">
        <v>113</v>
      </c>
      <c r="AG232" s="62" t="s">
        <v>113</v>
      </c>
      <c r="AH232" s="62" t="s">
        <v>113</v>
      </c>
      <c r="AI232" s="62" t="s">
        <v>113</v>
      </c>
      <c r="AJ232" s="62" t="s">
        <v>113</v>
      </c>
      <c r="AK232" s="62" t="s">
        <v>113</v>
      </c>
      <c r="AL232" s="62" t="s">
        <v>113</v>
      </c>
      <c r="AM232" s="62"/>
      <c r="AN232" s="62" t="s">
        <v>113</v>
      </c>
      <c r="AO232" s="62" t="s">
        <v>114</v>
      </c>
      <c r="AP232" s="79">
        <v>511</v>
      </c>
      <c r="AQ232" s="34" t="s">
        <v>100</v>
      </c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1:61" s="25" customFormat="1" ht="16.5">
      <c r="A233" s="33">
        <v>512</v>
      </c>
      <c r="B233" s="62" t="s">
        <v>113</v>
      </c>
      <c r="C233" s="74" t="s">
        <v>152</v>
      </c>
      <c r="D233" s="86">
        <f>IFERROR(VLOOKUP(C233, $C$2:D232, 2, FALSE), MAX($D$2:D232)+1)</f>
        <v>10</v>
      </c>
      <c r="E233" s="63">
        <v>70</v>
      </c>
      <c r="F233" s="63">
        <v>0</v>
      </c>
      <c r="G233" s="63">
        <v>0</v>
      </c>
      <c r="H233" s="63">
        <v>4</v>
      </c>
      <c r="I233" s="63">
        <v>0</v>
      </c>
      <c r="J233" s="63">
        <v>0</v>
      </c>
      <c r="K233" s="63">
        <v>26</v>
      </c>
      <c r="L233" s="63">
        <v>0</v>
      </c>
      <c r="M233" s="63">
        <v>0</v>
      </c>
      <c r="N233" s="63">
        <v>0</v>
      </c>
      <c r="O233" s="63">
        <v>1</v>
      </c>
      <c r="P233" s="65" t="s">
        <v>173</v>
      </c>
      <c r="Q233" s="62">
        <v>0</v>
      </c>
      <c r="R233" s="62">
        <v>0</v>
      </c>
      <c r="S233" s="62">
        <v>0</v>
      </c>
      <c r="T233" s="62">
        <v>0</v>
      </c>
      <c r="U233" s="62">
        <v>0</v>
      </c>
      <c r="V233" s="62">
        <v>0</v>
      </c>
      <c r="W233" s="62">
        <v>0</v>
      </c>
      <c r="X233" s="62">
        <v>0</v>
      </c>
      <c r="Y233" s="62">
        <v>0</v>
      </c>
      <c r="Z233" s="63">
        <v>64</v>
      </c>
      <c r="AA233" s="62" t="s">
        <v>113</v>
      </c>
      <c r="AB233" s="62" t="s">
        <v>113</v>
      </c>
      <c r="AC233" s="63">
        <v>621</v>
      </c>
      <c r="AD233" s="62" t="s">
        <v>113</v>
      </c>
      <c r="AE233" s="62" t="s">
        <v>113</v>
      </c>
      <c r="AF233" s="62" t="s">
        <v>113</v>
      </c>
      <c r="AG233" s="62" t="s">
        <v>113</v>
      </c>
      <c r="AH233" s="62" t="s">
        <v>113</v>
      </c>
      <c r="AI233" s="62" t="s">
        <v>113</v>
      </c>
      <c r="AJ233" s="62" t="s">
        <v>113</v>
      </c>
      <c r="AK233" s="62" t="s">
        <v>113</v>
      </c>
      <c r="AL233" s="62" t="s">
        <v>113</v>
      </c>
      <c r="AM233" s="62"/>
      <c r="AN233" s="62" t="s">
        <v>113</v>
      </c>
      <c r="AO233" s="62" t="s">
        <v>232</v>
      </c>
      <c r="AP233" s="36">
        <v>512</v>
      </c>
      <c r="AQ233" s="34" t="s">
        <v>100</v>
      </c>
    </row>
    <row r="234" spans="1:61" s="25" customFormat="1" ht="16.5">
      <c r="A234" s="33">
        <v>513</v>
      </c>
      <c r="B234" s="62" t="s">
        <v>113</v>
      </c>
      <c r="C234" s="74" t="s">
        <v>152</v>
      </c>
      <c r="D234" s="86">
        <f>IFERROR(VLOOKUP(C234, $C$2:D233, 2, FALSE), MAX($D$2:D233)+1)</f>
        <v>10</v>
      </c>
      <c r="E234" s="63">
        <v>68</v>
      </c>
      <c r="F234" s="63">
        <v>0</v>
      </c>
      <c r="G234" s="63">
        <v>0</v>
      </c>
      <c r="H234" s="63">
        <v>6</v>
      </c>
      <c r="I234" s="63">
        <v>0</v>
      </c>
      <c r="J234" s="63">
        <v>0</v>
      </c>
      <c r="K234" s="63">
        <v>26</v>
      </c>
      <c r="L234" s="63">
        <v>0</v>
      </c>
      <c r="M234" s="63">
        <v>0</v>
      </c>
      <c r="N234" s="63">
        <v>0</v>
      </c>
      <c r="O234" s="63">
        <v>1</v>
      </c>
      <c r="P234" s="65" t="s">
        <v>173</v>
      </c>
      <c r="Q234" s="62">
        <v>0</v>
      </c>
      <c r="R234" s="62">
        <v>0</v>
      </c>
      <c r="S234" s="62">
        <v>0</v>
      </c>
      <c r="T234" s="62">
        <v>0</v>
      </c>
      <c r="U234" s="62">
        <v>0</v>
      </c>
      <c r="V234" s="62">
        <v>0</v>
      </c>
      <c r="W234" s="62">
        <v>0</v>
      </c>
      <c r="X234" s="62">
        <v>0</v>
      </c>
      <c r="Y234" s="62">
        <v>0</v>
      </c>
      <c r="Z234" s="63">
        <v>56</v>
      </c>
      <c r="AA234" s="62" t="s">
        <v>113</v>
      </c>
      <c r="AB234" s="62" t="s">
        <v>113</v>
      </c>
      <c r="AC234" s="63">
        <v>634</v>
      </c>
      <c r="AD234" s="62" t="s">
        <v>113</v>
      </c>
      <c r="AE234" s="62" t="s">
        <v>113</v>
      </c>
      <c r="AF234" s="62" t="s">
        <v>113</v>
      </c>
      <c r="AG234" s="62" t="s">
        <v>113</v>
      </c>
      <c r="AH234" s="62" t="s">
        <v>113</v>
      </c>
      <c r="AI234" s="62" t="s">
        <v>113</v>
      </c>
      <c r="AJ234" s="62" t="s">
        <v>113</v>
      </c>
      <c r="AK234" s="62" t="s">
        <v>113</v>
      </c>
      <c r="AL234" s="62" t="s">
        <v>113</v>
      </c>
      <c r="AM234" s="62"/>
      <c r="AN234" s="62" t="s">
        <v>113</v>
      </c>
      <c r="AO234" s="62" t="s">
        <v>114</v>
      </c>
      <c r="AP234" s="36">
        <v>513</v>
      </c>
      <c r="AQ234" s="34" t="s">
        <v>100</v>
      </c>
    </row>
    <row r="235" spans="1:61" s="25" customFormat="1" ht="16.5">
      <c r="A235" s="33">
        <v>514</v>
      </c>
      <c r="B235" s="62" t="s">
        <v>113</v>
      </c>
      <c r="C235" s="74" t="s">
        <v>152</v>
      </c>
      <c r="D235" s="86">
        <f>IFERROR(VLOOKUP(C235, $C$2:D234, 2, FALSE), MAX($D$2:D234)+1)</f>
        <v>10</v>
      </c>
      <c r="E235" s="63">
        <v>66</v>
      </c>
      <c r="F235" s="63">
        <v>0</v>
      </c>
      <c r="G235" s="63">
        <v>0</v>
      </c>
      <c r="H235" s="63">
        <v>8</v>
      </c>
      <c r="I235" s="63">
        <v>0</v>
      </c>
      <c r="J235" s="63">
        <v>0</v>
      </c>
      <c r="K235" s="63">
        <v>26</v>
      </c>
      <c r="L235" s="63">
        <v>0</v>
      </c>
      <c r="M235" s="63">
        <v>0</v>
      </c>
      <c r="N235" s="63">
        <v>0</v>
      </c>
      <c r="O235" s="63">
        <v>1</v>
      </c>
      <c r="P235" s="65" t="s">
        <v>173</v>
      </c>
      <c r="Q235" s="62">
        <v>0</v>
      </c>
      <c r="R235" s="62">
        <v>0</v>
      </c>
      <c r="S235" s="62">
        <v>0</v>
      </c>
      <c r="T235" s="62">
        <v>0</v>
      </c>
      <c r="U235" s="62">
        <v>0</v>
      </c>
      <c r="V235" s="62">
        <v>0</v>
      </c>
      <c r="W235" s="62">
        <v>0</v>
      </c>
      <c r="X235" s="62">
        <v>0</v>
      </c>
      <c r="Y235" s="62">
        <v>0</v>
      </c>
      <c r="Z235" s="63">
        <v>55</v>
      </c>
      <c r="AA235" s="62" t="s">
        <v>113</v>
      </c>
      <c r="AB235" s="62" t="s">
        <v>113</v>
      </c>
      <c r="AC235" s="63">
        <v>663</v>
      </c>
      <c r="AD235" s="62" t="s">
        <v>113</v>
      </c>
      <c r="AE235" s="62" t="s">
        <v>113</v>
      </c>
      <c r="AF235" s="62" t="s">
        <v>113</v>
      </c>
      <c r="AG235" s="62" t="s">
        <v>113</v>
      </c>
      <c r="AH235" s="62" t="s">
        <v>113</v>
      </c>
      <c r="AI235" s="62" t="s">
        <v>113</v>
      </c>
      <c r="AJ235" s="62" t="s">
        <v>113</v>
      </c>
      <c r="AK235" s="62" t="s">
        <v>113</v>
      </c>
      <c r="AL235" s="62" t="s">
        <v>113</v>
      </c>
      <c r="AM235" s="62"/>
      <c r="AN235" s="62" t="s">
        <v>113</v>
      </c>
      <c r="AO235" s="62" t="s">
        <v>114</v>
      </c>
      <c r="AP235" s="36">
        <v>514</v>
      </c>
      <c r="AQ235" s="34" t="s">
        <v>100</v>
      </c>
    </row>
    <row r="236" spans="1:61" s="25" customFormat="1" ht="16.5">
      <c r="A236" s="30">
        <v>3</v>
      </c>
      <c r="B236" s="24"/>
      <c r="C236" s="74" t="s">
        <v>152</v>
      </c>
      <c r="D236" s="86">
        <f>IFERROR(VLOOKUP(C236, $C$2:D235, 2, FALSE), MAX($D$2:D235)+1)</f>
        <v>10</v>
      </c>
      <c r="E236" s="23">
        <v>87.5</v>
      </c>
      <c r="F236" s="24"/>
      <c r="G236" s="23">
        <v>0</v>
      </c>
      <c r="H236" s="23">
        <v>6.25</v>
      </c>
      <c r="I236" s="24"/>
      <c r="J236" s="23">
        <v>0</v>
      </c>
      <c r="K236" s="23">
        <v>6.25</v>
      </c>
      <c r="L236" s="24"/>
      <c r="M236" s="24"/>
      <c r="N236" s="23">
        <v>0</v>
      </c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3">
        <v>92</v>
      </c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77"/>
      <c r="AQ236" s="26" t="s">
        <v>59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</row>
    <row r="237" spans="1:61" ht="16.5">
      <c r="A237" s="29">
        <v>14</v>
      </c>
      <c r="B237" s="19"/>
      <c r="C237" s="74" t="s">
        <v>152</v>
      </c>
      <c r="D237" s="86">
        <f>IFERROR(VLOOKUP(C237, $C$2:D236, 2, FALSE), MAX($D$2:D236)+1)</f>
        <v>10</v>
      </c>
      <c r="E237" s="18">
        <v>90.1</v>
      </c>
      <c r="F237" s="19"/>
      <c r="G237" s="18">
        <v>0</v>
      </c>
      <c r="H237" s="18">
        <v>8.1999999999999993</v>
      </c>
      <c r="I237" s="19"/>
      <c r="J237" s="18">
        <v>0</v>
      </c>
      <c r="K237" s="18">
        <v>1.7</v>
      </c>
      <c r="L237" s="19"/>
      <c r="M237" s="19"/>
      <c r="N237" s="18">
        <v>0</v>
      </c>
      <c r="O237" s="19"/>
      <c r="P237" s="19"/>
      <c r="Q237" s="19"/>
      <c r="R237" s="31"/>
      <c r="S237" s="24"/>
      <c r="T237" s="32"/>
      <c r="U237" s="19"/>
      <c r="V237" s="19"/>
      <c r="W237" s="19"/>
      <c r="X237" s="19"/>
      <c r="Y237" s="19"/>
      <c r="Z237" s="18">
        <v>82</v>
      </c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26" t="s">
        <v>59</v>
      </c>
    </row>
    <row r="238" spans="1:61" ht="16.5">
      <c r="A238" s="29">
        <v>22</v>
      </c>
      <c r="B238" s="19"/>
      <c r="C238" s="74" t="s">
        <v>152</v>
      </c>
      <c r="D238" s="86">
        <f>IFERROR(VLOOKUP(C238, $C$2:D237, 2, FALSE), MAX($D$2:D237)+1)</f>
        <v>10</v>
      </c>
      <c r="E238" s="18">
        <v>78</v>
      </c>
      <c r="F238" s="19"/>
      <c r="G238" s="18">
        <v>0</v>
      </c>
      <c r="H238" s="18">
        <v>11.2</v>
      </c>
      <c r="I238" s="19"/>
      <c r="J238" s="18">
        <v>0</v>
      </c>
      <c r="K238" s="18">
        <v>10.8</v>
      </c>
      <c r="L238" s="19"/>
      <c r="M238" s="19"/>
      <c r="N238" s="18">
        <v>0</v>
      </c>
      <c r="O238" s="19"/>
      <c r="P238" s="19"/>
      <c r="Q238" s="19"/>
      <c r="R238" s="31"/>
      <c r="S238" s="24"/>
      <c r="T238" s="32"/>
      <c r="U238" s="19"/>
      <c r="V238" s="19"/>
      <c r="W238" s="19"/>
      <c r="X238" s="19"/>
      <c r="Y238" s="19"/>
      <c r="Z238" s="18">
        <v>92</v>
      </c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26" t="s">
        <v>59</v>
      </c>
    </row>
    <row r="239" spans="1:61" ht="16.5">
      <c r="A239" s="29">
        <v>30</v>
      </c>
      <c r="B239" s="19"/>
      <c r="C239" s="74" t="s">
        <v>152</v>
      </c>
      <c r="D239" s="86">
        <f>IFERROR(VLOOKUP(C239, $C$2:D238, 2, FALSE), MAX($D$2:D238)+1)</f>
        <v>10</v>
      </c>
      <c r="E239" s="18">
        <v>70.400000000000006</v>
      </c>
      <c r="F239" s="19"/>
      <c r="G239" s="18">
        <v>0</v>
      </c>
      <c r="H239" s="18">
        <v>10.1</v>
      </c>
      <c r="I239" s="19"/>
      <c r="J239" s="18">
        <v>0</v>
      </c>
      <c r="K239" s="18">
        <v>19.5</v>
      </c>
      <c r="L239" s="19"/>
      <c r="M239" s="19"/>
      <c r="N239" s="18">
        <v>0</v>
      </c>
      <c r="O239" s="19"/>
      <c r="P239" s="19"/>
      <c r="Q239" s="19"/>
      <c r="R239" s="31"/>
      <c r="S239" s="24"/>
      <c r="T239" s="32"/>
      <c r="U239" s="19"/>
      <c r="V239" s="19"/>
      <c r="W239" s="19"/>
      <c r="X239" s="19"/>
      <c r="Y239" s="19"/>
      <c r="Z239" s="18">
        <v>83</v>
      </c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26" t="s">
        <v>59</v>
      </c>
    </row>
    <row r="240" spans="1:61" ht="16.5">
      <c r="A240" s="29">
        <v>38</v>
      </c>
      <c r="B240" s="19"/>
      <c r="C240" s="74" t="s">
        <v>152</v>
      </c>
      <c r="D240" s="86">
        <f>IFERROR(VLOOKUP(C240, $C$2:D239, 2, FALSE), MAX($D$2:D239)+1)</f>
        <v>10</v>
      </c>
      <c r="E240" s="18">
        <v>64.099999999999994</v>
      </c>
      <c r="F240" s="19"/>
      <c r="G240" s="18">
        <v>0</v>
      </c>
      <c r="H240" s="18">
        <v>9.1999999999999993</v>
      </c>
      <c r="I240" s="19"/>
      <c r="J240" s="18">
        <v>0</v>
      </c>
      <c r="K240" s="18">
        <v>26.7</v>
      </c>
      <c r="L240" s="19"/>
      <c r="M240" s="19"/>
      <c r="N240" s="18">
        <v>0</v>
      </c>
      <c r="O240" s="19"/>
      <c r="P240" s="19"/>
      <c r="Q240" s="19"/>
      <c r="R240" s="31"/>
      <c r="S240" s="24"/>
      <c r="T240" s="32"/>
      <c r="U240" s="19"/>
      <c r="V240" s="19"/>
      <c r="W240" s="19"/>
      <c r="X240" s="19"/>
      <c r="Y240" s="19"/>
      <c r="Z240" s="18">
        <v>73</v>
      </c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26" t="s">
        <v>59</v>
      </c>
    </row>
    <row r="241" spans="1:61" ht="16.5">
      <c r="A241" s="29">
        <v>172</v>
      </c>
      <c r="B241" s="19"/>
      <c r="C241" s="74" t="s">
        <v>152</v>
      </c>
      <c r="D241" s="86">
        <f>IFERROR(VLOOKUP(C241, $C$2:D240, 2, FALSE), MAX($D$2:D240)+1)</f>
        <v>10</v>
      </c>
      <c r="E241" s="18">
        <v>82.35</v>
      </c>
      <c r="F241" s="19"/>
      <c r="G241" s="18">
        <v>0</v>
      </c>
      <c r="H241" s="18">
        <v>5.88</v>
      </c>
      <c r="I241" s="19"/>
      <c r="J241" s="18">
        <v>0</v>
      </c>
      <c r="K241" s="18">
        <v>11.77</v>
      </c>
      <c r="L241" s="19"/>
      <c r="M241" s="19"/>
      <c r="N241" s="18">
        <v>0</v>
      </c>
      <c r="O241" s="19"/>
      <c r="P241" s="19"/>
      <c r="Q241" s="19"/>
      <c r="R241" s="31"/>
      <c r="S241" s="24"/>
      <c r="T241" s="32"/>
      <c r="U241" s="19"/>
      <c r="V241" s="19"/>
      <c r="W241" s="19"/>
      <c r="X241" s="19"/>
      <c r="Y241" s="19"/>
      <c r="Z241" s="18">
        <v>83</v>
      </c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26" t="s">
        <v>59</v>
      </c>
    </row>
    <row r="242" spans="1:61" ht="16.5">
      <c r="A242" s="29">
        <v>213</v>
      </c>
      <c r="B242" s="19"/>
      <c r="C242" s="74" t="s">
        <v>152</v>
      </c>
      <c r="D242" s="86">
        <f>IFERROR(VLOOKUP(C242, $C$2:D241, 2, FALSE), MAX($D$2:D241)+1)</f>
        <v>10</v>
      </c>
      <c r="E242" s="18">
        <v>88.83</v>
      </c>
      <c r="F242" s="19"/>
      <c r="G242" s="18">
        <v>0</v>
      </c>
      <c r="H242" s="18">
        <v>8.31</v>
      </c>
      <c r="I242" s="19"/>
      <c r="J242" s="18">
        <v>0</v>
      </c>
      <c r="K242" s="18">
        <v>2.86</v>
      </c>
      <c r="L242" s="19"/>
      <c r="M242" s="19"/>
      <c r="N242" s="18">
        <v>0</v>
      </c>
      <c r="O242" s="19"/>
      <c r="P242" s="19"/>
      <c r="Q242" s="19"/>
      <c r="R242" s="31"/>
      <c r="S242" s="24"/>
      <c r="T242" s="32"/>
      <c r="U242" s="19"/>
      <c r="V242" s="19"/>
      <c r="W242" s="19"/>
      <c r="X242" s="19"/>
      <c r="Y242" s="19"/>
      <c r="Z242" s="18">
        <v>78</v>
      </c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26" t="s">
        <v>59</v>
      </c>
    </row>
    <row r="243" spans="1:61" ht="16.5">
      <c r="A243" s="29">
        <v>214</v>
      </c>
      <c r="B243" s="19"/>
      <c r="C243" s="74" t="s">
        <v>152</v>
      </c>
      <c r="D243" s="86">
        <f>IFERROR(VLOOKUP(C243, $C$2:D242, 2, FALSE), MAX($D$2:D242)+1)</f>
        <v>10</v>
      </c>
      <c r="E243" s="18">
        <v>90.35</v>
      </c>
      <c r="F243" s="19"/>
      <c r="G243" s="18">
        <v>0</v>
      </c>
      <c r="H243" s="18">
        <v>6.83</v>
      </c>
      <c r="I243" s="19"/>
      <c r="J243" s="18">
        <v>0</v>
      </c>
      <c r="K243" s="18">
        <v>2.82</v>
      </c>
      <c r="L243" s="19"/>
      <c r="M243" s="19"/>
      <c r="N243" s="18">
        <v>0</v>
      </c>
      <c r="O243" s="19"/>
      <c r="P243" s="19"/>
      <c r="Q243" s="19"/>
      <c r="R243" s="31"/>
      <c r="S243" s="24"/>
      <c r="T243" s="32"/>
      <c r="U243" s="19"/>
      <c r="V243" s="19"/>
      <c r="W243" s="19"/>
      <c r="X243" s="19"/>
      <c r="Y243" s="19"/>
      <c r="Z243" s="18">
        <v>89</v>
      </c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26" t="s">
        <v>59</v>
      </c>
    </row>
    <row r="244" spans="1:61" ht="16.5">
      <c r="A244" s="46">
        <v>367</v>
      </c>
      <c r="B244" s="49" t="s">
        <v>113</v>
      </c>
      <c r="C244" s="74" t="s">
        <v>157</v>
      </c>
      <c r="D244" s="86">
        <f>IFERROR(VLOOKUP(C244, $C$2:D243, 2, FALSE), MAX($D$2:D243)+1)</f>
        <v>11</v>
      </c>
      <c r="E244" s="50">
        <v>69.510000000000005</v>
      </c>
      <c r="F244" s="50">
        <v>0</v>
      </c>
      <c r="G244" s="50">
        <v>8.1100000000000012</v>
      </c>
      <c r="H244" s="50">
        <v>5.1400000000000006</v>
      </c>
      <c r="I244" s="50">
        <v>0</v>
      </c>
      <c r="J244" s="50">
        <v>0</v>
      </c>
      <c r="K244" s="50">
        <v>17.239999999999998</v>
      </c>
      <c r="L244" s="50">
        <v>0</v>
      </c>
      <c r="M244" s="50">
        <v>0</v>
      </c>
      <c r="N244" s="50">
        <v>0</v>
      </c>
      <c r="O244" s="50">
        <v>1</v>
      </c>
      <c r="P244" s="50">
        <v>1</v>
      </c>
      <c r="Q244" s="49" t="s">
        <v>113</v>
      </c>
      <c r="R244" s="51" t="s">
        <v>113</v>
      </c>
      <c r="S244" s="52" t="s">
        <v>113</v>
      </c>
      <c r="T244" s="46" t="s">
        <v>113</v>
      </c>
      <c r="U244" s="49" t="s">
        <v>113</v>
      </c>
      <c r="V244" s="49">
        <v>1</v>
      </c>
      <c r="W244" s="49" t="s">
        <v>113</v>
      </c>
      <c r="X244" s="49" t="s">
        <v>113</v>
      </c>
      <c r="Y244" s="49" t="s">
        <v>113</v>
      </c>
      <c r="Z244" s="50">
        <v>66.599999999999994</v>
      </c>
      <c r="AA244" s="49" t="s">
        <v>113</v>
      </c>
      <c r="AB244" s="49" t="s">
        <v>113</v>
      </c>
      <c r="AC244" s="50">
        <v>754.7</v>
      </c>
      <c r="AD244" s="49" t="s">
        <v>113</v>
      </c>
      <c r="AE244" s="49" t="s">
        <v>113</v>
      </c>
      <c r="AF244" s="49" t="s">
        <v>113</v>
      </c>
      <c r="AG244" s="49" t="s">
        <v>113</v>
      </c>
      <c r="AH244" s="49" t="s">
        <v>113</v>
      </c>
      <c r="AI244" s="49" t="s">
        <v>113</v>
      </c>
      <c r="AJ244" s="49" t="s">
        <v>113</v>
      </c>
      <c r="AK244" s="49" t="s">
        <v>113</v>
      </c>
      <c r="AL244" s="49" t="s">
        <v>113</v>
      </c>
      <c r="AM244" s="49"/>
      <c r="AN244" s="49" t="s">
        <v>113</v>
      </c>
      <c r="AO244" s="49" t="s">
        <v>174</v>
      </c>
      <c r="AP244" s="50">
        <v>367</v>
      </c>
      <c r="AQ244" s="47" t="s">
        <v>100</v>
      </c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</row>
    <row r="245" spans="1:61" ht="16.5">
      <c r="A245" s="46">
        <v>477</v>
      </c>
      <c r="B245" s="49" t="s">
        <v>113</v>
      </c>
      <c r="C245" s="74" t="s">
        <v>157</v>
      </c>
      <c r="D245" s="86">
        <f>IFERROR(VLOOKUP(C245, $C$2:D244, 2, FALSE), MAX($D$2:D244)+1)</f>
        <v>11</v>
      </c>
      <c r="E245" s="50">
        <v>51.71</v>
      </c>
      <c r="F245" s="50">
        <v>0</v>
      </c>
      <c r="G245" s="50">
        <v>29.080000000000002</v>
      </c>
      <c r="H245" s="50">
        <v>1.46</v>
      </c>
      <c r="I245" s="50">
        <v>0</v>
      </c>
      <c r="J245" s="50">
        <v>0</v>
      </c>
      <c r="K245" s="50">
        <v>17.760000000000002</v>
      </c>
      <c r="L245" s="50">
        <v>0</v>
      </c>
      <c r="M245" s="50">
        <v>0</v>
      </c>
      <c r="N245" s="50">
        <v>0</v>
      </c>
      <c r="O245" s="50">
        <v>1</v>
      </c>
      <c r="P245" s="50">
        <v>1</v>
      </c>
      <c r="Q245" s="49" t="s">
        <v>113</v>
      </c>
      <c r="R245" s="51" t="s">
        <v>113</v>
      </c>
      <c r="S245" s="52" t="s">
        <v>113</v>
      </c>
      <c r="T245" s="46" t="s">
        <v>113</v>
      </c>
      <c r="U245" s="49" t="s">
        <v>113</v>
      </c>
      <c r="V245" s="50">
        <v>1</v>
      </c>
      <c r="W245" s="49" t="s">
        <v>113</v>
      </c>
      <c r="X245" s="49" t="s">
        <v>113</v>
      </c>
      <c r="Y245" s="49" t="s">
        <v>113</v>
      </c>
      <c r="Z245" s="50">
        <v>64.2</v>
      </c>
      <c r="AA245" s="49" t="s">
        <v>113</v>
      </c>
      <c r="AB245" s="49" t="s">
        <v>113</v>
      </c>
      <c r="AC245" s="50">
        <v>714</v>
      </c>
      <c r="AD245" s="49" t="s">
        <v>113</v>
      </c>
      <c r="AE245" s="49" t="s">
        <v>113</v>
      </c>
      <c r="AF245" s="49" t="s">
        <v>113</v>
      </c>
      <c r="AG245" s="49" t="s">
        <v>113</v>
      </c>
      <c r="AH245" s="49" t="s">
        <v>113</v>
      </c>
      <c r="AI245" s="49" t="s">
        <v>113</v>
      </c>
      <c r="AJ245" s="49" t="s">
        <v>113</v>
      </c>
      <c r="AK245" s="49" t="s">
        <v>113</v>
      </c>
      <c r="AL245" s="49" t="s">
        <v>113</v>
      </c>
      <c r="AM245" s="49"/>
      <c r="AN245" s="49" t="s">
        <v>113</v>
      </c>
      <c r="AO245" s="49" t="s">
        <v>174</v>
      </c>
      <c r="AP245" s="50">
        <v>477</v>
      </c>
      <c r="AQ245" s="47" t="s">
        <v>100</v>
      </c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 spans="1:61" ht="16.5">
      <c r="A246" s="46">
        <v>485</v>
      </c>
      <c r="B246" s="49" t="s">
        <v>113</v>
      </c>
      <c r="C246" s="74" t="s">
        <v>157</v>
      </c>
      <c r="D246" s="86">
        <f>IFERROR(VLOOKUP(C246, $C$2:D245, 2, FALSE), MAX($D$2:D245)+1)</f>
        <v>11</v>
      </c>
      <c r="E246" s="50">
        <v>82.13000000000001</v>
      </c>
      <c r="F246" s="50">
        <v>0</v>
      </c>
      <c r="G246" s="50">
        <v>3.9600000000000004</v>
      </c>
      <c r="H246" s="50">
        <v>7.9799999999999995</v>
      </c>
      <c r="I246" s="50">
        <v>0</v>
      </c>
      <c r="J246" s="50">
        <v>0</v>
      </c>
      <c r="K246" s="50">
        <v>5.93</v>
      </c>
      <c r="L246" s="50">
        <v>0</v>
      </c>
      <c r="M246" s="50">
        <v>0</v>
      </c>
      <c r="N246" s="50">
        <v>0</v>
      </c>
      <c r="O246" s="50">
        <v>1</v>
      </c>
      <c r="P246" s="50">
        <v>1</v>
      </c>
      <c r="Q246" s="53" t="s">
        <v>113</v>
      </c>
      <c r="R246" s="51" t="s">
        <v>113</v>
      </c>
      <c r="S246" s="52" t="s">
        <v>113</v>
      </c>
      <c r="T246" s="46" t="s">
        <v>113</v>
      </c>
      <c r="U246" s="49" t="s">
        <v>113</v>
      </c>
      <c r="V246" s="50">
        <v>1</v>
      </c>
      <c r="W246" s="49" t="s">
        <v>113</v>
      </c>
      <c r="X246" s="49" t="s">
        <v>113</v>
      </c>
      <c r="Y246" s="49" t="s">
        <v>113</v>
      </c>
      <c r="Z246" s="50">
        <v>72</v>
      </c>
      <c r="AA246" s="49" t="s">
        <v>113</v>
      </c>
      <c r="AB246" s="49" t="s">
        <v>113</v>
      </c>
      <c r="AC246" s="50">
        <v>899</v>
      </c>
      <c r="AD246" s="49" t="s">
        <v>113</v>
      </c>
      <c r="AE246" s="49" t="s">
        <v>113</v>
      </c>
      <c r="AF246" s="49" t="s">
        <v>113</v>
      </c>
      <c r="AG246" s="49" t="s">
        <v>113</v>
      </c>
      <c r="AH246" s="49" t="s">
        <v>113</v>
      </c>
      <c r="AI246" s="49" t="s">
        <v>113</v>
      </c>
      <c r="AJ246" s="49" t="s">
        <v>113</v>
      </c>
      <c r="AK246" s="49" t="s">
        <v>113</v>
      </c>
      <c r="AL246" s="49" t="s">
        <v>113</v>
      </c>
      <c r="AM246" s="49"/>
      <c r="AN246" s="49" t="s">
        <v>113</v>
      </c>
      <c r="AO246" s="49" t="s">
        <v>174</v>
      </c>
      <c r="AP246" s="50">
        <v>485</v>
      </c>
      <c r="AQ246" s="47" t="s">
        <v>100</v>
      </c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</row>
    <row r="247" spans="1:61" ht="16.5">
      <c r="A247" s="46">
        <v>486</v>
      </c>
      <c r="B247" s="49" t="s">
        <v>113</v>
      </c>
      <c r="C247" s="74" t="s">
        <v>157</v>
      </c>
      <c r="D247" s="86">
        <f>IFERROR(VLOOKUP(C247, $C$2:D246, 2, FALSE), MAX($D$2:D246)+1)</f>
        <v>11</v>
      </c>
      <c r="E247" s="50">
        <v>84.11</v>
      </c>
      <c r="F247" s="50">
        <v>0</v>
      </c>
      <c r="G247" s="50">
        <v>2.97</v>
      </c>
      <c r="H247" s="50">
        <v>7.9799999999999995</v>
      </c>
      <c r="I247" s="50">
        <v>0</v>
      </c>
      <c r="J247" s="50">
        <v>0</v>
      </c>
      <c r="K247" s="50">
        <v>4.9399999999999995</v>
      </c>
      <c r="L247" s="50">
        <v>0</v>
      </c>
      <c r="M247" s="50">
        <v>0</v>
      </c>
      <c r="N247" s="50">
        <v>0</v>
      </c>
      <c r="O247" s="50">
        <v>1</v>
      </c>
      <c r="P247" s="48">
        <v>1</v>
      </c>
      <c r="Q247" s="52" t="s">
        <v>113</v>
      </c>
      <c r="R247" s="54" t="s">
        <v>113</v>
      </c>
      <c r="S247" s="52" t="s">
        <v>113</v>
      </c>
      <c r="T247" s="46" t="s">
        <v>113</v>
      </c>
      <c r="U247" s="49" t="s">
        <v>113</v>
      </c>
      <c r="V247" s="50">
        <v>1</v>
      </c>
      <c r="W247" s="49" t="s">
        <v>113</v>
      </c>
      <c r="X247" s="49" t="s">
        <v>113</v>
      </c>
      <c r="Y247" s="49" t="s">
        <v>113</v>
      </c>
      <c r="Z247" s="50">
        <v>69</v>
      </c>
      <c r="AA247" s="49" t="s">
        <v>113</v>
      </c>
      <c r="AB247" s="49" t="s">
        <v>113</v>
      </c>
      <c r="AC247" s="50">
        <v>947</v>
      </c>
      <c r="AD247" s="49" t="s">
        <v>113</v>
      </c>
      <c r="AE247" s="49" t="s">
        <v>113</v>
      </c>
      <c r="AF247" s="49" t="s">
        <v>113</v>
      </c>
      <c r="AG247" s="49" t="s">
        <v>113</v>
      </c>
      <c r="AH247" s="49" t="s">
        <v>113</v>
      </c>
      <c r="AI247" s="49" t="s">
        <v>113</v>
      </c>
      <c r="AJ247" s="49" t="s">
        <v>113</v>
      </c>
      <c r="AK247" s="49" t="s">
        <v>113</v>
      </c>
      <c r="AL247" s="49" t="s">
        <v>113</v>
      </c>
      <c r="AM247" s="49"/>
      <c r="AN247" s="49" t="s">
        <v>113</v>
      </c>
      <c r="AO247" s="49" t="s">
        <v>174</v>
      </c>
      <c r="AP247" s="50">
        <v>486</v>
      </c>
      <c r="AQ247" s="47" t="s">
        <v>100</v>
      </c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 spans="1:61" ht="16.5">
      <c r="A248" s="46">
        <v>487</v>
      </c>
      <c r="B248" s="49" t="s">
        <v>113</v>
      </c>
      <c r="C248" s="74" t="s">
        <v>157</v>
      </c>
      <c r="D248" s="86">
        <f>IFERROR(VLOOKUP(C248, $C$2:D247, 2, FALSE), MAX($D$2:D247)+1)</f>
        <v>11</v>
      </c>
      <c r="E248" s="50">
        <v>84.04</v>
      </c>
      <c r="F248" s="50">
        <v>0</v>
      </c>
      <c r="G248" s="50">
        <v>5.0200000000000005</v>
      </c>
      <c r="H248" s="50">
        <v>7.9799999999999995</v>
      </c>
      <c r="I248" s="50">
        <v>0</v>
      </c>
      <c r="J248" s="50">
        <v>0</v>
      </c>
      <c r="K248" s="50">
        <v>2.96</v>
      </c>
      <c r="L248" s="50">
        <v>0</v>
      </c>
      <c r="M248" s="50">
        <v>0</v>
      </c>
      <c r="N248" s="50">
        <v>0</v>
      </c>
      <c r="O248" s="50">
        <v>1</v>
      </c>
      <c r="P248" s="48">
        <v>1</v>
      </c>
      <c r="Q248" s="52" t="s">
        <v>113</v>
      </c>
      <c r="R248" s="54" t="s">
        <v>113</v>
      </c>
      <c r="S248" s="52" t="s">
        <v>113</v>
      </c>
      <c r="T248" s="46" t="s">
        <v>113</v>
      </c>
      <c r="U248" s="49" t="s">
        <v>113</v>
      </c>
      <c r="V248" s="50">
        <v>1</v>
      </c>
      <c r="W248" s="49" t="s">
        <v>113</v>
      </c>
      <c r="X248" s="49" t="s">
        <v>113</v>
      </c>
      <c r="Y248" s="49" t="s">
        <v>113</v>
      </c>
      <c r="Z248" s="50">
        <v>52</v>
      </c>
      <c r="AA248" s="49" t="s">
        <v>113</v>
      </c>
      <c r="AB248" s="49" t="s">
        <v>113</v>
      </c>
      <c r="AC248" s="50">
        <v>483</v>
      </c>
      <c r="AD248" s="49" t="s">
        <v>113</v>
      </c>
      <c r="AE248" s="49" t="s">
        <v>113</v>
      </c>
      <c r="AF248" s="49" t="s">
        <v>113</v>
      </c>
      <c r="AG248" s="49" t="s">
        <v>113</v>
      </c>
      <c r="AH248" s="49" t="s">
        <v>113</v>
      </c>
      <c r="AI248" s="49" t="s">
        <v>113</v>
      </c>
      <c r="AJ248" s="49" t="s">
        <v>113</v>
      </c>
      <c r="AK248" s="49" t="s">
        <v>113</v>
      </c>
      <c r="AL248" s="49" t="s">
        <v>113</v>
      </c>
      <c r="AM248" s="49"/>
      <c r="AN248" s="49" t="s">
        <v>113</v>
      </c>
      <c r="AO248" s="49" t="s">
        <v>174</v>
      </c>
      <c r="AP248" s="50">
        <v>487</v>
      </c>
      <c r="AQ248" s="47" t="s">
        <v>100</v>
      </c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</row>
    <row r="249" spans="1:61" ht="16.5">
      <c r="A249" s="29">
        <v>6</v>
      </c>
      <c r="B249" s="19"/>
      <c r="C249" s="74" t="s">
        <v>157</v>
      </c>
      <c r="D249" s="86">
        <f>IFERROR(VLOOKUP(C249, $C$2:D248, 2, FALSE), MAX($D$2:D248)+1)</f>
        <v>11</v>
      </c>
      <c r="E249" s="18">
        <v>81.099999999999994</v>
      </c>
      <c r="F249" s="19"/>
      <c r="G249" s="18">
        <v>6.3</v>
      </c>
      <c r="H249" s="18">
        <v>6.3</v>
      </c>
      <c r="I249" s="19"/>
      <c r="J249" s="18">
        <v>0</v>
      </c>
      <c r="K249" s="18">
        <v>6.3</v>
      </c>
      <c r="L249" s="19"/>
      <c r="M249" s="19"/>
      <c r="N249" s="18">
        <v>0</v>
      </c>
      <c r="O249" s="19"/>
      <c r="P249" s="31"/>
      <c r="Q249" s="24"/>
      <c r="R249" s="80"/>
      <c r="S249" s="24"/>
      <c r="T249" s="32"/>
      <c r="U249" s="19"/>
      <c r="V249" s="19"/>
      <c r="W249" s="19"/>
      <c r="X249" s="19"/>
      <c r="Y249" s="19"/>
      <c r="Z249" s="18">
        <v>75</v>
      </c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26" t="s">
        <v>59</v>
      </c>
    </row>
    <row r="250" spans="1:61" ht="16.5">
      <c r="A250" s="29">
        <v>7</v>
      </c>
      <c r="B250" s="19"/>
      <c r="C250" s="74" t="s">
        <v>157</v>
      </c>
      <c r="D250" s="86">
        <f>IFERROR(VLOOKUP(C250, $C$2:D249, 2, FALSE), MAX($D$2:D249)+1)</f>
        <v>11</v>
      </c>
      <c r="E250" s="18">
        <v>74.900000000000006</v>
      </c>
      <c r="F250" s="19"/>
      <c r="G250" s="18">
        <v>12.5</v>
      </c>
      <c r="H250" s="18">
        <v>6.3</v>
      </c>
      <c r="I250" s="19"/>
      <c r="J250" s="18">
        <v>0</v>
      </c>
      <c r="K250" s="18">
        <v>6.3</v>
      </c>
      <c r="L250" s="19"/>
      <c r="M250" s="19"/>
      <c r="N250" s="18">
        <v>0</v>
      </c>
      <c r="O250" s="19"/>
      <c r="P250" s="31"/>
      <c r="Q250" s="24"/>
      <c r="R250" s="80"/>
      <c r="S250" s="24"/>
      <c r="T250" s="32"/>
      <c r="U250" s="19"/>
      <c r="V250" s="19"/>
      <c r="W250" s="19"/>
      <c r="X250" s="19"/>
      <c r="Y250" s="19"/>
      <c r="Z250" s="18">
        <v>68</v>
      </c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26" t="s">
        <v>59</v>
      </c>
    </row>
    <row r="251" spans="1:61" ht="16.5">
      <c r="A251" s="29">
        <v>8</v>
      </c>
      <c r="B251" s="19"/>
      <c r="C251" s="74" t="s">
        <v>157</v>
      </c>
      <c r="D251" s="86">
        <f>IFERROR(VLOOKUP(C251, $C$2:D250, 2, FALSE), MAX($D$2:D250)+1)</f>
        <v>11</v>
      </c>
      <c r="E251" s="18">
        <v>68.7</v>
      </c>
      <c r="F251" s="19"/>
      <c r="G251" s="18">
        <v>18.7</v>
      </c>
      <c r="H251" s="18">
        <v>6.3</v>
      </c>
      <c r="I251" s="19"/>
      <c r="J251" s="18">
        <v>0</v>
      </c>
      <c r="K251" s="18">
        <v>6.3</v>
      </c>
      <c r="L251" s="19"/>
      <c r="M251" s="19"/>
      <c r="N251" s="18">
        <v>0</v>
      </c>
      <c r="O251" s="19"/>
      <c r="P251" s="31"/>
      <c r="Q251" s="24"/>
      <c r="R251" s="80"/>
      <c r="S251" s="24"/>
      <c r="T251" s="32"/>
      <c r="U251" s="19"/>
      <c r="V251" s="19"/>
      <c r="W251" s="19"/>
      <c r="X251" s="19"/>
      <c r="Y251" s="19"/>
      <c r="Z251" s="18">
        <v>79</v>
      </c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26" t="s">
        <v>59</v>
      </c>
    </row>
    <row r="252" spans="1:61" ht="16.5">
      <c r="A252" s="29">
        <v>25</v>
      </c>
      <c r="B252" s="19"/>
      <c r="C252" s="74" t="s">
        <v>157</v>
      </c>
      <c r="D252" s="86">
        <f>IFERROR(VLOOKUP(C252, $C$2:D251, 2, FALSE), MAX($D$2:D251)+1)</f>
        <v>11</v>
      </c>
      <c r="E252" s="18">
        <v>69</v>
      </c>
      <c r="F252" s="19"/>
      <c r="G252" s="18">
        <v>10.1</v>
      </c>
      <c r="H252" s="18">
        <v>10.6</v>
      </c>
      <c r="I252" s="19"/>
      <c r="J252" s="18">
        <v>0</v>
      </c>
      <c r="K252" s="18">
        <v>10.3</v>
      </c>
      <c r="L252" s="19"/>
      <c r="M252" s="19"/>
      <c r="N252" s="18">
        <v>0</v>
      </c>
      <c r="O252" s="19"/>
      <c r="P252" s="31"/>
      <c r="Q252" s="24"/>
      <c r="R252" s="80"/>
      <c r="S252" s="24"/>
      <c r="T252" s="32"/>
      <c r="U252" s="19"/>
      <c r="V252" s="19"/>
      <c r="W252" s="19"/>
      <c r="X252" s="19"/>
      <c r="Y252" s="19"/>
      <c r="Z252" s="18">
        <v>75</v>
      </c>
      <c r="AA252" s="19"/>
      <c r="AB252" s="19"/>
      <c r="AC252" s="18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26" t="s">
        <v>59</v>
      </c>
    </row>
    <row r="253" spans="1:61" ht="16.5">
      <c r="A253" s="29">
        <v>26</v>
      </c>
      <c r="B253" s="19"/>
      <c r="C253" s="74" t="s">
        <v>157</v>
      </c>
      <c r="D253" s="86">
        <f>IFERROR(VLOOKUP(C253, $C$2:D252, 2, FALSE), MAX($D$2:D252)+1)</f>
        <v>11</v>
      </c>
      <c r="E253" s="18">
        <v>60.8</v>
      </c>
      <c r="F253" s="19"/>
      <c r="G253" s="18">
        <v>19.3</v>
      </c>
      <c r="H253" s="18">
        <v>10.1</v>
      </c>
      <c r="I253" s="19"/>
      <c r="J253" s="18">
        <v>0</v>
      </c>
      <c r="K253" s="18">
        <v>9.8000000000000007</v>
      </c>
      <c r="L253" s="19"/>
      <c r="M253" s="19"/>
      <c r="N253" s="18">
        <v>0</v>
      </c>
      <c r="O253" s="19"/>
      <c r="P253" s="31"/>
      <c r="Q253" s="24"/>
      <c r="R253" s="80"/>
      <c r="S253" s="24"/>
      <c r="T253" s="32"/>
      <c r="U253" s="19"/>
      <c r="V253" s="19"/>
      <c r="W253" s="19"/>
      <c r="X253" s="19"/>
      <c r="Y253" s="19"/>
      <c r="Z253" s="18">
        <v>68</v>
      </c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26" t="s">
        <v>59</v>
      </c>
    </row>
    <row r="254" spans="1:61" ht="16.5">
      <c r="A254" s="29">
        <v>27</v>
      </c>
      <c r="B254" s="19"/>
      <c r="C254" s="74" t="s">
        <v>157</v>
      </c>
      <c r="D254" s="86">
        <f>IFERROR(VLOOKUP(C254, $C$2:D253, 2, FALSE), MAX($D$2:D253)+1)</f>
        <v>11</v>
      </c>
      <c r="E254" s="18">
        <v>63.3</v>
      </c>
      <c r="F254" s="19"/>
      <c r="G254" s="18">
        <v>17.7</v>
      </c>
      <c r="H254" s="18">
        <v>9.6</v>
      </c>
      <c r="I254" s="19"/>
      <c r="J254" s="18">
        <v>0</v>
      </c>
      <c r="K254" s="18">
        <v>9.4</v>
      </c>
      <c r="L254" s="19"/>
      <c r="M254" s="19"/>
      <c r="N254" s="18">
        <v>0</v>
      </c>
      <c r="O254" s="19"/>
      <c r="P254" s="31"/>
      <c r="Q254" s="24"/>
      <c r="R254" s="80"/>
      <c r="S254" s="24"/>
      <c r="T254" s="32"/>
      <c r="U254" s="19"/>
      <c r="V254" s="19"/>
      <c r="W254" s="19"/>
      <c r="X254" s="19"/>
      <c r="Y254" s="19"/>
      <c r="Z254" s="18">
        <v>79</v>
      </c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26" t="s">
        <v>59</v>
      </c>
    </row>
    <row r="255" spans="1:61" ht="16.5">
      <c r="A255" s="29">
        <v>32</v>
      </c>
      <c r="B255" s="19"/>
      <c r="C255" s="74" t="s">
        <v>157</v>
      </c>
      <c r="D255" s="86">
        <f>IFERROR(VLOOKUP(C255, $C$2:D254, 2, FALSE), MAX($D$2:D254)+1)</f>
        <v>11</v>
      </c>
      <c r="E255" s="18">
        <v>62.5</v>
      </c>
      <c r="F255" s="19"/>
      <c r="G255" s="18">
        <v>9.1999999999999993</v>
      </c>
      <c r="H255" s="18">
        <v>9.6</v>
      </c>
      <c r="I255" s="19"/>
      <c r="J255" s="18">
        <v>0</v>
      </c>
      <c r="K255" s="18">
        <v>18.7</v>
      </c>
      <c r="L255" s="19"/>
      <c r="M255" s="19"/>
      <c r="N255" s="18">
        <v>0</v>
      </c>
      <c r="O255" s="19"/>
      <c r="P255" s="31"/>
      <c r="Q255" s="24"/>
      <c r="R255" s="80"/>
      <c r="S255" s="24"/>
      <c r="T255" s="32"/>
      <c r="U255" s="19"/>
      <c r="V255" s="19"/>
      <c r="W255" s="19"/>
      <c r="X255" s="19"/>
      <c r="Y255" s="19"/>
      <c r="Z255" s="18">
        <v>72</v>
      </c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26" t="s">
        <v>59</v>
      </c>
    </row>
    <row r="256" spans="1:61" ht="16.5">
      <c r="A256" s="29">
        <v>33</v>
      </c>
      <c r="B256" s="19"/>
      <c r="C256" s="74" t="s">
        <v>157</v>
      </c>
      <c r="D256" s="86">
        <f>IFERROR(VLOOKUP(C256, $C$2:D255, 2, FALSE), MAX($D$2:D255)+1)</f>
        <v>11</v>
      </c>
      <c r="E256" s="18">
        <v>55.3</v>
      </c>
      <c r="F256" s="19"/>
      <c r="G256" s="18">
        <v>17.600000000000001</v>
      </c>
      <c r="H256" s="18">
        <v>9.1999999999999993</v>
      </c>
      <c r="I256" s="19"/>
      <c r="J256" s="18">
        <v>0</v>
      </c>
      <c r="K256" s="18">
        <v>17.899999999999999</v>
      </c>
      <c r="L256" s="19"/>
      <c r="M256" s="19"/>
      <c r="N256" s="18">
        <v>0</v>
      </c>
      <c r="O256" s="19"/>
      <c r="P256" s="31"/>
      <c r="Q256" s="24"/>
      <c r="R256" s="80"/>
      <c r="S256" s="24"/>
      <c r="T256" s="32"/>
      <c r="U256" s="19"/>
      <c r="V256" s="19"/>
      <c r="W256" s="19"/>
      <c r="X256" s="19"/>
      <c r="Y256" s="19"/>
      <c r="Z256" s="18">
        <v>70</v>
      </c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26" t="s">
        <v>59</v>
      </c>
    </row>
    <row r="257" spans="1:61" ht="16.5">
      <c r="A257" s="29">
        <v>40</v>
      </c>
      <c r="B257" s="19"/>
      <c r="C257" s="74" t="s">
        <v>157</v>
      </c>
      <c r="D257" s="86">
        <f>IFERROR(VLOOKUP(C257, $C$2:D256, 2, FALSE), MAX($D$2:D256)+1)</f>
        <v>11</v>
      </c>
      <c r="E257" s="18">
        <v>57.2</v>
      </c>
      <c r="F257" s="19"/>
      <c r="G257" s="18">
        <v>8.4</v>
      </c>
      <c r="H257" s="18">
        <v>8.8000000000000007</v>
      </c>
      <c r="I257" s="19"/>
      <c r="J257" s="18">
        <v>0</v>
      </c>
      <c r="K257" s="18">
        <v>25.6</v>
      </c>
      <c r="L257" s="19"/>
      <c r="M257" s="19"/>
      <c r="N257" s="18">
        <v>0</v>
      </c>
      <c r="O257" s="19"/>
      <c r="P257" s="31"/>
      <c r="Q257" s="24"/>
      <c r="R257" s="80"/>
      <c r="S257" s="24"/>
      <c r="T257" s="32"/>
      <c r="U257" s="19"/>
      <c r="V257" s="19"/>
      <c r="W257" s="19"/>
      <c r="X257" s="19"/>
      <c r="Y257" s="19"/>
      <c r="Z257" s="18">
        <v>70</v>
      </c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26" t="s">
        <v>59</v>
      </c>
    </row>
    <row r="258" spans="1:61" ht="16.5">
      <c r="A258" s="29">
        <v>41</v>
      </c>
      <c r="B258" s="19"/>
      <c r="C258" s="74" t="s">
        <v>157</v>
      </c>
      <c r="D258" s="86">
        <f>IFERROR(VLOOKUP(C258, $C$2:D257, 2, FALSE), MAX($D$2:D257)+1)</f>
        <v>11</v>
      </c>
      <c r="E258" s="18">
        <v>50.8</v>
      </c>
      <c r="F258" s="19"/>
      <c r="G258" s="18">
        <v>16.100000000000001</v>
      </c>
      <c r="H258" s="18">
        <v>8.5</v>
      </c>
      <c r="I258" s="19"/>
      <c r="J258" s="18">
        <v>0</v>
      </c>
      <c r="K258" s="18">
        <v>24.6</v>
      </c>
      <c r="L258" s="19"/>
      <c r="M258" s="19"/>
      <c r="N258" s="18">
        <v>0</v>
      </c>
      <c r="O258" s="19"/>
      <c r="P258" s="31"/>
      <c r="Q258" s="24"/>
      <c r="R258" s="80"/>
      <c r="S258" s="24"/>
      <c r="T258" s="32"/>
      <c r="U258" s="19"/>
      <c r="V258" s="19"/>
      <c r="W258" s="19"/>
      <c r="X258" s="19"/>
      <c r="Y258" s="19"/>
      <c r="Z258" s="18">
        <v>69</v>
      </c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26" t="s">
        <v>59</v>
      </c>
    </row>
    <row r="259" spans="1:61" ht="16.5">
      <c r="A259" s="29">
        <v>131</v>
      </c>
      <c r="B259" s="19"/>
      <c r="C259" s="74" t="s">
        <v>157</v>
      </c>
      <c r="D259" s="86">
        <f>IFERROR(VLOOKUP(C259, $C$2:D258, 2, FALSE), MAX($D$2:D258)+1)</f>
        <v>11</v>
      </c>
      <c r="E259" s="18">
        <v>38.5</v>
      </c>
      <c r="F259" s="19"/>
      <c r="G259" s="18">
        <v>38.5</v>
      </c>
      <c r="H259" s="18">
        <v>8</v>
      </c>
      <c r="I259" s="19"/>
      <c r="J259" s="18">
        <v>0</v>
      </c>
      <c r="K259" s="18">
        <v>15</v>
      </c>
      <c r="L259" s="19"/>
      <c r="M259" s="19"/>
      <c r="N259" s="18">
        <v>0</v>
      </c>
      <c r="O259" s="19"/>
      <c r="P259" s="31"/>
      <c r="Q259" s="24"/>
      <c r="R259" s="80"/>
      <c r="S259" s="24"/>
      <c r="T259" s="32"/>
      <c r="U259" s="19"/>
      <c r="V259" s="19"/>
      <c r="W259" s="19"/>
      <c r="X259" s="19"/>
      <c r="Y259" s="19"/>
      <c r="Z259" s="18">
        <v>96</v>
      </c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26" t="s">
        <v>59</v>
      </c>
    </row>
    <row r="260" spans="1:61" ht="16.5">
      <c r="A260" s="29">
        <v>132</v>
      </c>
      <c r="B260" s="19"/>
      <c r="C260" s="74" t="s">
        <v>157</v>
      </c>
      <c r="D260" s="86">
        <f>IFERROR(VLOOKUP(C260, $C$2:D259, 2, FALSE), MAX($D$2:D259)+1)</f>
        <v>11</v>
      </c>
      <c r="E260" s="18">
        <v>37.5</v>
      </c>
      <c r="F260" s="19"/>
      <c r="G260" s="18">
        <v>37.5</v>
      </c>
      <c r="H260" s="18">
        <v>10</v>
      </c>
      <c r="I260" s="19"/>
      <c r="J260" s="18">
        <v>0</v>
      </c>
      <c r="K260" s="18">
        <v>15</v>
      </c>
      <c r="L260" s="19"/>
      <c r="M260" s="19"/>
      <c r="N260" s="18">
        <v>0</v>
      </c>
      <c r="O260" s="19"/>
      <c r="P260" s="31"/>
      <c r="Q260" s="24"/>
      <c r="R260" s="80"/>
      <c r="S260" s="24"/>
      <c r="T260" s="32"/>
      <c r="U260" s="19"/>
      <c r="V260" s="19"/>
      <c r="W260" s="19"/>
      <c r="X260" s="19"/>
      <c r="Y260" s="19"/>
      <c r="Z260" s="18">
        <v>97</v>
      </c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26" t="s">
        <v>59</v>
      </c>
    </row>
    <row r="261" spans="1:61" ht="16.5">
      <c r="A261" s="29">
        <v>133</v>
      </c>
      <c r="B261" s="19"/>
      <c r="C261" s="74" t="s">
        <v>157</v>
      </c>
      <c r="D261" s="86">
        <f>IFERROR(VLOOKUP(C261, $C$2:D260, 2, FALSE), MAX($D$2:D260)+1)</f>
        <v>11</v>
      </c>
      <c r="E261" s="18">
        <v>36</v>
      </c>
      <c r="F261" s="19"/>
      <c r="G261" s="18">
        <v>36</v>
      </c>
      <c r="H261" s="18">
        <v>13</v>
      </c>
      <c r="I261" s="19"/>
      <c r="J261" s="18">
        <v>0</v>
      </c>
      <c r="K261" s="18">
        <v>15</v>
      </c>
      <c r="L261" s="19"/>
      <c r="M261" s="19"/>
      <c r="N261" s="18">
        <v>0</v>
      </c>
      <c r="O261" s="19"/>
      <c r="P261" s="19"/>
      <c r="Q261" s="81"/>
      <c r="R261" s="31"/>
      <c r="S261" s="24"/>
      <c r="T261" s="32"/>
      <c r="U261" s="19"/>
      <c r="V261" s="19"/>
      <c r="W261" s="19"/>
      <c r="X261" s="19"/>
      <c r="Y261" s="19"/>
      <c r="Z261" s="18">
        <v>104</v>
      </c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26" t="s">
        <v>59</v>
      </c>
    </row>
    <row r="262" spans="1:61" ht="16.5">
      <c r="A262" s="29">
        <v>134</v>
      </c>
      <c r="B262" s="19"/>
      <c r="C262" s="74" t="s">
        <v>157</v>
      </c>
      <c r="D262" s="86">
        <f>IFERROR(VLOOKUP(C262, $C$2:D261, 2, FALSE), MAX($D$2:D261)+1)</f>
        <v>11</v>
      </c>
      <c r="E262" s="18">
        <v>35</v>
      </c>
      <c r="F262" s="19"/>
      <c r="G262" s="18">
        <v>35</v>
      </c>
      <c r="H262" s="18">
        <v>15</v>
      </c>
      <c r="I262" s="19"/>
      <c r="J262" s="18">
        <v>0</v>
      </c>
      <c r="K262" s="18">
        <v>15</v>
      </c>
      <c r="L262" s="19"/>
      <c r="M262" s="19"/>
      <c r="N262" s="18">
        <v>0</v>
      </c>
      <c r="O262" s="19"/>
      <c r="P262" s="19"/>
      <c r="Q262" s="19"/>
      <c r="R262" s="31"/>
      <c r="S262" s="24"/>
      <c r="T262" s="32"/>
      <c r="U262" s="19"/>
      <c r="V262" s="19"/>
      <c r="W262" s="19"/>
      <c r="X262" s="19"/>
      <c r="Y262" s="19"/>
      <c r="Z262" s="18">
        <v>105</v>
      </c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26" t="s">
        <v>59</v>
      </c>
    </row>
    <row r="263" spans="1:61" ht="16.5">
      <c r="A263" s="29">
        <v>203</v>
      </c>
      <c r="B263" s="19"/>
      <c r="C263" s="74" t="s">
        <v>157</v>
      </c>
      <c r="D263" s="86">
        <f>IFERROR(VLOOKUP(C263, $C$2:D262, 2, FALSE), MAX($D$2:D262)+1)</f>
        <v>11</v>
      </c>
      <c r="E263" s="18">
        <v>71.930000000000007</v>
      </c>
      <c r="F263" s="19"/>
      <c r="G263" s="18">
        <v>9.93</v>
      </c>
      <c r="H263" s="18">
        <v>1.89</v>
      </c>
      <c r="I263" s="19"/>
      <c r="J263" s="18">
        <v>0</v>
      </c>
      <c r="K263" s="18">
        <v>16.25</v>
      </c>
      <c r="L263" s="19"/>
      <c r="M263" s="19"/>
      <c r="N263" s="18">
        <v>0</v>
      </c>
      <c r="O263" s="19"/>
      <c r="P263" s="19"/>
      <c r="Q263" s="19"/>
      <c r="R263" s="31"/>
      <c r="S263" s="24"/>
      <c r="T263" s="32"/>
      <c r="U263" s="19"/>
      <c r="V263" s="19"/>
      <c r="W263" s="19"/>
      <c r="X263" s="19"/>
      <c r="Y263" s="19"/>
      <c r="Z263" s="18">
        <v>75</v>
      </c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26" t="s">
        <v>59</v>
      </c>
    </row>
    <row r="264" spans="1:61" ht="16.5">
      <c r="A264" s="29">
        <v>206</v>
      </c>
      <c r="B264" s="19"/>
      <c r="C264" s="74" t="s">
        <v>157</v>
      </c>
      <c r="D264" s="86">
        <f>IFERROR(VLOOKUP(C264, $C$2:D263, 2, FALSE), MAX($D$2:D263)+1)</f>
        <v>11</v>
      </c>
      <c r="E264" s="18">
        <v>84.72</v>
      </c>
      <c r="F264" s="19"/>
      <c r="G264" s="18">
        <v>3</v>
      </c>
      <c r="H264" s="18">
        <v>3.43</v>
      </c>
      <c r="I264" s="19"/>
      <c r="J264" s="18">
        <v>0</v>
      </c>
      <c r="K264" s="18">
        <v>8.85</v>
      </c>
      <c r="L264" s="19"/>
      <c r="M264" s="19"/>
      <c r="N264" s="18">
        <v>0</v>
      </c>
      <c r="O264" s="19"/>
      <c r="P264" s="19"/>
      <c r="Q264" s="19"/>
      <c r="R264" s="31"/>
      <c r="S264" s="24"/>
      <c r="T264" s="32"/>
      <c r="U264" s="19"/>
      <c r="V264" s="19"/>
      <c r="W264" s="19"/>
      <c r="X264" s="19"/>
      <c r="Y264" s="19"/>
      <c r="Z264" s="18">
        <v>84</v>
      </c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26" t="s">
        <v>59</v>
      </c>
    </row>
    <row r="265" spans="1:61" ht="16.5">
      <c r="A265" s="29">
        <v>207</v>
      </c>
      <c r="B265" s="19"/>
      <c r="C265" s="74" t="s">
        <v>157</v>
      </c>
      <c r="D265" s="86">
        <f>IFERROR(VLOOKUP(C265, $C$2:D264, 2, FALSE), MAX($D$2:D264)+1)</f>
        <v>11</v>
      </c>
      <c r="E265" s="18">
        <v>79.760000000000005</v>
      </c>
      <c r="F265" s="19"/>
      <c r="G265" s="18">
        <v>3.13</v>
      </c>
      <c r="H265" s="18">
        <v>1.78</v>
      </c>
      <c r="I265" s="19"/>
      <c r="J265" s="18">
        <v>0</v>
      </c>
      <c r="K265" s="18">
        <v>15.33</v>
      </c>
      <c r="L265" s="19"/>
      <c r="M265" s="18"/>
      <c r="N265" s="18">
        <v>0</v>
      </c>
      <c r="O265" s="19"/>
      <c r="P265" s="19"/>
      <c r="Q265" s="19"/>
      <c r="R265" s="31"/>
      <c r="S265" s="24"/>
      <c r="T265" s="32"/>
      <c r="U265" s="19"/>
      <c r="V265" s="19"/>
      <c r="W265" s="19"/>
      <c r="X265" s="19"/>
      <c r="Y265" s="19"/>
      <c r="Z265" s="18">
        <v>67</v>
      </c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26" t="s">
        <v>59</v>
      </c>
    </row>
    <row r="266" spans="1:61" ht="16.5">
      <c r="A266" s="46">
        <v>368</v>
      </c>
      <c r="B266" s="49" t="s">
        <v>113</v>
      </c>
      <c r="C266" s="74" t="s">
        <v>160</v>
      </c>
      <c r="D266" s="86">
        <f>IFERROR(VLOOKUP(C266, $C$2:D265, 2, FALSE), MAX($D$2:D265)+1)</f>
        <v>12</v>
      </c>
      <c r="E266" s="50">
        <v>78.72</v>
      </c>
      <c r="F266" s="50">
        <v>0</v>
      </c>
      <c r="G266" s="50">
        <v>0</v>
      </c>
      <c r="H266" s="50">
        <v>0.6</v>
      </c>
      <c r="I266" s="50">
        <v>0</v>
      </c>
      <c r="J266" s="50">
        <v>0</v>
      </c>
      <c r="K266" s="50">
        <v>18.72</v>
      </c>
      <c r="L266" s="50">
        <v>0</v>
      </c>
      <c r="M266" s="50">
        <v>0</v>
      </c>
      <c r="N266" s="50">
        <v>1.95</v>
      </c>
      <c r="O266" s="50">
        <v>1</v>
      </c>
      <c r="P266" s="50">
        <v>1</v>
      </c>
      <c r="Q266" s="49" t="s">
        <v>113</v>
      </c>
      <c r="R266" s="51" t="s">
        <v>113</v>
      </c>
      <c r="S266" s="52" t="s">
        <v>113</v>
      </c>
      <c r="T266" s="46" t="s">
        <v>113</v>
      </c>
      <c r="U266" s="49" t="s">
        <v>113</v>
      </c>
      <c r="V266" s="49">
        <v>1</v>
      </c>
      <c r="W266" s="49" t="s">
        <v>113</v>
      </c>
      <c r="X266" s="49" t="s">
        <v>113</v>
      </c>
      <c r="Y266" s="49" t="s">
        <v>113</v>
      </c>
      <c r="Z266" s="50">
        <v>46</v>
      </c>
      <c r="AA266" s="49" t="s">
        <v>113</v>
      </c>
      <c r="AB266" s="49" t="s">
        <v>113</v>
      </c>
      <c r="AC266" s="50">
        <v>130</v>
      </c>
      <c r="AD266" s="49" t="s">
        <v>113</v>
      </c>
      <c r="AE266" s="49" t="s">
        <v>113</v>
      </c>
      <c r="AF266" s="49" t="s">
        <v>113</v>
      </c>
      <c r="AG266" s="49" t="s">
        <v>113</v>
      </c>
      <c r="AH266" s="49" t="s">
        <v>113</v>
      </c>
      <c r="AI266" s="49" t="s">
        <v>113</v>
      </c>
      <c r="AJ266" s="49" t="s">
        <v>113</v>
      </c>
      <c r="AK266" s="49" t="s">
        <v>113</v>
      </c>
      <c r="AL266" s="49" t="s">
        <v>113</v>
      </c>
      <c r="AM266" s="49"/>
      <c r="AN266" s="49" t="s">
        <v>113</v>
      </c>
      <c r="AO266" s="49" t="s">
        <v>174</v>
      </c>
      <c r="AP266" s="50">
        <v>368</v>
      </c>
      <c r="AQ266" s="47" t="s">
        <v>100</v>
      </c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</row>
    <row r="267" spans="1:61" ht="16.5">
      <c r="A267" s="46">
        <v>478</v>
      </c>
      <c r="B267" s="49" t="s">
        <v>113</v>
      </c>
      <c r="C267" s="74" t="s">
        <v>160</v>
      </c>
      <c r="D267" s="86">
        <f>IFERROR(VLOOKUP(C267, $C$2:D266, 2, FALSE), MAX($D$2:D266)+1)</f>
        <v>12</v>
      </c>
      <c r="E267" s="50">
        <v>78.72</v>
      </c>
      <c r="F267" s="50">
        <v>0</v>
      </c>
      <c r="G267" s="50">
        <v>0</v>
      </c>
      <c r="H267" s="50">
        <v>0.6</v>
      </c>
      <c r="I267" s="50">
        <v>0</v>
      </c>
      <c r="J267" s="50">
        <v>0</v>
      </c>
      <c r="K267" s="50">
        <v>18.72</v>
      </c>
      <c r="L267" s="50">
        <v>0</v>
      </c>
      <c r="M267" s="50">
        <v>0</v>
      </c>
      <c r="N267" s="50">
        <v>1.95</v>
      </c>
      <c r="O267" s="50">
        <v>1</v>
      </c>
      <c r="P267" s="50">
        <v>1</v>
      </c>
      <c r="Q267" s="49" t="s">
        <v>113</v>
      </c>
      <c r="R267" s="51" t="s">
        <v>113</v>
      </c>
      <c r="S267" s="52" t="s">
        <v>113</v>
      </c>
      <c r="T267" s="46" t="s">
        <v>113</v>
      </c>
      <c r="U267" s="49" t="s">
        <v>113</v>
      </c>
      <c r="V267" s="50">
        <v>1</v>
      </c>
      <c r="W267" s="49" t="s">
        <v>113</v>
      </c>
      <c r="X267" s="49" t="s">
        <v>113</v>
      </c>
      <c r="Y267" s="49" t="s">
        <v>113</v>
      </c>
      <c r="Z267" s="50">
        <v>45</v>
      </c>
      <c r="AA267" s="49" t="s">
        <v>113</v>
      </c>
      <c r="AB267" s="49" t="s">
        <v>113</v>
      </c>
      <c r="AC267" s="50">
        <v>220</v>
      </c>
      <c r="AD267" s="49" t="s">
        <v>113</v>
      </c>
      <c r="AE267" s="49" t="s">
        <v>113</v>
      </c>
      <c r="AF267" s="49" t="s">
        <v>113</v>
      </c>
      <c r="AG267" s="49" t="s">
        <v>113</v>
      </c>
      <c r="AH267" s="49" t="s">
        <v>113</v>
      </c>
      <c r="AI267" s="49" t="s">
        <v>113</v>
      </c>
      <c r="AJ267" s="49" t="s">
        <v>113</v>
      </c>
      <c r="AK267" s="49" t="s">
        <v>113</v>
      </c>
      <c r="AL267" s="49" t="s">
        <v>113</v>
      </c>
      <c r="AM267" s="49"/>
      <c r="AN267" s="49" t="s">
        <v>113</v>
      </c>
      <c r="AO267" s="49" t="s">
        <v>174</v>
      </c>
      <c r="AP267" s="50">
        <v>478</v>
      </c>
      <c r="AQ267" s="47" t="s">
        <v>100</v>
      </c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 spans="1:61" ht="16.5">
      <c r="A268" s="46">
        <v>374</v>
      </c>
      <c r="B268" s="49" t="s">
        <v>113</v>
      </c>
      <c r="C268" s="74" t="s">
        <v>160</v>
      </c>
      <c r="D268" s="86">
        <f>IFERROR(VLOOKUP(C268, $C$2:D267, 2, FALSE), MAX($D$2:D267)+1)</f>
        <v>12</v>
      </c>
      <c r="E268" s="50">
        <v>81.67</v>
      </c>
      <c r="F268" s="50">
        <v>0</v>
      </c>
      <c r="G268" s="50">
        <v>0</v>
      </c>
      <c r="H268" s="50">
        <v>1.18</v>
      </c>
      <c r="I268" s="50">
        <v>0</v>
      </c>
      <c r="J268" s="50">
        <v>0</v>
      </c>
      <c r="K268" s="50">
        <v>15.24</v>
      </c>
      <c r="L268" s="50">
        <v>0</v>
      </c>
      <c r="M268" s="50">
        <v>0</v>
      </c>
      <c r="N268" s="50">
        <v>1.91</v>
      </c>
      <c r="O268" s="50">
        <v>1</v>
      </c>
      <c r="P268" s="50">
        <v>1</v>
      </c>
      <c r="Q268" s="49" t="s">
        <v>113</v>
      </c>
      <c r="R268" s="51" t="s">
        <v>113</v>
      </c>
      <c r="S268" s="52" t="s">
        <v>113</v>
      </c>
      <c r="T268" s="46" t="s">
        <v>113</v>
      </c>
      <c r="U268" s="49" t="s">
        <v>113</v>
      </c>
      <c r="V268" s="49">
        <v>1</v>
      </c>
      <c r="W268" s="49" t="s">
        <v>113</v>
      </c>
      <c r="X268" s="49" t="s">
        <v>113</v>
      </c>
      <c r="Y268" s="49" t="s">
        <v>113</v>
      </c>
      <c r="Z268" s="50">
        <v>53.1</v>
      </c>
      <c r="AA268" s="49" t="s">
        <v>113</v>
      </c>
      <c r="AB268" s="49" t="s">
        <v>113</v>
      </c>
      <c r="AC268" s="50">
        <v>361</v>
      </c>
      <c r="AD268" s="49" t="s">
        <v>113</v>
      </c>
      <c r="AE268" s="49" t="s">
        <v>113</v>
      </c>
      <c r="AF268" s="49" t="s">
        <v>113</v>
      </c>
      <c r="AG268" s="49" t="s">
        <v>113</v>
      </c>
      <c r="AH268" s="49" t="s">
        <v>113</v>
      </c>
      <c r="AI268" s="49" t="s">
        <v>113</v>
      </c>
      <c r="AJ268" s="49" t="s">
        <v>113</v>
      </c>
      <c r="AK268" s="49" t="s">
        <v>113</v>
      </c>
      <c r="AL268" s="49" t="s">
        <v>113</v>
      </c>
      <c r="AM268" s="49"/>
      <c r="AN268" s="49" t="s">
        <v>113</v>
      </c>
      <c r="AO268" s="49" t="s">
        <v>174</v>
      </c>
      <c r="AP268" s="50">
        <v>374</v>
      </c>
      <c r="AQ268" s="47" t="s">
        <v>100</v>
      </c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</row>
    <row r="269" spans="1:61" ht="16.5">
      <c r="A269" s="29">
        <v>31</v>
      </c>
      <c r="B269" s="19"/>
      <c r="C269" s="74" t="s">
        <v>160</v>
      </c>
      <c r="D269" s="86">
        <f>IFERROR(VLOOKUP(C269, $C$2:D268, 2, FALSE), MAX($D$2:D268)+1)</f>
        <v>12</v>
      </c>
      <c r="E269" s="18">
        <v>69.599999999999994</v>
      </c>
      <c r="F269" s="19"/>
      <c r="G269" s="18">
        <v>0</v>
      </c>
      <c r="H269" s="18">
        <v>4.9000000000000004</v>
      </c>
      <c r="I269" s="19"/>
      <c r="J269" s="18">
        <v>0</v>
      </c>
      <c r="K269" s="18">
        <v>19.399999999999999</v>
      </c>
      <c r="L269" s="19"/>
      <c r="M269" s="19"/>
      <c r="N269" s="18">
        <v>6.1</v>
      </c>
      <c r="O269" s="19"/>
      <c r="P269" s="19"/>
      <c r="Q269" s="19"/>
      <c r="R269" s="31"/>
      <c r="S269" s="24"/>
      <c r="T269" s="32"/>
      <c r="U269" s="19"/>
      <c r="V269" s="19"/>
      <c r="W269" s="19"/>
      <c r="X269" s="19"/>
      <c r="Y269" s="19"/>
      <c r="Z269" s="18">
        <v>51</v>
      </c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26" t="s">
        <v>59</v>
      </c>
    </row>
    <row r="270" spans="1:61" ht="16.5">
      <c r="A270" s="29">
        <v>162</v>
      </c>
      <c r="B270" s="19"/>
      <c r="C270" s="74" t="s">
        <v>160</v>
      </c>
      <c r="D270" s="86">
        <f>IFERROR(VLOOKUP(C270, $C$2:D269, 2, FALSE), MAX($D$2:D269)+1)</f>
        <v>12</v>
      </c>
      <c r="E270" s="18">
        <v>82.35</v>
      </c>
      <c r="F270" s="19"/>
      <c r="G270" s="18">
        <v>0</v>
      </c>
      <c r="H270" s="18">
        <v>2.94</v>
      </c>
      <c r="I270" s="19"/>
      <c r="J270" s="18">
        <v>0</v>
      </c>
      <c r="K270" s="18">
        <v>11.78</v>
      </c>
      <c r="L270" s="19"/>
      <c r="M270" s="19"/>
      <c r="N270" s="18">
        <v>2.93</v>
      </c>
      <c r="O270" s="19"/>
      <c r="P270" s="19"/>
      <c r="Q270" s="19"/>
      <c r="R270" s="31"/>
      <c r="S270" s="24"/>
      <c r="T270" s="32"/>
      <c r="U270" s="19"/>
      <c r="V270" s="19"/>
      <c r="W270" s="19"/>
      <c r="X270" s="19"/>
      <c r="Y270" s="19"/>
      <c r="Z270" s="18">
        <v>51</v>
      </c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26" t="s">
        <v>59</v>
      </c>
    </row>
    <row r="271" spans="1:61" ht="16.5">
      <c r="A271" s="29">
        <v>166</v>
      </c>
      <c r="B271" s="19"/>
      <c r="C271" s="74" t="s">
        <v>160</v>
      </c>
      <c r="D271" s="86">
        <f>IFERROR(VLOOKUP(C271, $C$2:D270, 2, FALSE), MAX($D$2:D270)+1)</f>
        <v>12</v>
      </c>
      <c r="E271" s="18">
        <v>82.35</v>
      </c>
      <c r="F271" s="19"/>
      <c r="G271" s="18">
        <v>0</v>
      </c>
      <c r="H271" s="18">
        <v>2.94</v>
      </c>
      <c r="I271" s="19"/>
      <c r="J271" s="18">
        <v>0</v>
      </c>
      <c r="K271" s="18">
        <v>11.76</v>
      </c>
      <c r="L271" s="19"/>
      <c r="M271" s="19"/>
      <c r="N271" s="18">
        <v>2.95</v>
      </c>
      <c r="O271" s="19"/>
      <c r="P271" s="19"/>
      <c r="Q271" s="19"/>
      <c r="R271" s="31"/>
      <c r="S271" s="24"/>
      <c r="T271" s="32"/>
      <c r="U271" s="19"/>
      <c r="V271" s="19"/>
      <c r="W271" s="19"/>
      <c r="X271" s="19"/>
      <c r="Y271" s="19"/>
      <c r="Z271" s="18">
        <v>51</v>
      </c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26" t="s">
        <v>59</v>
      </c>
    </row>
    <row r="272" spans="1:61" ht="16.5">
      <c r="A272" s="29">
        <v>188</v>
      </c>
      <c r="B272" s="19"/>
      <c r="C272" s="74" t="s">
        <v>160</v>
      </c>
      <c r="D272" s="86">
        <f>IFERROR(VLOOKUP(C272, $C$2:D271, 2, FALSE), MAX($D$2:D271)+1)</f>
        <v>12</v>
      </c>
      <c r="E272" s="18">
        <v>85.5</v>
      </c>
      <c r="F272" s="19"/>
      <c r="G272" s="18">
        <v>0</v>
      </c>
      <c r="H272" s="18">
        <v>4</v>
      </c>
      <c r="I272" s="19"/>
      <c r="J272" s="18">
        <v>0</v>
      </c>
      <c r="K272" s="18">
        <v>7.5</v>
      </c>
      <c r="L272" s="19"/>
      <c r="M272" s="19"/>
      <c r="N272" s="18">
        <v>3</v>
      </c>
      <c r="O272" s="19"/>
      <c r="P272" s="19"/>
      <c r="Q272" s="19"/>
      <c r="R272" s="31"/>
      <c r="S272" s="24"/>
      <c r="T272" s="32"/>
      <c r="U272" s="19"/>
      <c r="V272" s="19"/>
      <c r="W272" s="19"/>
      <c r="X272" s="19"/>
      <c r="Y272" s="19"/>
      <c r="Z272" s="18">
        <v>46</v>
      </c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26" t="s">
        <v>59</v>
      </c>
    </row>
    <row r="273" spans="1:61" ht="16.5">
      <c r="A273" s="29">
        <v>189</v>
      </c>
      <c r="B273" s="19"/>
      <c r="C273" s="74" t="s">
        <v>160</v>
      </c>
      <c r="D273" s="86">
        <f>IFERROR(VLOOKUP(C273, $C$2:D272, 2, FALSE), MAX($D$2:D272)+1)</f>
        <v>12</v>
      </c>
      <c r="E273" s="18">
        <v>84.5</v>
      </c>
      <c r="F273" s="19"/>
      <c r="G273" s="18">
        <v>0</v>
      </c>
      <c r="H273" s="18">
        <v>4</v>
      </c>
      <c r="I273" s="19"/>
      <c r="J273" s="18">
        <v>0</v>
      </c>
      <c r="K273" s="18">
        <v>7.5</v>
      </c>
      <c r="L273" s="19"/>
      <c r="M273" s="19"/>
      <c r="N273" s="18">
        <v>4</v>
      </c>
      <c r="O273" s="19"/>
      <c r="P273" s="19"/>
      <c r="Q273" s="19"/>
      <c r="R273" s="31"/>
      <c r="S273" s="24"/>
      <c r="T273" s="32"/>
      <c r="U273" s="19"/>
      <c r="V273" s="19"/>
      <c r="W273" s="19"/>
      <c r="X273" s="19"/>
      <c r="Y273" s="19"/>
      <c r="Z273" s="18">
        <v>87</v>
      </c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26" t="s">
        <v>59</v>
      </c>
    </row>
    <row r="274" spans="1:61" s="17" customFormat="1" ht="16.5">
      <c r="A274" s="46">
        <v>420</v>
      </c>
      <c r="B274" s="49" t="s">
        <v>113</v>
      </c>
      <c r="C274" s="74" t="s">
        <v>165</v>
      </c>
      <c r="D274" s="86">
        <f>IFERROR(VLOOKUP(C274, $C$2:D273, 2, FALSE), MAX($D$2:D273)+1)</f>
        <v>13</v>
      </c>
      <c r="E274" s="50">
        <v>90.600000000000009</v>
      </c>
      <c r="F274" s="50">
        <v>0</v>
      </c>
      <c r="G274" s="50">
        <v>2.86</v>
      </c>
      <c r="H274" s="50">
        <v>6.54</v>
      </c>
      <c r="I274" s="50">
        <v>0</v>
      </c>
      <c r="J274" s="50">
        <v>0</v>
      </c>
      <c r="K274" s="50">
        <v>0</v>
      </c>
      <c r="L274" s="50">
        <v>0</v>
      </c>
      <c r="M274" s="50">
        <v>0</v>
      </c>
      <c r="N274" s="50">
        <v>0</v>
      </c>
      <c r="O274" s="50">
        <v>1</v>
      </c>
      <c r="P274" s="50">
        <v>1</v>
      </c>
      <c r="Q274" s="49" t="s">
        <v>113</v>
      </c>
      <c r="R274" s="49" t="s">
        <v>113</v>
      </c>
      <c r="S274" s="52" t="s">
        <v>113</v>
      </c>
      <c r="T274" s="46" t="s">
        <v>113</v>
      </c>
      <c r="U274" s="49" t="s">
        <v>113</v>
      </c>
      <c r="V274" s="49">
        <v>1</v>
      </c>
      <c r="W274" s="49" t="s">
        <v>113</v>
      </c>
      <c r="X274" s="49" t="s">
        <v>113</v>
      </c>
      <c r="Y274" s="49" t="s">
        <v>113</v>
      </c>
      <c r="Z274" s="50">
        <v>64.5</v>
      </c>
      <c r="AA274" s="49" t="s">
        <v>113</v>
      </c>
      <c r="AB274" s="49" t="s">
        <v>113</v>
      </c>
      <c r="AC274" s="50">
        <v>509</v>
      </c>
      <c r="AD274" s="49" t="s">
        <v>113</v>
      </c>
      <c r="AE274" s="49" t="s">
        <v>113</v>
      </c>
      <c r="AF274" s="49" t="s">
        <v>113</v>
      </c>
      <c r="AG274" s="49" t="s">
        <v>113</v>
      </c>
      <c r="AH274" s="49" t="s">
        <v>113</v>
      </c>
      <c r="AI274" s="49" t="s">
        <v>113</v>
      </c>
      <c r="AJ274" s="49" t="s">
        <v>113</v>
      </c>
      <c r="AK274" s="49" t="s">
        <v>113</v>
      </c>
      <c r="AL274" s="49" t="s">
        <v>113</v>
      </c>
      <c r="AM274" s="49"/>
      <c r="AN274" s="49" t="s">
        <v>113</v>
      </c>
      <c r="AO274" s="49" t="s">
        <v>114</v>
      </c>
      <c r="AP274" s="50">
        <v>420</v>
      </c>
      <c r="AQ274" s="47" t="s">
        <v>100</v>
      </c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</row>
    <row r="275" spans="1:61" s="17" customFormat="1" ht="16.5">
      <c r="A275" s="46">
        <v>507</v>
      </c>
      <c r="B275" s="49" t="s">
        <v>113</v>
      </c>
      <c r="C275" s="74" t="s">
        <v>165</v>
      </c>
      <c r="D275" s="86">
        <f>IFERROR(VLOOKUP(C275, $C$2:D274, 2, FALSE), MAX($D$2:D274)+1)</f>
        <v>13</v>
      </c>
      <c r="E275" s="50">
        <v>77.86999999999999</v>
      </c>
      <c r="F275" s="50">
        <v>0</v>
      </c>
      <c r="G275" s="50">
        <v>18.98</v>
      </c>
      <c r="H275" s="50">
        <v>3.2300000000000004</v>
      </c>
      <c r="I275" s="50">
        <v>0</v>
      </c>
      <c r="J275" s="50">
        <v>0</v>
      </c>
      <c r="K275" s="50">
        <v>0</v>
      </c>
      <c r="L275" s="50">
        <v>0</v>
      </c>
      <c r="M275" s="50">
        <v>0</v>
      </c>
      <c r="N275" s="50">
        <v>0</v>
      </c>
      <c r="O275" s="50">
        <v>1</v>
      </c>
      <c r="P275" s="50">
        <v>1</v>
      </c>
      <c r="Q275" s="49" t="s">
        <v>113</v>
      </c>
      <c r="R275" s="49" t="s">
        <v>113</v>
      </c>
      <c r="S275" s="52" t="s">
        <v>113</v>
      </c>
      <c r="T275" s="46" t="s">
        <v>113</v>
      </c>
      <c r="U275" s="49" t="s">
        <v>113</v>
      </c>
      <c r="V275" s="50">
        <v>1</v>
      </c>
      <c r="W275" s="49" t="s">
        <v>113</v>
      </c>
      <c r="X275" s="49" t="s">
        <v>113</v>
      </c>
      <c r="Y275" s="49" t="s">
        <v>113</v>
      </c>
      <c r="Z275" s="50">
        <v>75</v>
      </c>
      <c r="AA275" s="49" t="s">
        <v>113</v>
      </c>
      <c r="AB275" s="49" t="s">
        <v>113</v>
      </c>
      <c r="AC275" s="50">
        <v>383</v>
      </c>
      <c r="AD275" s="49" t="s">
        <v>113</v>
      </c>
      <c r="AE275" s="49" t="s">
        <v>113</v>
      </c>
      <c r="AF275" s="49" t="s">
        <v>113</v>
      </c>
      <c r="AG275" s="49" t="s">
        <v>113</v>
      </c>
      <c r="AH275" s="49" t="s">
        <v>113</v>
      </c>
      <c r="AI275" s="49" t="s">
        <v>113</v>
      </c>
      <c r="AJ275" s="49" t="s">
        <v>113</v>
      </c>
      <c r="AK275" s="49" t="s">
        <v>113</v>
      </c>
      <c r="AL275" s="49" t="s">
        <v>113</v>
      </c>
      <c r="AM275" s="49"/>
      <c r="AN275" s="49" t="s">
        <v>113</v>
      </c>
      <c r="AO275" s="49" t="s">
        <v>114</v>
      </c>
      <c r="AP275" s="50">
        <v>507</v>
      </c>
      <c r="AQ275" s="47" t="s">
        <v>100</v>
      </c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 spans="1:61" s="17" customFormat="1" ht="16.5">
      <c r="A276" s="46">
        <v>508</v>
      </c>
      <c r="B276" s="49" t="s">
        <v>113</v>
      </c>
      <c r="C276" s="74" t="s">
        <v>165</v>
      </c>
      <c r="D276" s="86">
        <f>IFERROR(VLOOKUP(C276, $C$2:D275, 2, FALSE), MAX($D$2:D275)+1)</f>
        <v>13</v>
      </c>
      <c r="E276" s="50">
        <v>77.149999999999991</v>
      </c>
      <c r="F276" s="50">
        <v>0</v>
      </c>
      <c r="G276" s="50">
        <v>18.98</v>
      </c>
      <c r="H276" s="50">
        <v>3.8699999999999997</v>
      </c>
      <c r="I276" s="50">
        <v>0</v>
      </c>
      <c r="J276" s="50">
        <v>0</v>
      </c>
      <c r="K276" s="50">
        <v>0</v>
      </c>
      <c r="L276" s="50">
        <v>0</v>
      </c>
      <c r="M276" s="50">
        <v>0</v>
      </c>
      <c r="N276" s="50">
        <v>0</v>
      </c>
      <c r="O276" s="50">
        <v>1</v>
      </c>
      <c r="P276" s="50">
        <v>1</v>
      </c>
      <c r="Q276" s="49" t="s">
        <v>113</v>
      </c>
      <c r="R276" s="49" t="s">
        <v>113</v>
      </c>
      <c r="S276" s="52" t="s">
        <v>113</v>
      </c>
      <c r="T276" s="46" t="s">
        <v>113</v>
      </c>
      <c r="U276" s="49" t="s">
        <v>113</v>
      </c>
      <c r="V276" s="50">
        <v>1</v>
      </c>
      <c r="W276" s="49" t="s">
        <v>113</v>
      </c>
      <c r="X276" s="49" t="s">
        <v>113</v>
      </c>
      <c r="Y276" s="49" t="s">
        <v>113</v>
      </c>
      <c r="Z276" s="50">
        <v>63</v>
      </c>
      <c r="AA276" s="49" t="s">
        <v>113</v>
      </c>
      <c r="AB276" s="49" t="s">
        <v>113</v>
      </c>
      <c r="AC276" s="50">
        <v>459</v>
      </c>
      <c r="AD276" s="49" t="s">
        <v>113</v>
      </c>
      <c r="AE276" s="49" t="s">
        <v>113</v>
      </c>
      <c r="AF276" s="49" t="s">
        <v>113</v>
      </c>
      <c r="AG276" s="49" t="s">
        <v>113</v>
      </c>
      <c r="AH276" s="49" t="s">
        <v>113</v>
      </c>
      <c r="AI276" s="49" t="s">
        <v>113</v>
      </c>
      <c r="AJ276" s="49" t="s">
        <v>113</v>
      </c>
      <c r="AK276" s="49" t="s">
        <v>113</v>
      </c>
      <c r="AL276" s="49" t="s">
        <v>113</v>
      </c>
      <c r="AM276" s="49"/>
      <c r="AN276" s="49" t="s">
        <v>113</v>
      </c>
      <c r="AO276" s="49" t="s">
        <v>114</v>
      </c>
      <c r="AP276" s="50">
        <v>508</v>
      </c>
      <c r="AQ276" s="47" t="s">
        <v>100</v>
      </c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</row>
    <row r="277" spans="1:61" s="17" customFormat="1" ht="16.5">
      <c r="A277" s="46">
        <v>509</v>
      </c>
      <c r="B277" s="49" t="s">
        <v>113</v>
      </c>
      <c r="C277" s="74" t="s">
        <v>165</v>
      </c>
      <c r="D277" s="86">
        <f>IFERROR(VLOOKUP(C277, $C$2:D276, 2, FALSE), MAX($D$2:D276)+1)</f>
        <v>13</v>
      </c>
      <c r="E277" s="50">
        <v>76.429999999999993</v>
      </c>
      <c r="F277" s="50">
        <v>0</v>
      </c>
      <c r="G277" s="50">
        <v>19.29</v>
      </c>
      <c r="H277" s="50">
        <v>4.2799999999999994</v>
      </c>
      <c r="I277" s="50">
        <v>0</v>
      </c>
      <c r="J277" s="50">
        <v>0</v>
      </c>
      <c r="K277" s="50">
        <v>0</v>
      </c>
      <c r="L277" s="50">
        <v>0</v>
      </c>
      <c r="M277" s="50">
        <v>0</v>
      </c>
      <c r="N277" s="50">
        <v>0</v>
      </c>
      <c r="O277" s="50">
        <v>1</v>
      </c>
      <c r="P277" s="50">
        <v>1</v>
      </c>
      <c r="Q277" s="49" t="s">
        <v>113</v>
      </c>
      <c r="R277" s="49" t="s">
        <v>113</v>
      </c>
      <c r="S277" s="52" t="s">
        <v>113</v>
      </c>
      <c r="T277" s="46" t="s">
        <v>113</v>
      </c>
      <c r="U277" s="49" t="s">
        <v>113</v>
      </c>
      <c r="V277" s="50">
        <v>1</v>
      </c>
      <c r="W277" s="49" t="s">
        <v>113</v>
      </c>
      <c r="X277" s="49" t="s">
        <v>113</v>
      </c>
      <c r="Y277" s="49" t="s">
        <v>113</v>
      </c>
      <c r="Z277" s="50">
        <v>66</v>
      </c>
      <c r="AA277" s="49" t="s">
        <v>113</v>
      </c>
      <c r="AB277" s="49" t="s">
        <v>113</v>
      </c>
      <c r="AC277" s="50">
        <v>674</v>
      </c>
      <c r="AD277" s="49" t="s">
        <v>113</v>
      </c>
      <c r="AE277" s="49" t="s">
        <v>113</v>
      </c>
      <c r="AF277" s="49" t="s">
        <v>113</v>
      </c>
      <c r="AG277" s="49" t="s">
        <v>113</v>
      </c>
      <c r="AH277" s="49" t="s">
        <v>113</v>
      </c>
      <c r="AI277" s="49" t="s">
        <v>113</v>
      </c>
      <c r="AJ277" s="49" t="s">
        <v>113</v>
      </c>
      <c r="AK277" s="49" t="s">
        <v>113</v>
      </c>
      <c r="AL277" s="49" t="s">
        <v>113</v>
      </c>
      <c r="AM277" s="49"/>
      <c r="AN277" s="49" t="s">
        <v>113</v>
      </c>
      <c r="AO277" s="49" t="s">
        <v>114</v>
      </c>
      <c r="AP277" s="50">
        <v>509</v>
      </c>
      <c r="AQ277" s="47" t="s">
        <v>100</v>
      </c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 spans="1:61" ht="16.5">
      <c r="A278" s="29">
        <v>4</v>
      </c>
      <c r="B278" s="19"/>
      <c r="C278" s="74" t="s">
        <v>165</v>
      </c>
      <c r="D278" s="86">
        <f>IFERROR(VLOOKUP(C278, $C$2:D277, 2, FALSE), MAX($D$2:D277)+1)</f>
        <v>13</v>
      </c>
      <c r="E278" s="18">
        <v>87.5</v>
      </c>
      <c r="F278" s="19"/>
      <c r="G278" s="18">
        <v>6.25</v>
      </c>
      <c r="H278" s="18">
        <v>6.25</v>
      </c>
      <c r="I278" s="19"/>
      <c r="J278" s="18">
        <v>0</v>
      </c>
      <c r="K278" s="18">
        <v>0</v>
      </c>
      <c r="L278" s="19"/>
      <c r="M278" s="19"/>
      <c r="N278" s="18">
        <v>0</v>
      </c>
      <c r="O278" s="19"/>
      <c r="P278" s="19"/>
      <c r="Q278" s="81"/>
      <c r="R278" s="81"/>
      <c r="S278" s="81"/>
      <c r="T278" s="19"/>
      <c r="U278" s="19"/>
      <c r="V278" s="19"/>
      <c r="W278" s="19"/>
      <c r="X278" s="19"/>
      <c r="Y278" s="19"/>
      <c r="Z278" s="18">
        <v>80</v>
      </c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26" t="s">
        <v>59</v>
      </c>
    </row>
    <row r="279" spans="1:61" ht="16.5">
      <c r="A279" s="29">
        <v>15</v>
      </c>
      <c r="B279" s="19"/>
      <c r="C279" s="74" t="s">
        <v>165</v>
      </c>
      <c r="D279" s="86">
        <f>IFERROR(VLOOKUP(C279, $C$2:D278, 2, FALSE), MAX($D$2:D278)+1)</f>
        <v>13</v>
      </c>
      <c r="E279" s="18">
        <v>86.7</v>
      </c>
      <c r="F279" s="19"/>
      <c r="G279" s="18">
        <v>7.7</v>
      </c>
      <c r="H279" s="18">
        <v>5.6</v>
      </c>
      <c r="I279" s="19"/>
      <c r="J279" s="18">
        <v>0</v>
      </c>
      <c r="K279" s="18">
        <v>0</v>
      </c>
      <c r="L279" s="19"/>
      <c r="M279" s="19"/>
      <c r="N279" s="18">
        <v>0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8">
        <v>74</v>
      </c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26" t="s">
        <v>59</v>
      </c>
    </row>
    <row r="280" spans="1:61" ht="16.5">
      <c r="A280" s="29">
        <v>23</v>
      </c>
      <c r="B280" s="19"/>
      <c r="C280" s="74" t="s">
        <v>165</v>
      </c>
      <c r="D280" s="86">
        <f>IFERROR(VLOOKUP(C280, $C$2:D279, 2, FALSE), MAX($D$2:D279)+1)</f>
        <v>13</v>
      </c>
      <c r="E280" s="18">
        <v>78.2</v>
      </c>
      <c r="F280" s="19"/>
      <c r="G280" s="18">
        <v>10.6</v>
      </c>
      <c r="H280" s="18">
        <v>11.2</v>
      </c>
      <c r="I280" s="19"/>
      <c r="J280" s="18">
        <v>0</v>
      </c>
      <c r="K280" s="18">
        <v>0</v>
      </c>
      <c r="L280" s="19"/>
      <c r="M280" s="19"/>
      <c r="N280" s="18">
        <v>0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8">
        <v>80</v>
      </c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26" t="s">
        <v>59</v>
      </c>
    </row>
    <row r="281" spans="1:61" ht="16.5">
      <c r="A281" s="29">
        <v>215</v>
      </c>
      <c r="B281" s="19"/>
      <c r="C281" s="74" t="s">
        <v>165</v>
      </c>
      <c r="D281" s="86">
        <f>IFERROR(VLOOKUP(C281, $C$2:D280, 2, FALSE), MAX($D$2:D280)+1)</f>
        <v>13</v>
      </c>
      <c r="E281" s="18">
        <v>85.36</v>
      </c>
      <c r="F281" s="19"/>
      <c r="G281" s="18">
        <v>8.9600000000000009</v>
      </c>
      <c r="H281" s="18">
        <v>5.68</v>
      </c>
      <c r="I281" s="19"/>
      <c r="J281" s="18">
        <v>0</v>
      </c>
      <c r="K281" s="18">
        <v>0</v>
      </c>
      <c r="L281" s="19"/>
      <c r="M281" s="19"/>
      <c r="N281" s="18">
        <v>0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8">
        <v>82</v>
      </c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26" t="s">
        <v>59</v>
      </c>
    </row>
    <row r="282" spans="1:61" ht="16.5">
      <c r="A282" s="46">
        <v>337</v>
      </c>
      <c r="B282" s="49" t="s">
        <v>113</v>
      </c>
      <c r="C282" s="74" t="s">
        <v>274</v>
      </c>
      <c r="D282" s="86">
        <f>IFERROR(VLOOKUP(C282, $C$2:D281, 2, FALSE), MAX($D$2:D281)+1)</f>
        <v>14</v>
      </c>
      <c r="E282" s="50">
        <v>80.849999999999994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50">
        <v>18.05</v>
      </c>
      <c r="L282" s="50">
        <v>0</v>
      </c>
      <c r="M282" s="50">
        <v>1.0999999999999999</v>
      </c>
      <c r="N282" s="50">
        <v>0</v>
      </c>
      <c r="O282" s="50">
        <v>1</v>
      </c>
      <c r="P282" s="50">
        <v>1</v>
      </c>
      <c r="Q282" s="49" t="s">
        <v>113</v>
      </c>
      <c r="R282" s="49" t="s">
        <v>113</v>
      </c>
      <c r="S282" s="49" t="s">
        <v>113</v>
      </c>
      <c r="T282" s="49" t="s">
        <v>113</v>
      </c>
      <c r="U282" s="49" t="s">
        <v>113</v>
      </c>
      <c r="V282" s="49">
        <v>1</v>
      </c>
      <c r="W282" s="49" t="s">
        <v>113</v>
      </c>
      <c r="X282" s="49" t="s">
        <v>113</v>
      </c>
      <c r="Y282" s="49" t="s">
        <v>113</v>
      </c>
      <c r="Z282" s="50">
        <v>81</v>
      </c>
      <c r="AA282" s="49" t="s">
        <v>113</v>
      </c>
      <c r="AB282" s="49" t="s">
        <v>113</v>
      </c>
      <c r="AC282" s="50">
        <v>477</v>
      </c>
      <c r="AD282" s="49" t="s">
        <v>113</v>
      </c>
      <c r="AE282" s="49" t="s">
        <v>113</v>
      </c>
      <c r="AF282" s="49" t="s">
        <v>113</v>
      </c>
      <c r="AG282" s="49" t="s">
        <v>113</v>
      </c>
      <c r="AH282" s="49" t="s">
        <v>113</v>
      </c>
      <c r="AI282" s="49" t="s">
        <v>113</v>
      </c>
      <c r="AJ282" s="49" t="s">
        <v>113</v>
      </c>
      <c r="AK282" s="49" t="s">
        <v>113</v>
      </c>
      <c r="AL282" s="49" t="s">
        <v>113</v>
      </c>
      <c r="AM282" s="49"/>
      <c r="AN282" s="49" t="s">
        <v>113</v>
      </c>
      <c r="AO282" s="49" t="s">
        <v>114</v>
      </c>
      <c r="AP282" s="50">
        <v>337</v>
      </c>
      <c r="AQ282" s="47" t="s">
        <v>100</v>
      </c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</row>
    <row r="283" spans="1:61" ht="16.5">
      <c r="A283" s="46">
        <v>338</v>
      </c>
      <c r="B283" s="49" t="s">
        <v>113</v>
      </c>
      <c r="C283" s="74" t="s">
        <v>274</v>
      </c>
      <c r="D283" s="86">
        <f>IFERROR(VLOOKUP(C283, $C$2:D282, 2, FALSE), MAX($D$2:D282)+1)</f>
        <v>14</v>
      </c>
      <c r="E283" s="50">
        <v>82.54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15.840000000000002</v>
      </c>
      <c r="L283" s="50">
        <v>0</v>
      </c>
      <c r="M283" s="50">
        <v>1.6199999999999999</v>
      </c>
      <c r="N283" s="50">
        <v>0</v>
      </c>
      <c r="O283" s="50">
        <v>1</v>
      </c>
      <c r="P283" s="50">
        <v>1</v>
      </c>
      <c r="Q283" s="49" t="s">
        <v>113</v>
      </c>
      <c r="R283" s="49" t="s">
        <v>113</v>
      </c>
      <c r="S283" s="49" t="s">
        <v>113</v>
      </c>
      <c r="T283" s="49" t="s">
        <v>113</v>
      </c>
      <c r="U283" s="49" t="s">
        <v>113</v>
      </c>
      <c r="V283" s="49">
        <v>1</v>
      </c>
      <c r="W283" s="49" t="s">
        <v>113</v>
      </c>
      <c r="X283" s="49" t="s">
        <v>113</v>
      </c>
      <c r="Y283" s="49" t="s">
        <v>113</v>
      </c>
      <c r="Z283" s="50">
        <v>94</v>
      </c>
      <c r="AA283" s="49" t="s">
        <v>113</v>
      </c>
      <c r="AB283" s="49" t="s">
        <v>113</v>
      </c>
      <c r="AC283" s="50">
        <v>496</v>
      </c>
      <c r="AD283" s="49" t="s">
        <v>113</v>
      </c>
      <c r="AE283" s="49" t="s">
        <v>113</v>
      </c>
      <c r="AF283" s="49" t="s">
        <v>113</v>
      </c>
      <c r="AG283" s="49" t="s">
        <v>113</v>
      </c>
      <c r="AH283" s="49" t="s">
        <v>113</v>
      </c>
      <c r="AI283" s="49" t="s">
        <v>113</v>
      </c>
      <c r="AJ283" s="49" t="s">
        <v>113</v>
      </c>
      <c r="AK283" s="49" t="s">
        <v>113</v>
      </c>
      <c r="AL283" s="49" t="s">
        <v>113</v>
      </c>
      <c r="AM283" s="49"/>
      <c r="AN283" s="49" t="s">
        <v>113</v>
      </c>
      <c r="AO283" s="49" t="s">
        <v>114</v>
      </c>
      <c r="AP283" s="50">
        <v>338</v>
      </c>
      <c r="AQ283" s="47" t="s">
        <v>100</v>
      </c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 spans="1:61" ht="16.5">
      <c r="A284" s="46">
        <v>339</v>
      </c>
      <c r="B284" s="49" t="s">
        <v>113</v>
      </c>
      <c r="C284" s="74" t="s">
        <v>274</v>
      </c>
      <c r="D284" s="86">
        <f>IFERROR(VLOOKUP(C284, $C$2:D283, 2, FALSE), MAX($D$2:D283)+1)</f>
        <v>14</v>
      </c>
      <c r="E284" s="50">
        <v>84.58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13.25</v>
      </c>
      <c r="L284" s="50">
        <v>0</v>
      </c>
      <c r="M284" s="50">
        <v>2.17</v>
      </c>
      <c r="N284" s="50">
        <v>0</v>
      </c>
      <c r="O284" s="50">
        <v>1</v>
      </c>
      <c r="P284" s="50">
        <v>1</v>
      </c>
      <c r="Q284" s="49" t="s">
        <v>113</v>
      </c>
      <c r="R284" s="49" t="s">
        <v>113</v>
      </c>
      <c r="S284" s="49" t="s">
        <v>113</v>
      </c>
      <c r="T284" s="49" t="s">
        <v>113</v>
      </c>
      <c r="U284" s="49" t="s">
        <v>113</v>
      </c>
      <c r="V284" s="49">
        <v>1</v>
      </c>
      <c r="W284" s="49" t="s">
        <v>113</v>
      </c>
      <c r="X284" s="49" t="s">
        <v>113</v>
      </c>
      <c r="Y284" s="49" t="s">
        <v>113</v>
      </c>
      <c r="Z284" s="50">
        <v>95</v>
      </c>
      <c r="AA284" s="49" t="s">
        <v>113</v>
      </c>
      <c r="AB284" s="49" t="s">
        <v>113</v>
      </c>
      <c r="AC284" s="50">
        <v>604</v>
      </c>
      <c r="AD284" s="49" t="s">
        <v>113</v>
      </c>
      <c r="AE284" s="49" t="s">
        <v>113</v>
      </c>
      <c r="AF284" s="49" t="s">
        <v>113</v>
      </c>
      <c r="AG284" s="49" t="s">
        <v>113</v>
      </c>
      <c r="AH284" s="49" t="s">
        <v>113</v>
      </c>
      <c r="AI284" s="49" t="s">
        <v>113</v>
      </c>
      <c r="AJ284" s="49" t="s">
        <v>113</v>
      </c>
      <c r="AK284" s="49" t="s">
        <v>113</v>
      </c>
      <c r="AL284" s="49" t="s">
        <v>113</v>
      </c>
      <c r="AM284" s="49"/>
      <c r="AN284" s="49" t="s">
        <v>113</v>
      </c>
      <c r="AO284" s="49" t="s">
        <v>114</v>
      </c>
      <c r="AP284" s="50">
        <v>339</v>
      </c>
      <c r="AQ284" s="47" t="s">
        <v>100</v>
      </c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</row>
    <row r="285" spans="1:61" ht="16.5">
      <c r="A285" s="46">
        <v>340</v>
      </c>
      <c r="B285" s="49" t="s">
        <v>113</v>
      </c>
      <c r="C285" s="74" t="s">
        <v>274</v>
      </c>
      <c r="D285" s="86">
        <f>IFERROR(VLOOKUP(C285, $C$2:D284, 2, FALSE), MAX($D$2:D284)+1)</f>
        <v>14</v>
      </c>
      <c r="E285" s="50">
        <v>87.070000000000007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10.39</v>
      </c>
      <c r="L285" s="50">
        <v>0</v>
      </c>
      <c r="M285" s="50">
        <v>2.54</v>
      </c>
      <c r="N285" s="50">
        <v>0</v>
      </c>
      <c r="O285" s="50">
        <v>1</v>
      </c>
      <c r="P285" s="50">
        <v>1</v>
      </c>
      <c r="Q285" s="49" t="s">
        <v>113</v>
      </c>
      <c r="R285" s="49" t="s">
        <v>113</v>
      </c>
      <c r="S285" s="49" t="s">
        <v>113</v>
      </c>
      <c r="T285" s="49" t="s">
        <v>113</v>
      </c>
      <c r="U285" s="49" t="s">
        <v>113</v>
      </c>
      <c r="V285" s="49">
        <v>1</v>
      </c>
      <c r="W285" s="49" t="s">
        <v>113</v>
      </c>
      <c r="X285" s="49" t="s">
        <v>113</v>
      </c>
      <c r="Y285" s="49" t="s">
        <v>113</v>
      </c>
      <c r="Z285" s="50">
        <v>90</v>
      </c>
      <c r="AA285" s="49" t="s">
        <v>113</v>
      </c>
      <c r="AB285" s="49" t="s">
        <v>113</v>
      </c>
      <c r="AC285" s="50">
        <v>672</v>
      </c>
      <c r="AD285" s="49" t="s">
        <v>113</v>
      </c>
      <c r="AE285" s="49" t="s">
        <v>113</v>
      </c>
      <c r="AF285" s="49" t="s">
        <v>113</v>
      </c>
      <c r="AG285" s="49" t="s">
        <v>113</v>
      </c>
      <c r="AH285" s="49" t="s">
        <v>113</v>
      </c>
      <c r="AI285" s="49" t="s">
        <v>113</v>
      </c>
      <c r="AJ285" s="49" t="s">
        <v>113</v>
      </c>
      <c r="AK285" s="49" t="s">
        <v>113</v>
      </c>
      <c r="AL285" s="49" t="s">
        <v>113</v>
      </c>
      <c r="AM285" s="49"/>
      <c r="AN285" s="49" t="s">
        <v>113</v>
      </c>
      <c r="AO285" s="49" t="s">
        <v>114</v>
      </c>
      <c r="AP285" s="50">
        <v>340</v>
      </c>
      <c r="AQ285" s="47" t="s">
        <v>100</v>
      </c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 spans="1:61" ht="16.5">
      <c r="A286" s="46">
        <v>341</v>
      </c>
      <c r="B286" s="49" t="s">
        <v>113</v>
      </c>
      <c r="C286" s="74" t="s">
        <v>274</v>
      </c>
      <c r="D286" s="86">
        <f>IFERROR(VLOOKUP(C286, $C$2:D285, 2, FALSE), MAX($D$2:D285)+1)</f>
        <v>14</v>
      </c>
      <c r="E286" s="50">
        <v>88.949999999999989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8.25</v>
      </c>
      <c r="L286" s="50">
        <v>0</v>
      </c>
      <c r="M286" s="50">
        <v>2.8000000000000003</v>
      </c>
      <c r="N286" s="50">
        <v>0</v>
      </c>
      <c r="O286" s="50">
        <v>1</v>
      </c>
      <c r="P286" s="50">
        <v>1</v>
      </c>
      <c r="Q286" s="49" t="s">
        <v>113</v>
      </c>
      <c r="R286" s="49" t="s">
        <v>113</v>
      </c>
      <c r="S286" s="49" t="s">
        <v>113</v>
      </c>
      <c r="T286" s="49" t="s">
        <v>113</v>
      </c>
      <c r="U286" s="49" t="s">
        <v>113</v>
      </c>
      <c r="V286" s="49">
        <v>1</v>
      </c>
      <c r="W286" s="49" t="s">
        <v>113</v>
      </c>
      <c r="X286" s="49" t="s">
        <v>113</v>
      </c>
      <c r="Y286" s="49" t="s">
        <v>113</v>
      </c>
      <c r="Z286" s="50">
        <v>94</v>
      </c>
      <c r="AA286" s="49" t="s">
        <v>113</v>
      </c>
      <c r="AB286" s="49" t="s">
        <v>113</v>
      </c>
      <c r="AC286" s="50">
        <v>695</v>
      </c>
      <c r="AD286" s="49" t="s">
        <v>113</v>
      </c>
      <c r="AE286" s="49" t="s">
        <v>113</v>
      </c>
      <c r="AF286" s="49" t="s">
        <v>113</v>
      </c>
      <c r="AG286" s="49" t="s">
        <v>113</v>
      </c>
      <c r="AH286" s="49" t="s">
        <v>113</v>
      </c>
      <c r="AI286" s="49" t="s">
        <v>113</v>
      </c>
      <c r="AJ286" s="49" t="s">
        <v>113</v>
      </c>
      <c r="AK286" s="49" t="s">
        <v>113</v>
      </c>
      <c r="AL286" s="49" t="s">
        <v>113</v>
      </c>
      <c r="AM286" s="49"/>
      <c r="AN286" s="49" t="s">
        <v>113</v>
      </c>
      <c r="AO286" s="49" t="s">
        <v>114</v>
      </c>
      <c r="AP286" s="50">
        <v>341</v>
      </c>
      <c r="AQ286" s="47" t="s">
        <v>100</v>
      </c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</row>
    <row r="287" spans="1:61" ht="16.5">
      <c r="A287" s="46">
        <v>342</v>
      </c>
      <c r="B287" s="49" t="s">
        <v>113</v>
      </c>
      <c r="C287" s="74" t="s">
        <v>274</v>
      </c>
      <c r="D287" s="86">
        <f>IFERROR(VLOOKUP(C287, $C$2:D286, 2, FALSE), MAX($D$2:D286)+1)</f>
        <v>14</v>
      </c>
      <c r="E287" s="50">
        <v>90.63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6.02</v>
      </c>
      <c r="L287" s="50">
        <v>0</v>
      </c>
      <c r="M287" s="50">
        <v>3.35</v>
      </c>
      <c r="N287" s="50">
        <v>0</v>
      </c>
      <c r="O287" s="50">
        <v>1</v>
      </c>
      <c r="P287" s="50">
        <v>1</v>
      </c>
      <c r="Q287" s="49" t="s">
        <v>113</v>
      </c>
      <c r="R287" s="49" t="s">
        <v>113</v>
      </c>
      <c r="S287" s="49" t="s">
        <v>113</v>
      </c>
      <c r="T287" s="49" t="s">
        <v>113</v>
      </c>
      <c r="U287" s="49" t="s">
        <v>113</v>
      </c>
      <c r="V287" s="49">
        <v>1</v>
      </c>
      <c r="W287" s="49" t="s">
        <v>113</v>
      </c>
      <c r="X287" s="49" t="s">
        <v>113</v>
      </c>
      <c r="Y287" s="49" t="s">
        <v>113</v>
      </c>
      <c r="Z287" s="50">
        <v>97</v>
      </c>
      <c r="AA287" s="49" t="s">
        <v>113</v>
      </c>
      <c r="AB287" s="49" t="s">
        <v>113</v>
      </c>
      <c r="AC287" s="50">
        <v>715</v>
      </c>
      <c r="AD287" s="49" t="s">
        <v>113</v>
      </c>
      <c r="AE287" s="49" t="s">
        <v>113</v>
      </c>
      <c r="AF287" s="49" t="s">
        <v>113</v>
      </c>
      <c r="AG287" s="49" t="s">
        <v>113</v>
      </c>
      <c r="AH287" s="49" t="s">
        <v>113</v>
      </c>
      <c r="AI287" s="49" t="s">
        <v>113</v>
      </c>
      <c r="AJ287" s="49" t="s">
        <v>113</v>
      </c>
      <c r="AK287" s="49" t="s">
        <v>113</v>
      </c>
      <c r="AL287" s="49" t="s">
        <v>113</v>
      </c>
      <c r="AM287" s="49"/>
      <c r="AN287" s="49" t="s">
        <v>113</v>
      </c>
      <c r="AO287" s="49" t="s">
        <v>114</v>
      </c>
      <c r="AP287" s="50">
        <v>342</v>
      </c>
      <c r="AQ287" s="47" t="s">
        <v>100</v>
      </c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 spans="1:61" ht="16.5">
      <c r="A288" s="46">
        <v>344</v>
      </c>
      <c r="B288" s="49" t="s">
        <v>113</v>
      </c>
      <c r="C288" s="74" t="s">
        <v>274</v>
      </c>
      <c r="D288" s="86">
        <f>IFERROR(VLOOKUP(C288, $C$2:D287, 2, FALSE), MAX($D$2:D287)+1)</f>
        <v>14</v>
      </c>
      <c r="E288" s="50">
        <v>80.63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18.260000000000002</v>
      </c>
      <c r="L288" s="50">
        <v>0</v>
      </c>
      <c r="M288" s="50">
        <v>1.1100000000000001</v>
      </c>
      <c r="N288" s="50">
        <v>0</v>
      </c>
      <c r="O288" s="50">
        <v>1</v>
      </c>
      <c r="P288" s="50">
        <v>1</v>
      </c>
      <c r="Q288" s="49" t="s">
        <v>113</v>
      </c>
      <c r="R288" s="49" t="s">
        <v>113</v>
      </c>
      <c r="S288" s="49" t="s">
        <v>113</v>
      </c>
      <c r="T288" s="49" t="s">
        <v>113</v>
      </c>
      <c r="U288" s="49" t="s">
        <v>113</v>
      </c>
      <c r="V288" s="49">
        <v>1</v>
      </c>
      <c r="W288" s="49" t="s">
        <v>113</v>
      </c>
      <c r="X288" s="49" t="s">
        <v>113</v>
      </c>
      <c r="Y288" s="49" t="s">
        <v>113</v>
      </c>
      <c r="Z288" s="50">
        <v>79</v>
      </c>
      <c r="AA288" s="49" t="s">
        <v>113</v>
      </c>
      <c r="AB288" s="49" t="s">
        <v>113</v>
      </c>
      <c r="AC288" s="50">
        <v>606</v>
      </c>
      <c r="AD288" s="49" t="s">
        <v>113</v>
      </c>
      <c r="AE288" s="49" t="s">
        <v>113</v>
      </c>
      <c r="AF288" s="49" t="s">
        <v>113</v>
      </c>
      <c r="AG288" s="49" t="s">
        <v>113</v>
      </c>
      <c r="AH288" s="49" t="s">
        <v>113</v>
      </c>
      <c r="AI288" s="49" t="s">
        <v>113</v>
      </c>
      <c r="AJ288" s="49" t="s">
        <v>113</v>
      </c>
      <c r="AK288" s="49" t="s">
        <v>113</v>
      </c>
      <c r="AL288" s="49" t="s">
        <v>113</v>
      </c>
      <c r="AM288" s="49"/>
      <c r="AN288" s="49" t="s">
        <v>113</v>
      </c>
      <c r="AO288" s="49" t="s">
        <v>114</v>
      </c>
      <c r="AP288" s="50">
        <v>344</v>
      </c>
      <c r="AQ288" s="47" t="s">
        <v>100</v>
      </c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</row>
    <row r="289" spans="1:61" ht="16.5">
      <c r="A289" s="46">
        <v>345</v>
      </c>
      <c r="B289" s="49" t="s">
        <v>113</v>
      </c>
      <c r="C289" s="74" t="s">
        <v>274</v>
      </c>
      <c r="D289" s="86">
        <f>IFERROR(VLOOKUP(C289, $C$2:D288, 2, FALSE), MAX($D$2:D288)+1)</f>
        <v>14</v>
      </c>
      <c r="E289" s="50">
        <v>79.12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17.96</v>
      </c>
      <c r="L289" s="50">
        <v>0</v>
      </c>
      <c r="M289" s="50">
        <v>2.92</v>
      </c>
      <c r="N289" s="50">
        <v>0</v>
      </c>
      <c r="O289" s="50">
        <v>1</v>
      </c>
      <c r="P289" s="50">
        <v>1</v>
      </c>
      <c r="Q289" s="49" t="s">
        <v>113</v>
      </c>
      <c r="R289" s="49" t="s">
        <v>113</v>
      </c>
      <c r="S289" s="49" t="s">
        <v>113</v>
      </c>
      <c r="T289" s="49" t="s">
        <v>113</v>
      </c>
      <c r="U289" s="49" t="s">
        <v>113</v>
      </c>
      <c r="V289" s="49">
        <v>1</v>
      </c>
      <c r="W289" s="49" t="s">
        <v>113</v>
      </c>
      <c r="X289" s="49" t="s">
        <v>113</v>
      </c>
      <c r="Y289" s="49" t="s">
        <v>113</v>
      </c>
      <c r="Z289" s="50">
        <v>78</v>
      </c>
      <c r="AA289" s="49" t="s">
        <v>113</v>
      </c>
      <c r="AB289" s="49" t="s">
        <v>113</v>
      </c>
      <c r="AC289" s="50">
        <v>625</v>
      </c>
      <c r="AD289" s="49" t="s">
        <v>113</v>
      </c>
      <c r="AE289" s="49" t="s">
        <v>113</v>
      </c>
      <c r="AF289" s="49" t="s">
        <v>113</v>
      </c>
      <c r="AG289" s="49" t="s">
        <v>113</v>
      </c>
      <c r="AH289" s="49" t="s">
        <v>113</v>
      </c>
      <c r="AI289" s="49" t="s">
        <v>113</v>
      </c>
      <c r="AJ289" s="49" t="s">
        <v>113</v>
      </c>
      <c r="AK289" s="49" t="s">
        <v>113</v>
      </c>
      <c r="AL289" s="49" t="s">
        <v>113</v>
      </c>
      <c r="AM289" s="49"/>
      <c r="AN289" s="49" t="s">
        <v>113</v>
      </c>
      <c r="AO289" s="49" t="s">
        <v>114</v>
      </c>
      <c r="AP289" s="50">
        <v>345</v>
      </c>
      <c r="AQ289" s="47" t="s">
        <v>100</v>
      </c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 spans="1:61" ht="16.5">
      <c r="A290" s="46">
        <v>346</v>
      </c>
      <c r="B290" s="49" t="s">
        <v>113</v>
      </c>
      <c r="C290" s="74" t="s">
        <v>274</v>
      </c>
      <c r="D290" s="86">
        <f>IFERROR(VLOOKUP(C290, $C$2:D289, 2, FALSE), MAX($D$2:D289)+1)</f>
        <v>14</v>
      </c>
      <c r="E290" s="50">
        <v>77.19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17.68</v>
      </c>
      <c r="L290" s="50">
        <v>0</v>
      </c>
      <c r="M290" s="50">
        <v>5.1400000000000006</v>
      </c>
      <c r="N290" s="50">
        <v>0</v>
      </c>
      <c r="O290" s="50">
        <v>1</v>
      </c>
      <c r="P290" s="50">
        <v>1</v>
      </c>
      <c r="Q290" s="49" t="s">
        <v>113</v>
      </c>
      <c r="R290" s="49" t="s">
        <v>113</v>
      </c>
      <c r="S290" s="49" t="s">
        <v>113</v>
      </c>
      <c r="T290" s="49" t="s">
        <v>113</v>
      </c>
      <c r="U290" s="49" t="s">
        <v>113</v>
      </c>
      <c r="V290" s="49">
        <v>1</v>
      </c>
      <c r="W290" s="49" t="s">
        <v>113</v>
      </c>
      <c r="X290" s="49" t="s">
        <v>113</v>
      </c>
      <c r="Y290" s="49" t="s">
        <v>113</v>
      </c>
      <c r="Z290" s="50">
        <v>79</v>
      </c>
      <c r="AA290" s="49" t="s">
        <v>113</v>
      </c>
      <c r="AB290" s="49" t="s">
        <v>113</v>
      </c>
      <c r="AC290" s="50">
        <v>629</v>
      </c>
      <c r="AD290" s="49" t="s">
        <v>113</v>
      </c>
      <c r="AE290" s="49" t="s">
        <v>113</v>
      </c>
      <c r="AF290" s="49" t="s">
        <v>113</v>
      </c>
      <c r="AG290" s="49" t="s">
        <v>113</v>
      </c>
      <c r="AH290" s="49" t="s">
        <v>113</v>
      </c>
      <c r="AI290" s="49" t="s">
        <v>113</v>
      </c>
      <c r="AJ290" s="49" t="s">
        <v>113</v>
      </c>
      <c r="AK290" s="49" t="s">
        <v>113</v>
      </c>
      <c r="AL290" s="49" t="s">
        <v>113</v>
      </c>
      <c r="AM290" s="49"/>
      <c r="AN290" s="49" t="s">
        <v>113</v>
      </c>
      <c r="AO290" s="49" t="s">
        <v>114</v>
      </c>
      <c r="AP290" s="50">
        <v>346</v>
      </c>
      <c r="AQ290" s="47" t="s">
        <v>100</v>
      </c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</row>
    <row r="291" spans="1:61" ht="16.5">
      <c r="A291" s="46">
        <v>347</v>
      </c>
      <c r="B291" s="49" t="s">
        <v>113</v>
      </c>
      <c r="C291" s="74" t="s">
        <v>274</v>
      </c>
      <c r="D291" s="86">
        <f>IFERROR(VLOOKUP(C291, $C$2:D290, 2, FALSE), MAX($D$2:D290)+1)</f>
        <v>14</v>
      </c>
      <c r="E291" s="50">
        <v>88.9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6.9599999999999991</v>
      </c>
      <c r="L291" s="50">
        <v>0</v>
      </c>
      <c r="M291" s="50">
        <v>4.1399999999999997</v>
      </c>
      <c r="N291" s="50">
        <v>0</v>
      </c>
      <c r="O291" s="50">
        <v>1</v>
      </c>
      <c r="P291" s="50">
        <v>1</v>
      </c>
      <c r="Q291" s="49" t="s">
        <v>113</v>
      </c>
      <c r="R291" s="49" t="s">
        <v>113</v>
      </c>
      <c r="S291" s="49" t="s">
        <v>113</v>
      </c>
      <c r="T291" s="49" t="s">
        <v>113</v>
      </c>
      <c r="U291" s="49" t="s">
        <v>113</v>
      </c>
      <c r="V291" s="49">
        <v>1</v>
      </c>
      <c r="W291" s="49" t="s">
        <v>113</v>
      </c>
      <c r="X291" s="49" t="s">
        <v>113</v>
      </c>
      <c r="Y291" s="49" t="s">
        <v>113</v>
      </c>
      <c r="Z291" s="50">
        <v>90</v>
      </c>
      <c r="AA291" s="49" t="s">
        <v>113</v>
      </c>
      <c r="AB291" s="49" t="s">
        <v>113</v>
      </c>
      <c r="AC291" s="50">
        <v>740</v>
      </c>
      <c r="AD291" s="49" t="s">
        <v>113</v>
      </c>
      <c r="AE291" s="49" t="s">
        <v>113</v>
      </c>
      <c r="AF291" s="49" t="s">
        <v>113</v>
      </c>
      <c r="AG291" s="49" t="s">
        <v>113</v>
      </c>
      <c r="AH291" s="49" t="s">
        <v>113</v>
      </c>
      <c r="AI291" s="49" t="s">
        <v>113</v>
      </c>
      <c r="AJ291" s="49" t="s">
        <v>113</v>
      </c>
      <c r="AK291" s="49" t="s">
        <v>113</v>
      </c>
      <c r="AL291" s="49" t="s">
        <v>113</v>
      </c>
      <c r="AM291" s="49"/>
      <c r="AN291" s="49" t="s">
        <v>113</v>
      </c>
      <c r="AO291" s="49" t="s">
        <v>114</v>
      </c>
      <c r="AP291" s="50">
        <v>347</v>
      </c>
      <c r="AQ291" s="47" t="s">
        <v>100</v>
      </c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 spans="1:61" ht="16.5">
      <c r="A292" s="33">
        <v>391</v>
      </c>
      <c r="B292" s="35" t="s">
        <v>113</v>
      </c>
      <c r="C292" s="74" t="s">
        <v>274</v>
      </c>
      <c r="D292" s="86">
        <f>IFERROR(VLOOKUP(C292, $C$2:D291, 2, FALSE), MAX($D$2:D291)+1)</f>
        <v>14</v>
      </c>
      <c r="E292" s="36">
        <v>88.48</v>
      </c>
      <c r="F292" s="36">
        <v>0</v>
      </c>
      <c r="G292" s="36">
        <v>0</v>
      </c>
      <c r="H292" s="36">
        <v>0</v>
      </c>
      <c r="I292" s="36">
        <v>0</v>
      </c>
      <c r="J292" s="36">
        <v>0</v>
      </c>
      <c r="K292" s="36">
        <v>6.04</v>
      </c>
      <c r="L292" s="36">
        <v>0</v>
      </c>
      <c r="M292" s="36">
        <v>5.48</v>
      </c>
      <c r="N292" s="36">
        <v>0</v>
      </c>
      <c r="O292" s="36">
        <v>1</v>
      </c>
      <c r="P292" s="82" t="s">
        <v>173</v>
      </c>
      <c r="Q292" s="35">
        <v>0</v>
      </c>
      <c r="R292" s="35">
        <v>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6">
        <v>89</v>
      </c>
      <c r="AA292" s="35" t="s">
        <v>113</v>
      </c>
      <c r="AB292" s="35" t="s">
        <v>113</v>
      </c>
      <c r="AC292" s="36">
        <v>1137</v>
      </c>
      <c r="AD292" s="35" t="s">
        <v>113</v>
      </c>
      <c r="AE292" s="35" t="s">
        <v>113</v>
      </c>
      <c r="AF292" s="35" t="s">
        <v>113</v>
      </c>
      <c r="AG292" s="35" t="s">
        <v>113</v>
      </c>
      <c r="AH292" s="35" t="s">
        <v>113</v>
      </c>
      <c r="AI292" s="35" t="s">
        <v>113</v>
      </c>
      <c r="AJ292" s="35" t="s">
        <v>113</v>
      </c>
      <c r="AK292" s="35" t="s">
        <v>113</v>
      </c>
      <c r="AL292" s="35" t="s">
        <v>113</v>
      </c>
      <c r="AM292" s="35"/>
      <c r="AN292" s="35" t="s">
        <v>113</v>
      </c>
      <c r="AO292" s="35" t="s">
        <v>114</v>
      </c>
      <c r="AP292" s="36">
        <v>391</v>
      </c>
      <c r="AQ292" s="34" t="s">
        <v>100</v>
      </c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1:61" ht="16.5">
      <c r="A293" s="33">
        <v>392</v>
      </c>
      <c r="B293" s="35" t="s">
        <v>113</v>
      </c>
      <c r="C293" s="74" t="s">
        <v>274</v>
      </c>
      <c r="D293" s="86">
        <f>IFERROR(VLOOKUP(C293, $C$2:D292, 2, FALSE), MAX($D$2:D292)+1)</f>
        <v>14</v>
      </c>
      <c r="E293" s="36">
        <v>85.67</v>
      </c>
      <c r="F293" s="36">
        <v>0</v>
      </c>
      <c r="G293" s="36">
        <v>0</v>
      </c>
      <c r="H293" s="36">
        <v>0</v>
      </c>
      <c r="I293" s="36">
        <v>0</v>
      </c>
      <c r="J293" s="36">
        <v>0</v>
      </c>
      <c r="K293" s="36">
        <v>6.0699999999999994</v>
      </c>
      <c r="L293" s="36">
        <v>0</v>
      </c>
      <c r="M293" s="36">
        <v>8.2600000000000016</v>
      </c>
      <c r="N293" s="36">
        <v>0</v>
      </c>
      <c r="O293" s="36">
        <v>1</v>
      </c>
      <c r="P293" s="82" t="s">
        <v>173</v>
      </c>
      <c r="Q293" s="35">
        <v>0</v>
      </c>
      <c r="R293" s="83">
        <v>0</v>
      </c>
      <c r="S293" s="62">
        <v>0</v>
      </c>
      <c r="T293" s="33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6">
        <v>82</v>
      </c>
      <c r="AA293" s="35" t="s">
        <v>113</v>
      </c>
      <c r="AB293" s="35" t="s">
        <v>113</v>
      </c>
      <c r="AC293" s="36">
        <v>1078</v>
      </c>
      <c r="AD293" s="35" t="s">
        <v>113</v>
      </c>
      <c r="AE293" s="35" t="s">
        <v>113</v>
      </c>
      <c r="AF293" s="35" t="s">
        <v>113</v>
      </c>
      <c r="AG293" s="35" t="s">
        <v>113</v>
      </c>
      <c r="AH293" s="35" t="s">
        <v>113</v>
      </c>
      <c r="AI293" s="35" t="s">
        <v>113</v>
      </c>
      <c r="AJ293" s="35" t="s">
        <v>113</v>
      </c>
      <c r="AK293" s="35" t="s">
        <v>113</v>
      </c>
      <c r="AL293" s="35" t="s">
        <v>113</v>
      </c>
      <c r="AM293" s="35"/>
      <c r="AN293" s="35" t="s">
        <v>113</v>
      </c>
      <c r="AO293" s="35" t="s">
        <v>114</v>
      </c>
      <c r="AP293" s="36">
        <v>392</v>
      </c>
      <c r="AQ293" s="34" t="s">
        <v>100</v>
      </c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1:61" ht="16.5">
      <c r="A294" s="33">
        <v>435</v>
      </c>
      <c r="B294" s="35" t="s">
        <v>113</v>
      </c>
      <c r="C294" s="74" t="s">
        <v>274</v>
      </c>
      <c r="D294" s="86">
        <f>IFERROR(VLOOKUP(C294, $C$2:D293, 2, FALSE), MAX($D$2:D293)+1)</f>
        <v>14</v>
      </c>
      <c r="E294" s="36">
        <v>93.39</v>
      </c>
      <c r="F294" s="36">
        <v>0</v>
      </c>
      <c r="G294" s="36">
        <v>0</v>
      </c>
      <c r="H294" s="36">
        <v>0</v>
      </c>
      <c r="I294" s="36">
        <v>0</v>
      </c>
      <c r="J294" s="36">
        <v>0</v>
      </c>
      <c r="K294" s="36">
        <v>0.52</v>
      </c>
      <c r="L294" s="36">
        <v>0</v>
      </c>
      <c r="M294" s="36">
        <v>6.09</v>
      </c>
      <c r="N294" s="36">
        <v>0</v>
      </c>
      <c r="O294" s="36">
        <v>1</v>
      </c>
      <c r="P294" s="82" t="s">
        <v>173</v>
      </c>
      <c r="Q294" s="35">
        <v>0</v>
      </c>
      <c r="R294" s="83">
        <v>0</v>
      </c>
      <c r="S294" s="62">
        <v>0</v>
      </c>
      <c r="T294" s="33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6">
        <v>124</v>
      </c>
      <c r="AA294" s="35" t="s">
        <v>113</v>
      </c>
      <c r="AB294" s="35" t="s">
        <v>113</v>
      </c>
      <c r="AC294" s="36">
        <v>1785</v>
      </c>
      <c r="AD294" s="35" t="s">
        <v>113</v>
      </c>
      <c r="AE294" s="35" t="s">
        <v>113</v>
      </c>
      <c r="AF294" s="35" t="s">
        <v>113</v>
      </c>
      <c r="AG294" s="35" t="s">
        <v>113</v>
      </c>
      <c r="AH294" s="35" t="s">
        <v>113</v>
      </c>
      <c r="AI294" s="35" t="s">
        <v>113</v>
      </c>
      <c r="AJ294" s="35" t="s">
        <v>113</v>
      </c>
      <c r="AK294" s="35" t="s">
        <v>113</v>
      </c>
      <c r="AL294" s="35" t="s">
        <v>113</v>
      </c>
      <c r="AM294" s="35"/>
      <c r="AN294" s="35" t="s">
        <v>113</v>
      </c>
      <c r="AO294" s="35" t="s">
        <v>114</v>
      </c>
      <c r="AP294" s="36">
        <v>435</v>
      </c>
      <c r="AQ294" s="34" t="s">
        <v>100</v>
      </c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1:61" ht="16.5">
      <c r="A295" s="33">
        <v>436</v>
      </c>
      <c r="B295" s="35" t="s">
        <v>113</v>
      </c>
      <c r="C295" s="74" t="s">
        <v>274</v>
      </c>
      <c r="D295" s="86">
        <f>IFERROR(VLOOKUP(C295, $C$2:D294, 2, FALSE), MAX($D$2:D294)+1)</f>
        <v>14</v>
      </c>
      <c r="E295" s="36">
        <v>91.7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2.12</v>
      </c>
      <c r="L295" s="36">
        <v>0</v>
      </c>
      <c r="M295" s="36">
        <v>6.18</v>
      </c>
      <c r="N295" s="36">
        <v>0</v>
      </c>
      <c r="O295" s="36">
        <v>1</v>
      </c>
      <c r="P295" s="82" t="s">
        <v>173</v>
      </c>
      <c r="Q295" s="35">
        <v>0</v>
      </c>
      <c r="R295" s="83">
        <v>0</v>
      </c>
      <c r="S295" s="62">
        <v>0</v>
      </c>
      <c r="T295" s="33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6">
        <v>115</v>
      </c>
      <c r="AA295" s="35" t="s">
        <v>113</v>
      </c>
      <c r="AB295" s="35" t="s">
        <v>113</v>
      </c>
      <c r="AC295" s="36">
        <v>1539</v>
      </c>
      <c r="AD295" s="35" t="s">
        <v>113</v>
      </c>
      <c r="AE295" s="35" t="s">
        <v>113</v>
      </c>
      <c r="AF295" s="35" t="s">
        <v>113</v>
      </c>
      <c r="AG295" s="35" t="s">
        <v>113</v>
      </c>
      <c r="AH295" s="35" t="s">
        <v>113</v>
      </c>
      <c r="AI295" s="35" t="s">
        <v>113</v>
      </c>
      <c r="AJ295" s="35" t="s">
        <v>113</v>
      </c>
      <c r="AK295" s="35" t="s">
        <v>113</v>
      </c>
      <c r="AL295" s="35" t="s">
        <v>113</v>
      </c>
      <c r="AM295" s="35"/>
      <c r="AN295" s="35" t="s">
        <v>113</v>
      </c>
      <c r="AO295" s="35" t="s">
        <v>114</v>
      </c>
      <c r="AP295" s="36">
        <v>436</v>
      </c>
      <c r="AQ295" s="34" t="s">
        <v>100</v>
      </c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1:61" ht="16.5">
      <c r="A296" s="33">
        <v>437</v>
      </c>
      <c r="B296" s="35" t="s">
        <v>113</v>
      </c>
      <c r="C296" s="74" t="s">
        <v>274</v>
      </c>
      <c r="D296" s="86">
        <f>IFERROR(VLOOKUP(C296, $C$2:D295, 2, FALSE), MAX($D$2:D295)+1)</f>
        <v>14</v>
      </c>
      <c r="E296" s="36">
        <v>90.539999999999992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  <c r="K296" s="36">
        <v>3.2199999999999998</v>
      </c>
      <c r="L296" s="36">
        <v>0</v>
      </c>
      <c r="M296" s="36">
        <v>6.2399999999999993</v>
      </c>
      <c r="N296" s="36">
        <v>0</v>
      </c>
      <c r="O296" s="36">
        <v>1</v>
      </c>
      <c r="P296" s="82" t="s">
        <v>173</v>
      </c>
      <c r="Q296" s="35">
        <v>0</v>
      </c>
      <c r="R296" s="83">
        <v>0</v>
      </c>
      <c r="S296" s="62">
        <v>0</v>
      </c>
      <c r="T296" s="33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6">
        <v>97</v>
      </c>
      <c r="AA296" s="35" t="s">
        <v>113</v>
      </c>
      <c r="AB296" s="35" t="s">
        <v>113</v>
      </c>
      <c r="AC296" s="36">
        <v>1144</v>
      </c>
      <c r="AD296" s="35" t="s">
        <v>113</v>
      </c>
      <c r="AE296" s="35" t="s">
        <v>113</v>
      </c>
      <c r="AF296" s="35" t="s">
        <v>113</v>
      </c>
      <c r="AG296" s="35" t="s">
        <v>113</v>
      </c>
      <c r="AH296" s="35" t="s">
        <v>113</v>
      </c>
      <c r="AI296" s="35" t="s">
        <v>113</v>
      </c>
      <c r="AJ296" s="35" t="s">
        <v>113</v>
      </c>
      <c r="AK296" s="35" t="s">
        <v>113</v>
      </c>
      <c r="AL296" s="35" t="s">
        <v>113</v>
      </c>
      <c r="AM296" s="35"/>
      <c r="AN296" s="35" t="s">
        <v>113</v>
      </c>
      <c r="AO296" s="35" t="s">
        <v>114</v>
      </c>
      <c r="AP296" s="36">
        <v>437</v>
      </c>
      <c r="AQ296" s="34" t="s">
        <v>100</v>
      </c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1:61" ht="16.5">
      <c r="A297" s="33">
        <v>438</v>
      </c>
      <c r="B297" s="35" t="s">
        <v>113</v>
      </c>
      <c r="C297" s="74" t="s">
        <v>274</v>
      </c>
      <c r="D297" s="86">
        <f>IFERROR(VLOOKUP(C297, $C$2:D296, 2, FALSE), MAX($D$2:D296)+1)</f>
        <v>14</v>
      </c>
      <c r="E297" s="36">
        <v>88.759999999999991</v>
      </c>
      <c r="F297" s="36">
        <v>0</v>
      </c>
      <c r="G297" s="36">
        <v>0</v>
      </c>
      <c r="H297" s="36">
        <v>0</v>
      </c>
      <c r="I297" s="36">
        <v>0</v>
      </c>
      <c r="J297" s="36">
        <v>0</v>
      </c>
      <c r="K297" s="36">
        <v>4.9000000000000004</v>
      </c>
      <c r="L297" s="36">
        <v>0</v>
      </c>
      <c r="M297" s="36">
        <v>6.34</v>
      </c>
      <c r="N297" s="36">
        <v>0</v>
      </c>
      <c r="O297" s="36">
        <v>1</v>
      </c>
      <c r="P297" s="82" t="s">
        <v>173</v>
      </c>
      <c r="Q297" s="35">
        <v>0</v>
      </c>
      <c r="R297" s="83">
        <v>0</v>
      </c>
      <c r="S297" s="62">
        <v>0</v>
      </c>
      <c r="T297" s="33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6">
        <v>89</v>
      </c>
      <c r="AA297" s="35" t="s">
        <v>113</v>
      </c>
      <c r="AB297" s="35" t="s">
        <v>113</v>
      </c>
      <c r="AC297" s="36">
        <v>1010</v>
      </c>
      <c r="AD297" s="35" t="s">
        <v>113</v>
      </c>
      <c r="AE297" s="35" t="s">
        <v>113</v>
      </c>
      <c r="AF297" s="35" t="s">
        <v>113</v>
      </c>
      <c r="AG297" s="35" t="s">
        <v>113</v>
      </c>
      <c r="AH297" s="35" t="s">
        <v>113</v>
      </c>
      <c r="AI297" s="35" t="s">
        <v>113</v>
      </c>
      <c r="AJ297" s="35" t="s">
        <v>113</v>
      </c>
      <c r="AK297" s="35" t="s">
        <v>113</v>
      </c>
      <c r="AL297" s="35" t="s">
        <v>113</v>
      </c>
      <c r="AM297" s="35"/>
      <c r="AN297" s="35" t="s">
        <v>113</v>
      </c>
      <c r="AO297" s="35" t="s">
        <v>114</v>
      </c>
      <c r="AP297" s="36">
        <v>438</v>
      </c>
      <c r="AQ297" s="34" t="s">
        <v>100</v>
      </c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1:61" ht="16.5">
      <c r="A298" s="33">
        <v>439</v>
      </c>
      <c r="B298" s="35" t="s">
        <v>113</v>
      </c>
      <c r="C298" s="74" t="s">
        <v>274</v>
      </c>
      <c r="D298" s="86">
        <f>IFERROR(VLOOKUP(C298, $C$2:D297, 2, FALSE), MAX($D$2:D297)+1)</f>
        <v>14</v>
      </c>
      <c r="E298" s="36">
        <v>87.539999999999992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6.05</v>
      </c>
      <c r="L298" s="36">
        <v>0</v>
      </c>
      <c r="M298" s="36">
        <v>6.41</v>
      </c>
      <c r="N298" s="36">
        <v>0</v>
      </c>
      <c r="O298" s="36">
        <v>1</v>
      </c>
      <c r="P298" s="82" t="s">
        <v>173</v>
      </c>
      <c r="Q298" s="35">
        <v>0</v>
      </c>
      <c r="R298" s="83">
        <v>0</v>
      </c>
      <c r="S298" s="62">
        <v>0</v>
      </c>
      <c r="T298" s="33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6">
        <v>86</v>
      </c>
      <c r="AA298" s="35" t="s">
        <v>113</v>
      </c>
      <c r="AB298" s="35" t="s">
        <v>113</v>
      </c>
      <c r="AC298" s="36">
        <v>985</v>
      </c>
      <c r="AD298" s="35" t="s">
        <v>113</v>
      </c>
      <c r="AE298" s="35" t="s">
        <v>113</v>
      </c>
      <c r="AF298" s="35" t="s">
        <v>113</v>
      </c>
      <c r="AG298" s="35" t="s">
        <v>113</v>
      </c>
      <c r="AH298" s="35" t="s">
        <v>113</v>
      </c>
      <c r="AI298" s="35" t="s">
        <v>113</v>
      </c>
      <c r="AJ298" s="35" t="s">
        <v>113</v>
      </c>
      <c r="AK298" s="35" t="s">
        <v>113</v>
      </c>
      <c r="AL298" s="35" t="s">
        <v>113</v>
      </c>
      <c r="AM298" s="35"/>
      <c r="AN298" s="35" t="s">
        <v>113</v>
      </c>
      <c r="AO298" s="35" t="s">
        <v>114</v>
      </c>
      <c r="AP298" s="36">
        <v>439</v>
      </c>
      <c r="AQ298" s="34" t="s">
        <v>100</v>
      </c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1:61" ht="16.5">
      <c r="A299" s="33">
        <v>446</v>
      </c>
      <c r="B299" s="35" t="s">
        <v>113</v>
      </c>
      <c r="C299" s="74" t="s">
        <v>274</v>
      </c>
      <c r="D299" s="86">
        <f>IFERROR(VLOOKUP(C299, $C$2:D298, 2, FALSE), MAX($D$2:D298)+1)</f>
        <v>14</v>
      </c>
      <c r="E299" s="36">
        <v>76.819999999999993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16.189999999999998</v>
      </c>
      <c r="L299" s="36">
        <v>0</v>
      </c>
      <c r="M299" s="36">
        <v>6.98</v>
      </c>
      <c r="N299" s="36">
        <v>0</v>
      </c>
      <c r="O299" s="36">
        <v>1</v>
      </c>
      <c r="P299" s="82" t="s">
        <v>173</v>
      </c>
      <c r="Q299" s="35">
        <v>0</v>
      </c>
      <c r="R299" s="83">
        <v>0</v>
      </c>
      <c r="S299" s="62">
        <v>0</v>
      </c>
      <c r="T299" s="33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6">
        <v>116</v>
      </c>
      <c r="AA299" s="35" t="s">
        <v>113</v>
      </c>
      <c r="AB299" s="35" t="s">
        <v>113</v>
      </c>
      <c r="AC299" s="36">
        <v>784</v>
      </c>
      <c r="AD299" s="35" t="s">
        <v>113</v>
      </c>
      <c r="AE299" s="35" t="s">
        <v>113</v>
      </c>
      <c r="AF299" s="35" t="s">
        <v>113</v>
      </c>
      <c r="AG299" s="35" t="s">
        <v>113</v>
      </c>
      <c r="AH299" s="35" t="s">
        <v>113</v>
      </c>
      <c r="AI299" s="35" t="s">
        <v>113</v>
      </c>
      <c r="AJ299" s="35" t="s">
        <v>113</v>
      </c>
      <c r="AK299" s="35" t="s">
        <v>113</v>
      </c>
      <c r="AL299" s="35" t="s">
        <v>113</v>
      </c>
      <c r="AM299" s="35"/>
      <c r="AN299" s="35" t="s">
        <v>113</v>
      </c>
      <c r="AO299" s="35" t="s">
        <v>114</v>
      </c>
      <c r="AP299" s="36">
        <v>446</v>
      </c>
      <c r="AQ299" s="34" t="s">
        <v>100</v>
      </c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1:61" ht="16.5">
      <c r="A300" s="46">
        <v>493</v>
      </c>
      <c r="B300" s="49" t="s">
        <v>113</v>
      </c>
      <c r="C300" s="74" t="s">
        <v>274</v>
      </c>
      <c r="D300" s="86">
        <f>IFERROR(VLOOKUP(C300, $C$2:D299, 2, FALSE), MAX($D$2:D299)+1)</f>
        <v>14</v>
      </c>
      <c r="E300" s="50">
        <v>77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22</v>
      </c>
      <c r="L300" s="50">
        <v>0</v>
      </c>
      <c r="M300" s="50">
        <v>1</v>
      </c>
      <c r="N300" s="50">
        <v>0</v>
      </c>
      <c r="O300" s="50">
        <v>1</v>
      </c>
      <c r="P300" s="50">
        <v>1</v>
      </c>
      <c r="Q300" s="49" t="s">
        <v>113</v>
      </c>
      <c r="R300" s="51" t="s">
        <v>113</v>
      </c>
      <c r="S300" s="52" t="s">
        <v>113</v>
      </c>
      <c r="T300" s="46" t="s">
        <v>113</v>
      </c>
      <c r="U300" s="49" t="s">
        <v>113</v>
      </c>
      <c r="V300" s="50">
        <v>1</v>
      </c>
      <c r="W300" s="49" t="s">
        <v>113</v>
      </c>
      <c r="X300" s="49" t="s">
        <v>113</v>
      </c>
      <c r="Y300" s="49" t="s">
        <v>113</v>
      </c>
      <c r="Z300" s="50">
        <v>79</v>
      </c>
      <c r="AA300" s="49" t="s">
        <v>113</v>
      </c>
      <c r="AB300" s="49" t="s">
        <v>113</v>
      </c>
      <c r="AC300" s="50">
        <v>600</v>
      </c>
      <c r="AD300" s="49" t="s">
        <v>113</v>
      </c>
      <c r="AE300" s="49" t="s">
        <v>113</v>
      </c>
      <c r="AF300" s="49" t="s">
        <v>113</v>
      </c>
      <c r="AG300" s="49" t="s">
        <v>113</v>
      </c>
      <c r="AH300" s="49" t="s">
        <v>113</v>
      </c>
      <c r="AI300" s="49" t="s">
        <v>113</v>
      </c>
      <c r="AJ300" s="49" t="s">
        <v>113</v>
      </c>
      <c r="AK300" s="49" t="s">
        <v>113</v>
      </c>
      <c r="AL300" s="49" t="s">
        <v>113</v>
      </c>
      <c r="AM300" s="49"/>
      <c r="AN300" s="49" t="s">
        <v>113</v>
      </c>
      <c r="AO300" s="49" t="s">
        <v>114</v>
      </c>
      <c r="AP300" s="50">
        <v>493</v>
      </c>
      <c r="AQ300" s="47" t="s">
        <v>100</v>
      </c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</row>
    <row r="301" spans="1:61" ht="16.5">
      <c r="A301" s="46">
        <v>335</v>
      </c>
      <c r="B301" s="49" t="s">
        <v>113</v>
      </c>
      <c r="C301" s="74" t="s">
        <v>168</v>
      </c>
      <c r="D301" s="86">
        <f>IFERROR(VLOOKUP(C301, $C$2:D300, 2, FALSE), MAX($D$2:D300)+1)</f>
        <v>15</v>
      </c>
      <c r="E301" s="50">
        <v>83.76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11</v>
      </c>
      <c r="L301" s="50">
        <v>0</v>
      </c>
      <c r="M301" s="50">
        <v>2.56</v>
      </c>
      <c r="N301" s="50">
        <v>2.68</v>
      </c>
      <c r="O301" s="50">
        <v>1</v>
      </c>
      <c r="P301" s="50">
        <v>1</v>
      </c>
      <c r="Q301" s="49" t="s">
        <v>113</v>
      </c>
      <c r="R301" s="49" t="s">
        <v>113</v>
      </c>
      <c r="S301" s="58" t="s">
        <v>113</v>
      </c>
      <c r="T301" s="49" t="s">
        <v>113</v>
      </c>
      <c r="U301" s="49" t="s">
        <v>113</v>
      </c>
      <c r="V301" s="49">
        <v>1</v>
      </c>
      <c r="W301" s="49" t="s">
        <v>113</v>
      </c>
      <c r="X301" s="49" t="s">
        <v>113</v>
      </c>
      <c r="Y301" s="49" t="s">
        <v>113</v>
      </c>
      <c r="Z301" s="50">
        <v>71</v>
      </c>
      <c r="AA301" s="49" t="s">
        <v>113</v>
      </c>
      <c r="AB301" s="49" t="s">
        <v>113</v>
      </c>
      <c r="AC301" s="50">
        <v>765</v>
      </c>
      <c r="AD301" s="49" t="s">
        <v>113</v>
      </c>
      <c r="AE301" s="49" t="s">
        <v>113</v>
      </c>
      <c r="AF301" s="49" t="s">
        <v>113</v>
      </c>
      <c r="AG301" s="49" t="s">
        <v>113</v>
      </c>
      <c r="AH301" s="49" t="s">
        <v>113</v>
      </c>
      <c r="AI301" s="49" t="s">
        <v>113</v>
      </c>
      <c r="AJ301" s="49" t="s">
        <v>113</v>
      </c>
      <c r="AK301" s="49" t="s">
        <v>113</v>
      </c>
      <c r="AL301" s="49" t="s">
        <v>113</v>
      </c>
      <c r="AM301" s="49"/>
      <c r="AN301" s="49" t="s">
        <v>113</v>
      </c>
      <c r="AO301" s="49" t="s">
        <v>114</v>
      </c>
      <c r="AP301" s="50">
        <v>335</v>
      </c>
      <c r="AQ301" s="47" t="s">
        <v>100</v>
      </c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 spans="1:61" ht="16.5">
      <c r="A302" s="46">
        <v>397</v>
      </c>
      <c r="B302" s="49" t="s">
        <v>113</v>
      </c>
      <c r="C302" s="74" t="s">
        <v>176</v>
      </c>
      <c r="D302" s="86">
        <f>IFERROR(VLOOKUP(C302, $C$2:D301, 2, FALSE), MAX($D$2:D301)+1)</f>
        <v>16</v>
      </c>
      <c r="E302" s="50">
        <v>69.33</v>
      </c>
      <c r="F302" s="50">
        <v>9.92</v>
      </c>
      <c r="G302" s="50">
        <v>17.599999999999998</v>
      </c>
      <c r="H302" s="50">
        <v>0</v>
      </c>
      <c r="I302" s="50">
        <v>3.15</v>
      </c>
      <c r="J302" s="50">
        <v>0</v>
      </c>
      <c r="K302" s="50">
        <v>0</v>
      </c>
      <c r="L302" s="50">
        <v>0</v>
      </c>
      <c r="M302" s="50">
        <v>0</v>
      </c>
      <c r="N302" s="50">
        <v>0</v>
      </c>
      <c r="O302" s="50">
        <v>1</v>
      </c>
      <c r="P302" s="50">
        <v>1</v>
      </c>
      <c r="Q302" s="49" t="s">
        <v>113</v>
      </c>
      <c r="R302" s="49" t="s">
        <v>113</v>
      </c>
      <c r="S302" s="49" t="s">
        <v>113</v>
      </c>
      <c r="T302" s="49" t="s">
        <v>113</v>
      </c>
      <c r="U302" s="49" t="s">
        <v>113</v>
      </c>
      <c r="V302" s="50">
        <v>2</v>
      </c>
      <c r="W302" s="49" t="s">
        <v>113</v>
      </c>
      <c r="X302" s="49" t="s">
        <v>113</v>
      </c>
      <c r="Y302" s="49" t="s">
        <v>113</v>
      </c>
      <c r="Z302" s="50">
        <v>97</v>
      </c>
      <c r="AA302" s="49" t="s">
        <v>113</v>
      </c>
      <c r="AB302" s="49" t="s">
        <v>113</v>
      </c>
      <c r="AC302" s="50">
        <v>1181</v>
      </c>
      <c r="AD302" s="49" t="s">
        <v>113</v>
      </c>
      <c r="AE302" s="49" t="s">
        <v>113</v>
      </c>
      <c r="AF302" s="49" t="s">
        <v>113</v>
      </c>
      <c r="AG302" s="49" t="s">
        <v>113</v>
      </c>
      <c r="AH302" s="49" t="s">
        <v>113</v>
      </c>
      <c r="AI302" s="49" t="s">
        <v>113</v>
      </c>
      <c r="AJ302" s="49" t="s">
        <v>113</v>
      </c>
      <c r="AK302" s="49" t="s">
        <v>113</v>
      </c>
      <c r="AL302" s="49" t="s">
        <v>113</v>
      </c>
      <c r="AM302" s="49"/>
      <c r="AN302" s="49" t="s">
        <v>113</v>
      </c>
      <c r="AO302" s="49" t="s">
        <v>114</v>
      </c>
      <c r="AP302" s="50">
        <v>397</v>
      </c>
      <c r="AQ302" s="47" t="s">
        <v>100</v>
      </c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</row>
    <row r="303" spans="1:61" ht="16.5">
      <c r="A303" s="46">
        <v>413</v>
      </c>
      <c r="B303" s="49" t="s">
        <v>113</v>
      </c>
      <c r="C303" s="74" t="s">
        <v>176</v>
      </c>
      <c r="D303" s="86">
        <f>IFERROR(VLOOKUP(C303, $C$2:D302, 2, FALSE), MAX($D$2:D302)+1)</f>
        <v>16</v>
      </c>
      <c r="E303" s="50">
        <v>57.69</v>
      </c>
      <c r="F303" s="50">
        <v>10.89</v>
      </c>
      <c r="G303" s="50">
        <v>30.270000000000003</v>
      </c>
      <c r="H303" s="50">
        <v>0</v>
      </c>
      <c r="I303" s="50">
        <v>1.1499999999999999</v>
      </c>
      <c r="J303" s="50">
        <v>0</v>
      </c>
      <c r="K303" s="50">
        <v>0</v>
      </c>
      <c r="L303" s="50">
        <v>0</v>
      </c>
      <c r="M303" s="50">
        <v>0</v>
      </c>
      <c r="N303" s="50">
        <v>0</v>
      </c>
      <c r="O303" s="50">
        <v>1</v>
      </c>
      <c r="P303" s="50">
        <v>1</v>
      </c>
      <c r="Q303" s="49" t="s">
        <v>113</v>
      </c>
      <c r="R303" s="49" t="s">
        <v>113</v>
      </c>
      <c r="S303" s="49" t="s">
        <v>113</v>
      </c>
      <c r="T303" s="49" t="s">
        <v>113</v>
      </c>
      <c r="U303" s="49" t="s">
        <v>113</v>
      </c>
      <c r="V303" s="49">
        <v>1</v>
      </c>
      <c r="W303" s="49" t="s">
        <v>113</v>
      </c>
      <c r="X303" s="49" t="s">
        <v>113</v>
      </c>
      <c r="Y303" s="49" t="s">
        <v>113</v>
      </c>
      <c r="Z303" s="50">
        <v>72</v>
      </c>
      <c r="AA303" s="49" t="s">
        <v>113</v>
      </c>
      <c r="AB303" s="49" t="s">
        <v>113</v>
      </c>
      <c r="AC303" s="50">
        <v>740</v>
      </c>
      <c r="AD303" s="49" t="s">
        <v>113</v>
      </c>
      <c r="AE303" s="49" t="s">
        <v>113</v>
      </c>
      <c r="AF303" s="49" t="s">
        <v>113</v>
      </c>
      <c r="AG303" s="49" t="s">
        <v>113</v>
      </c>
      <c r="AH303" s="49" t="s">
        <v>113</v>
      </c>
      <c r="AI303" s="49" t="s">
        <v>113</v>
      </c>
      <c r="AJ303" s="49" t="s">
        <v>113</v>
      </c>
      <c r="AK303" s="49" t="s">
        <v>113</v>
      </c>
      <c r="AL303" s="49" t="s">
        <v>113</v>
      </c>
      <c r="AM303" s="49"/>
      <c r="AN303" s="49" t="s">
        <v>113</v>
      </c>
      <c r="AO303" s="49" t="s">
        <v>114</v>
      </c>
      <c r="AP303" s="50">
        <v>413</v>
      </c>
      <c r="AQ303" s="47" t="s">
        <v>100</v>
      </c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 spans="1:61" ht="16.5">
      <c r="A304" s="46">
        <v>414</v>
      </c>
      <c r="B304" s="49" t="s">
        <v>113</v>
      </c>
      <c r="C304" s="74" t="s">
        <v>176</v>
      </c>
      <c r="D304" s="86">
        <f>IFERROR(VLOOKUP(C304, $C$2:D303, 2, FALSE), MAX($D$2:D303)+1)</f>
        <v>16</v>
      </c>
      <c r="E304" s="50">
        <v>56.220000000000006</v>
      </c>
      <c r="F304" s="50">
        <v>10.84</v>
      </c>
      <c r="G304" s="50">
        <v>29.5</v>
      </c>
      <c r="H304" s="50">
        <v>0</v>
      </c>
      <c r="I304" s="50">
        <v>3.45</v>
      </c>
      <c r="J304" s="50">
        <v>0</v>
      </c>
      <c r="K304" s="50">
        <v>0</v>
      </c>
      <c r="L304" s="50">
        <v>0</v>
      </c>
      <c r="M304" s="50">
        <v>0</v>
      </c>
      <c r="N304" s="50">
        <v>0</v>
      </c>
      <c r="O304" s="50">
        <v>1</v>
      </c>
      <c r="P304" s="50">
        <v>1</v>
      </c>
      <c r="Q304" s="49" t="s">
        <v>113</v>
      </c>
      <c r="R304" s="49" t="s">
        <v>113</v>
      </c>
      <c r="S304" s="49" t="s">
        <v>113</v>
      </c>
      <c r="T304" s="49" t="s">
        <v>113</v>
      </c>
      <c r="U304" s="49" t="s">
        <v>113</v>
      </c>
      <c r="V304" s="49">
        <v>1</v>
      </c>
      <c r="W304" s="49" t="s">
        <v>113</v>
      </c>
      <c r="X304" s="49" t="s">
        <v>113</v>
      </c>
      <c r="Y304" s="49" t="s">
        <v>113</v>
      </c>
      <c r="Z304" s="50">
        <v>68</v>
      </c>
      <c r="AA304" s="49" t="s">
        <v>113</v>
      </c>
      <c r="AB304" s="49" t="s">
        <v>113</v>
      </c>
      <c r="AC304" s="50">
        <v>690</v>
      </c>
      <c r="AD304" s="49" t="s">
        <v>113</v>
      </c>
      <c r="AE304" s="49" t="s">
        <v>113</v>
      </c>
      <c r="AF304" s="49" t="s">
        <v>113</v>
      </c>
      <c r="AG304" s="49" t="s">
        <v>113</v>
      </c>
      <c r="AH304" s="49" t="s">
        <v>113</v>
      </c>
      <c r="AI304" s="49" t="s">
        <v>113</v>
      </c>
      <c r="AJ304" s="49" t="s">
        <v>113</v>
      </c>
      <c r="AK304" s="49" t="s">
        <v>113</v>
      </c>
      <c r="AL304" s="49" t="s">
        <v>113</v>
      </c>
      <c r="AM304" s="49"/>
      <c r="AN304" s="49" t="s">
        <v>113</v>
      </c>
      <c r="AO304" s="49" t="s">
        <v>114</v>
      </c>
      <c r="AP304" s="50">
        <v>414</v>
      </c>
      <c r="AQ304" s="47" t="s">
        <v>100</v>
      </c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</row>
    <row r="305" spans="1:61" ht="16.5">
      <c r="A305" s="46">
        <v>415</v>
      </c>
      <c r="B305" s="49" t="s">
        <v>113</v>
      </c>
      <c r="C305" s="74" t="s">
        <v>176</v>
      </c>
      <c r="D305" s="86">
        <f>IFERROR(VLOOKUP(C305, $C$2:D304, 2, FALSE), MAX($D$2:D304)+1)</f>
        <v>16</v>
      </c>
      <c r="E305" s="50">
        <v>54.76</v>
      </c>
      <c r="F305" s="50">
        <v>10.79</v>
      </c>
      <c r="G305" s="50">
        <v>28.73</v>
      </c>
      <c r="H305" s="50">
        <v>0</v>
      </c>
      <c r="I305" s="50">
        <v>5.72</v>
      </c>
      <c r="J305" s="50">
        <v>0</v>
      </c>
      <c r="K305" s="50">
        <v>0</v>
      </c>
      <c r="L305" s="50">
        <v>0</v>
      </c>
      <c r="M305" s="50">
        <v>0</v>
      </c>
      <c r="N305" s="50">
        <v>0</v>
      </c>
      <c r="O305" s="50">
        <v>1</v>
      </c>
      <c r="P305" s="50">
        <v>1</v>
      </c>
      <c r="Q305" s="49" t="s">
        <v>113</v>
      </c>
      <c r="R305" s="49" t="s">
        <v>113</v>
      </c>
      <c r="S305" s="49" t="s">
        <v>113</v>
      </c>
      <c r="T305" s="49" t="s">
        <v>113</v>
      </c>
      <c r="U305" s="49" t="s">
        <v>113</v>
      </c>
      <c r="V305" s="49">
        <v>1</v>
      </c>
      <c r="W305" s="49" t="s">
        <v>113</v>
      </c>
      <c r="X305" s="49" t="s">
        <v>113</v>
      </c>
      <c r="Y305" s="49" t="s">
        <v>113</v>
      </c>
      <c r="Z305" s="50">
        <v>73</v>
      </c>
      <c r="AA305" s="49" t="s">
        <v>113</v>
      </c>
      <c r="AB305" s="49" t="s">
        <v>113</v>
      </c>
      <c r="AC305" s="50">
        <v>955</v>
      </c>
      <c r="AD305" s="49" t="s">
        <v>113</v>
      </c>
      <c r="AE305" s="49" t="s">
        <v>113</v>
      </c>
      <c r="AF305" s="49" t="s">
        <v>113</v>
      </c>
      <c r="AG305" s="49" t="s">
        <v>113</v>
      </c>
      <c r="AH305" s="49" t="s">
        <v>113</v>
      </c>
      <c r="AI305" s="49" t="s">
        <v>113</v>
      </c>
      <c r="AJ305" s="49" t="s">
        <v>113</v>
      </c>
      <c r="AK305" s="49" t="s">
        <v>113</v>
      </c>
      <c r="AL305" s="49" t="s">
        <v>113</v>
      </c>
      <c r="AM305" s="49"/>
      <c r="AN305" s="49" t="s">
        <v>113</v>
      </c>
      <c r="AO305" s="49" t="s">
        <v>114</v>
      </c>
      <c r="AP305" s="50">
        <v>415</v>
      </c>
      <c r="AQ305" s="47" t="s">
        <v>100</v>
      </c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 spans="1:61" ht="16.5">
      <c r="A306" s="46">
        <v>416</v>
      </c>
      <c r="B306" s="49" t="s">
        <v>113</v>
      </c>
      <c r="C306" s="74" t="s">
        <v>176</v>
      </c>
      <c r="D306" s="86">
        <f>IFERROR(VLOOKUP(C306, $C$2:D305, 2, FALSE), MAX($D$2:D305)+1)</f>
        <v>16</v>
      </c>
      <c r="E306" s="50">
        <v>53.31</v>
      </c>
      <c r="F306" s="50">
        <v>10.75</v>
      </c>
      <c r="G306" s="50">
        <v>27.97</v>
      </c>
      <c r="H306" s="50">
        <v>0</v>
      </c>
      <c r="I306" s="50">
        <v>7.9699999999999989</v>
      </c>
      <c r="J306" s="50">
        <v>0</v>
      </c>
      <c r="K306" s="50">
        <v>0</v>
      </c>
      <c r="L306" s="50">
        <v>0</v>
      </c>
      <c r="M306" s="50">
        <v>0</v>
      </c>
      <c r="N306" s="50">
        <v>0</v>
      </c>
      <c r="O306" s="50">
        <v>1</v>
      </c>
      <c r="P306" s="50">
        <v>1</v>
      </c>
      <c r="Q306" s="49" t="s">
        <v>113</v>
      </c>
      <c r="R306" s="49" t="s">
        <v>113</v>
      </c>
      <c r="S306" s="49" t="s">
        <v>113</v>
      </c>
      <c r="T306" s="49" t="s">
        <v>113</v>
      </c>
      <c r="U306" s="49" t="s">
        <v>113</v>
      </c>
      <c r="V306" s="49">
        <v>1</v>
      </c>
      <c r="W306" s="49" t="s">
        <v>113</v>
      </c>
      <c r="X306" s="49" t="s">
        <v>113</v>
      </c>
      <c r="Y306" s="49" t="s">
        <v>113</v>
      </c>
      <c r="Z306" s="50">
        <v>81</v>
      </c>
      <c r="AA306" s="49" t="s">
        <v>113</v>
      </c>
      <c r="AB306" s="49" t="s">
        <v>113</v>
      </c>
      <c r="AC306" s="50">
        <v>1065</v>
      </c>
      <c r="AD306" s="49" t="s">
        <v>113</v>
      </c>
      <c r="AE306" s="49" t="s">
        <v>113</v>
      </c>
      <c r="AF306" s="49" t="s">
        <v>113</v>
      </c>
      <c r="AG306" s="49" t="s">
        <v>113</v>
      </c>
      <c r="AH306" s="49" t="s">
        <v>113</v>
      </c>
      <c r="AI306" s="49" t="s">
        <v>113</v>
      </c>
      <c r="AJ306" s="49" t="s">
        <v>113</v>
      </c>
      <c r="AK306" s="49" t="s">
        <v>113</v>
      </c>
      <c r="AL306" s="49" t="s">
        <v>113</v>
      </c>
      <c r="AM306" s="49"/>
      <c r="AN306" s="49" t="s">
        <v>113</v>
      </c>
      <c r="AO306" s="49" t="s">
        <v>114</v>
      </c>
      <c r="AP306" s="50">
        <v>416</v>
      </c>
      <c r="AQ306" s="47" t="s">
        <v>100</v>
      </c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</row>
    <row r="307" spans="1:61" ht="16.5">
      <c r="A307" s="46">
        <v>376</v>
      </c>
      <c r="B307" s="49" t="s">
        <v>113</v>
      </c>
      <c r="C307" s="74" t="s">
        <v>197</v>
      </c>
      <c r="D307" s="86">
        <f>IFERROR(VLOOKUP(C307, $C$2:D306, 2, FALSE), MAX($D$2:D306)+1)</f>
        <v>17</v>
      </c>
      <c r="E307" s="50">
        <v>86.2</v>
      </c>
      <c r="F307" s="50">
        <v>10.199999999999999</v>
      </c>
      <c r="G307" s="50">
        <v>0</v>
      </c>
      <c r="H307" s="50">
        <v>0</v>
      </c>
      <c r="I307" s="50">
        <v>3.5999999999999996</v>
      </c>
      <c r="J307" s="50">
        <v>0</v>
      </c>
      <c r="K307" s="50">
        <v>0</v>
      </c>
      <c r="L307" s="50">
        <v>0</v>
      </c>
      <c r="M307" s="50">
        <v>0</v>
      </c>
      <c r="N307" s="50">
        <v>0</v>
      </c>
      <c r="O307" s="50">
        <v>1</v>
      </c>
      <c r="P307" s="50">
        <v>1</v>
      </c>
      <c r="Q307" s="49" t="s">
        <v>113</v>
      </c>
      <c r="R307" s="49" t="s">
        <v>113</v>
      </c>
      <c r="S307" s="49" t="s">
        <v>113</v>
      </c>
      <c r="T307" s="49" t="s">
        <v>113</v>
      </c>
      <c r="U307" s="49" t="s">
        <v>113</v>
      </c>
      <c r="V307" s="49">
        <v>2</v>
      </c>
      <c r="W307" s="49" t="s">
        <v>113</v>
      </c>
      <c r="X307" s="49" t="s">
        <v>113</v>
      </c>
      <c r="Y307" s="49" t="s">
        <v>113</v>
      </c>
      <c r="Z307" s="50">
        <v>110</v>
      </c>
      <c r="AA307" s="49" t="s">
        <v>113</v>
      </c>
      <c r="AB307" s="49" t="s">
        <v>113</v>
      </c>
      <c r="AC307" s="50">
        <v>760</v>
      </c>
      <c r="AD307" s="49" t="s">
        <v>113</v>
      </c>
      <c r="AE307" s="49" t="s">
        <v>113</v>
      </c>
      <c r="AF307" s="49" t="s">
        <v>113</v>
      </c>
      <c r="AG307" s="49" t="s">
        <v>113</v>
      </c>
      <c r="AH307" s="49" t="s">
        <v>113</v>
      </c>
      <c r="AI307" s="49" t="s">
        <v>113</v>
      </c>
      <c r="AJ307" s="49" t="s">
        <v>113</v>
      </c>
      <c r="AK307" s="49" t="s">
        <v>113</v>
      </c>
      <c r="AL307" s="49" t="s">
        <v>113</v>
      </c>
      <c r="AM307" s="49"/>
      <c r="AN307" s="49" t="s">
        <v>113</v>
      </c>
      <c r="AO307" s="49" t="s">
        <v>114</v>
      </c>
      <c r="AP307" s="50">
        <v>376</v>
      </c>
      <c r="AQ307" s="47" t="s">
        <v>100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 spans="1:61" ht="16.5">
      <c r="A308" s="46">
        <v>377</v>
      </c>
      <c r="B308" s="49" t="s">
        <v>113</v>
      </c>
      <c r="C308" s="74" t="s">
        <v>231</v>
      </c>
      <c r="D308" s="86">
        <f>IFERROR(VLOOKUP(C308, $C$2:D307, 2, FALSE), MAX($D$2:D307)+1)</f>
        <v>18</v>
      </c>
      <c r="E308" s="50">
        <v>85.929999999999993</v>
      </c>
      <c r="F308" s="50">
        <v>10.51</v>
      </c>
      <c r="G308" s="50">
        <v>0</v>
      </c>
      <c r="H308" s="50">
        <v>0</v>
      </c>
      <c r="I308" s="50">
        <v>0</v>
      </c>
      <c r="J308" s="50">
        <v>0</v>
      </c>
      <c r="K308" s="50">
        <v>3.56</v>
      </c>
      <c r="L308" s="50">
        <v>0</v>
      </c>
      <c r="M308" s="50">
        <v>0</v>
      </c>
      <c r="N308" s="50">
        <v>0</v>
      </c>
      <c r="O308" s="50">
        <v>1</v>
      </c>
      <c r="P308" s="48">
        <v>1</v>
      </c>
      <c r="Q308" s="52" t="s">
        <v>113</v>
      </c>
      <c r="R308" s="52" t="s">
        <v>113</v>
      </c>
      <c r="S308" s="46" t="s">
        <v>113</v>
      </c>
      <c r="T308" s="49" t="s">
        <v>113</v>
      </c>
      <c r="U308" s="49" t="s">
        <v>113</v>
      </c>
      <c r="V308" s="49">
        <v>2</v>
      </c>
      <c r="W308" s="49" t="s">
        <v>113</v>
      </c>
      <c r="X308" s="49" t="s">
        <v>113</v>
      </c>
      <c r="Y308" s="49" t="s">
        <v>113</v>
      </c>
      <c r="Z308" s="50">
        <v>110</v>
      </c>
      <c r="AA308" s="49" t="s">
        <v>113</v>
      </c>
      <c r="AB308" s="49" t="s">
        <v>113</v>
      </c>
      <c r="AC308" s="50">
        <v>800</v>
      </c>
      <c r="AD308" s="49" t="s">
        <v>113</v>
      </c>
      <c r="AE308" s="49" t="s">
        <v>113</v>
      </c>
      <c r="AF308" s="49" t="s">
        <v>113</v>
      </c>
      <c r="AG308" s="49" t="s">
        <v>113</v>
      </c>
      <c r="AH308" s="49" t="s">
        <v>113</v>
      </c>
      <c r="AI308" s="49" t="s">
        <v>113</v>
      </c>
      <c r="AJ308" s="49" t="s">
        <v>113</v>
      </c>
      <c r="AK308" s="49" t="s">
        <v>113</v>
      </c>
      <c r="AL308" s="49" t="s">
        <v>113</v>
      </c>
      <c r="AM308" s="49"/>
      <c r="AN308" s="49" t="s">
        <v>113</v>
      </c>
      <c r="AO308" s="49" t="s">
        <v>174</v>
      </c>
      <c r="AP308" s="50">
        <v>377</v>
      </c>
      <c r="AQ308" s="47" t="s">
        <v>100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</row>
    <row r="309" spans="1:61" ht="16.5">
      <c r="A309" s="46">
        <v>366</v>
      </c>
      <c r="B309" s="49" t="s">
        <v>113</v>
      </c>
      <c r="C309" s="74" t="s">
        <v>276</v>
      </c>
      <c r="D309" s="86">
        <f>IFERROR(VLOOKUP(C309, $C$2:D308, 2, FALSE), MAX($D$2:D308)+1)</f>
        <v>19</v>
      </c>
      <c r="E309" s="50">
        <v>93.61</v>
      </c>
      <c r="F309" s="50">
        <v>0</v>
      </c>
      <c r="G309" s="50">
        <v>0</v>
      </c>
      <c r="H309" s="50">
        <v>2.42</v>
      </c>
      <c r="I309" s="50">
        <v>0</v>
      </c>
      <c r="J309" s="50">
        <v>0</v>
      </c>
      <c r="K309" s="50">
        <v>0</v>
      </c>
      <c r="L309" s="50">
        <v>0</v>
      </c>
      <c r="M309" s="50">
        <v>3.9800000000000004</v>
      </c>
      <c r="N309" s="50">
        <v>0</v>
      </c>
      <c r="O309" s="50">
        <v>1</v>
      </c>
      <c r="P309" s="50">
        <v>1</v>
      </c>
      <c r="Q309" s="49" t="s">
        <v>113</v>
      </c>
      <c r="R309" s="49" t="s">
        <v>113</v>
      </c>
      <c r="S309" s="49" t="s">
        <v>113</v>
      </c>
      <c r="T309" s="49" t="s">
        <v>113</v>
      </c>
      <c r="U309" s="49" t="s">
        <v>113</v>
      </c>
      <c r="V309" s="49">
        <v>1</v>
      </c>
      <c r="W309" s="49" t="s">
        <v>113</v>
      </c>
      <c r="X309" s="49" t="s">
        <v>113</v>
      </c>
      <c r="Y309" s="49" t="s">
        <v>113</v>
      </c>
      <c r="Z309" s="50">
        <v>83</v>
      </c>
      <c r="AA309" s="49" t="s">
        <v>113</v>
      </c>
      <c r="AB309" s="49" t="s">
        <v>113</v>
      </c>
      <c r="AC309" s="50">
        <v>936</v>
      </c>
      <c r="AD309" s="49" t="s">
        <v>113</v>
      </c>
      <c r="AE309" s="49" t="s">
        <v>113</v>
      </c>
      <c r="AF309" s="49" t="s">
        <v>113</v>
      </c>
      <c r="AG309" s="49" t="s">
        <v>113</v>
      </c>
      <c r="AH309" s="49" t="s">
        <v>113</v>
      </c>
      <c r="AI309" s="49" t="s">
        <v>113</v>
      </c>
      <c r="AJ309" s="49" t="s">
        <v>113</v>
      </c>
      <c r="AK309" s="49" t="s">
        <v>113</v>
      </c>
      <c r="AL309" s="49" t="s">
        <v>113</v>
      </c>
      <c r="AM309" s="49"/>
      <c r="AN309" s="49" t="s">
        <v>113</v>
      </c>
      <c r="AO309" s="49" t="s">
        <v>174</v>
      </c>
      <c r="AP309" s="50">
        <v>366</v>
      </c>
      <c r="AQ309" s="47" t="s">
        <v>100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 spans="1:61" ht="16.5">
      <c r="A310" s="46">
        <v>459</v>
      </c>
      <c r="B310" s="49" t="s">
        <v>113</v>
      </c>
      <c r="C310" s="74" t="s">
        <v>276</v>
      </c>
      <c r="D310" s="86">
        <f>IFERROR(VLOOKUP(C310, $C$2:D309, 2, FALSE), MAX($D$2:D309)+1)</f>
        <v>19</v>
      </c>
      <c r="E310" s="50">
        <v>93.44</v>
      </c>
      <c r="F310" s="50">
        <v>0</v>
      </c>
      <c r="G310" s="50">
        <v>0</v>
      </c>
      <c r="H310" s="50">
        <v>6.54</v>
      </c>
      <c r="I310" s="50">
        <v>0</v>
      </c>
      <c r="J310" s="50">
        <v>0</v>
      </c>
      <c r="K310" s="50">
        <v>0</v>
      </c>
      <c r="L310" s="50">
        <v>0</v>
      </c>
      <c r="M310" s="50">
        <v>0.02</v>
      </c>
      <c r="N310" s="50">
        <v>0</v>
      </c>
      <c r="O310" s="50">
        <v>1</v>
      </c>
      <c r="P310" s="50">
        <v>1</v>
      </c>
      <c r="Q310" s="49" t="s">
        <v>113</v>
      </c>
      <c r="R310" s="49" t="s">
        <v>113</v>
      </c>
      <c r="S310" s="49" t="s">
        <v>113</v>
      </c>
      <c r="T310" s="49" t="s">
        <v>113</v>
      </c>
      <c r="U310" s="49" t="s">
        <v>113</v>
      </c>
      <c r="V310" s="49">
        <v>1</v>
      </c>
      <c r="W310" s="49" t="s">
        <v>113</v>
      </c>
      <c r="X310" s="49" t="s">
        <v>113</v>
      </c>
      <c r="Y310" s="49" t="s">
        <v>113</v>
      </c>
      <c r="Z310" s="50">
        <v>78</v>
      </c>
      <c r="AA310" s="49" t="s">
        <v>113</v>
      </c>
      <c r="AB310" s="49" t="s">
        <v>113</v>
      </c>
      <c r="AC310" s="50">
        <v>481</v>
      </c>
      <c r="AD310" s="49" t="s">
        <v>113</v>
      </c>
      <c r="AE310" s="49" t="s">
        <v>113</v>
      </c>
      <c r="AF310" s="49" t="s">
        <v>113</v>
      </c>
      <c r="AG310" s="49" t="s">
        <v>113</v>
      </c>
      <c r="AH310" s="49" t="s">
        <v>113</v>
      </c>
      <c r="AI310" s="49" t="s">
        <v>113</v>
      </c>
      <c r="AJ310" s="49" t="s">
        <v>113</v>
      </c>
      <c r="AK310" s="49" t="s">
        <v>113</v>
      </c>
      <c r="AL310" s="49" t="s">
        <v>113</v>
      </c>
      <c r="AM310" s="49"/>
      <c r="AN310" s="49" t="s">
        <v>113</v>
      </c>
      <c r="AO310" s="49" t="s">
        <v>174</v>
      </c>
      <c r="AP310" s="50">
        <v>459</v>
      </c>
      <c r="AQ310" s="47" t="s">
        <v>100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</row>
    <row r="311" spans="1:61" ht="16.5">
      <c r="A311" s="46">
        <v>501</v>
      </c>
      <c r="B311" s="49" t="s">
        <v>113</v>
      </c>
      <c r="C311" s="74" t="s">
        <v>276</v>
      </c>
      <c r="D311" s="86">
        <f>IFERROR(VLOOKUP(C311, $C$2:D310, 2, FALSE), MAX($D$2:D310)+1)</f>
        <v>19</v>
      </c>
      <c r="E311" s="50">
        <v>93.61</v>
      </c>
      <c r="F311" s="50">
        <v>0</v>
      </c>
      <c r="G311" s="50">
        <v>0</v>
      </c>
      <c r="H311" s="50">
        <v>6.370000000000001</v>
      </c>
      <c r="I311" s="50">
        <v>0</v>
      </c>
      <c r="J311" s="50">
        <v>0</v>
      </c>
      <c r="K311" s="50">
        <v>0</v>
      </c>
      <c r="L311" s="50">
        <v>0</v>
      </c>
      <c r="M311" s="50">
        <v>0.02</v>
      </c>
      <c r="N311" s="50">
        <v>0</v>
      </c>
      <c r="O311" s="50">
        <v>1</v>
      </c>
      <c r="P311" s="50">
        <v>1</v>
      </c>
      <c r="Q311" s="49" t="s">
        <v>113</v>
      </c>
      <c r="R311" s="49" t="s">
        <v>113</v>
      </c>
      <c r="S311" s="49" t="s">
        <v>113</v>
      </c>
      <c r="T311" s="49" t="s">
        <v>113</v>
      </c>
      <c r="U311" s="49" t="s">
        <v>113</v>
      </c>
      <c r="V311" s="50">
        <v>1</v>
      </c>
      <c r="W311" s="49" t="s">
        <v>113</v>
      </c>
      <c r="X311" s="49" t="s">
        <v>113</v>
      </c>
      <c r="Y311" s="49" t="s">
        <v>113</v>
      </c>
      <c r="Z311" s="50">
        <v>84</v>
      </c>
      <c r="AA311" s="49" t="s">
        <v>113</v>
      </c>
      <c r="AB311" s="49" t="s">
        <v>113</v>
      </c>
      <c r="AC311" s="50">
        <v>480</v>
      </c>
      <c r="AD311" s="49" t="s">
        <v>113</v>
      </c>
      <c r="AE311" s="49" t="s">
        <v>113</v>
      </c>
      <c r="AF311" s="49" t="s">
        <v>113</v>
      </c>
      <c r="AG311" s="49" t="s">
        <v>113</v>
      </c>
      <c r="AH311" s="49" t="s">
        <v>113</v>
      </c>
      <c r="AI311" s="49" t="s">
        <v>113</v>
      </c>
      <c r="AJ311" s="49" t="s">
        <v>113</v>
      </c>
      <c r="AK311" s="49" t="s">
        <v>113</v>
      </c>
      <c r="AL311" s="49" t="s">
        <v>113</v>
      </c>
      <c r="AM311" s="49"/>
      <c r="AN311" s="49" t="s">
        <v>113</v>
      </c>
      <c r="AO311" s="49" t="s">
        <v>174</v>
      </c>
      <c r="AP311" s="50">
        <v>501</v>
      </c>
      <c r="AQ311" s="47" t="s">
        <v>100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 spans="1:61" s="12" customFormat="1" ht="16.5">
      <c r="A312" s="13">
        <v>398</v>
      </c>
      <c r="B312" s="13" t="s">
        <v>113</v>
      </c>
      <c r="C312" s="74" t="s">
        <v>271</v>
      </c>
      <c r="D312" s="86">
        <f>IFERROR(VLOOKUP(C312, $C$2:D311, 2, FALSE), MAX($D$2:D311)+1)</f>
        <v>20</v>
      </c>
      <c r="E312" s="14">
        <v>68.820000000000007</v>
      </c>
      <c r="F312" s="14">
        <v>9.93</v>
      </c>
      <c r="G312" s="14">
        <v>17.62</v>
      </c>
      <c r="H312" s="14">
        <v>0</v>
      </c>
      <c r="I312" s="14">
        <v>3.15</v>
      </c>
      <c r="J312" s="14">
        <v>0</v>
      </c>
      <c r="K312" s="14">
        <v>0</v>
      </c>
      <c r="L312" s="14">
        <v>0</v>
      </c>
      <c r="M312" s="14">
        <v>0.48</v>
      </c>
      <c r="N312" s="14">
        <v>0</v>
      </c>
      <c r="O312" s="14">
        <v>1</v>
      </c>
      <c r="P312" s="14">
        <v>1</v>
      </c>
      <c r="Q312" s="13" t="s">
        <v>113</v>
      </c>
      <c r="R312" s="13" t="s">
        <v>113</v>
      </c>
      <c r="S312" s="13" t="s">
        <v>113</v>
      </c>
      <c r="T312" s="13" t="s">
        <v>113</v>
      </c>
      <c r="U312" s="13" t="s">
        <v>113</v>
      </c>
      <c r="V312" s="14">
        <v>2</v>
      </c>
      <c r="W312" s="13" t="s">
        <v>113</v>
      </c>
      <c r="X312" s="13" t="s">
        <v>113</v>
      </c>
      <c r="Y312" s="13" t="s">
        <v>113</v>
      </c>
      <c r="Z312" s="14">
        <v>92</v>
      </c>
      <c r="AA312" s="13" t="s">
        <v>113</v>
      </c>
      <c r="AB312" s="13" t="s">
        <v>113</v>
      </c>
      <c r="AC312" s="14">
        <v>1299</v>
      </c>
      <c r="AD312" s="13" t="s">
        <v>113</v>
      </c>
      <c r="AE312" s="13" t="s">
        <v>113</v>
      </c>
      <c r="AF312" s="13" t="s">
        <v>113</v>
      </c>
      <c r="AG312" s="13" t="s">
        <v>113</v>
      </c>
      <c r="AH312" s="13" t="s">
        <v>113</v>
      </c>
      <c r="AI312" s="13" t="s">
        <v>113</v>
      </c>
      <c r="AJ312" s="13" t="s">
        <v>113</v>
      </c>
      <c r="AK312" s="13" t="s">
        <v>113</v>
      </c>
      <c r="AL312" s="13" t="s">
        <v>113</v>
      </c>
      <c r="AM312" s="13"/>
      <c r="AN312" s="13" t="s">
        <v>113</v>
      </c>
      <c r="AO312" s="13" t="s">
        <v>174</v>
      </c>
      <c r="AP312" s="14">
        <v>398</v>
      </c>
      <c r="AQ312" s="50" t="s">
        <v>100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</row>
    <row r="313" spans="1:61" s="12" customFormat="1" ht="16.5">
      <c r="A313" s="13">
        <v>399</v>
      </c>
      <c r="B313" s="13" t="s">
        <v>113</v>
      </c>
      <c r="C313" s="74" t="s">
        <v>271</v>
      </c>
      <c r="D313" s="86">
        <f>IFERROR(VLOOKUP(C313, $C$2:D312, 2, FALSE), MAX($D$2:D312)+1)</f>
        <v>20</v>
      </c>
      <c r="E313" s="14">
        <v>68.320000000000007</v>
      </c>
      <c r="F313" s="14">
        <v>9.93</v>
      </c>
      <c r="G313" s="14">
        <v>17.630000000000003</v>
      </c>
      <c r="H313" s="14">
        <v>0</v>
      </c>
      <c r="I313" s="14">
        <v>3.16</v>
      </c>
      <c r="J313" s="14">
        <v>0</v>
      </c>
      <c r="K313" s="14">
        <v>0</v>
      </c>
      <c r="L313" s="14">
        <v>0</v>
      </c>
      <c r="M313" s="14">
        <v>0.96</v>
      </c>
      <c r="N313" s="14">
        <v>0</v>
      </c>
      <c r="O313" s="14">
        <v>1</v>
      </c>
      <c r="P313" s="14">
        <v>1</v>
      </c>
      <c r="Q313" s="13" t="s">
        <v>113</v>
      </c>
      <c r="R313" s="13" t="s">
        <v>113</v>
      </c>
      <c r="S313" s="13" t="s">
        <v>113</v>
      </c>
      <c r="T313" s="13" t="s">
        <v>113</v>
      </c>
      <c r="U313" s="13" t="s">
        <v>113</v>
      </c>
      <c r="V313" s="14">
        <v>2</v>
      </c>
      <c r="W313" s="13" t="s">
        <v>113</v>
      </c>
      <c r="X313" s="13" t="s">
        <v>113</v>
      </c>
      <c r="Y313" s="13" t="s">
        <v>113</v>
      </c>
      <c r="Z313" s="14">
        <v>100</v>
      </c>
      <c r="AA313" s="13" t="s">
        <v>113</v>
      </c>
      <c r="AB313" s="13" t="s">
        <v>113</v>
      </c>
      <c r="AC313" s="14">
        <v>1421</v>
      </c>
      <c r="AD313" s="13" t="s">
        <v>113</v>
      </c>
      <c r="AE313" s="13" t="s">
        <v>113</v>
      </c>
      <c r="AF313" s="13" t="s">
        <v>113</v>
      </c>
      <c r="AG313" s="13" t="s">
        <v>113</v>
      </c>
      <c r="AH313" s="13" t="s">
        <v>113</v>
      </c>
      <c r="AI313" s="13" t="s">
        <v>113</v>
      </c>
      <c r="AJ313" s="13" t="s">
        <v>113</v>
      </c>
      <c r="AK313" s="13" t="s">
        <v>113</v>
      </c>
      <c r="AL313" s="13" t="s">
        <v>113</v>
      </c>
      <c r="AM313" s="13"/>
      <c r="AN313" s="13" t="s">
        <v>113</v>
      </c>
      <c r="AO313" s="13" t="s">
        <v>174</v>
      </c>
      <c r="AP313" s="14">
        <v>399</v>
      </c>
      <c r="AQ313" s="50" t="s">
        <v>100</v>
      </c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 spans="1:61" s="12" customFormat="1" ht="16.5">
      <c r="A314" s="13">
        <v>400</v>
      </c>
      <c r="B314" s="13" t="s">
        <v>113</v>
      </c>
      <c r="C314" s="74" t="s">
        <v>271</v>
      </c>
      <c r="D314" s="86">
        <f>IFERROR(VLOOKUP(C314, $C$2:D313, 2, FALSE), MAX($D$2:D313)+1)</f>
        <v>20</v>
      </c>
      <c r="E314" s="14">
        <v>67.81</v>
      </c>
      <c r="F314" s="14">
        <v>9.94</v>
      </c>
      <c r="G314" s="14">
        <v>17.64</v>
      </c>
      <c r="H314" s="14">
        <v>0</v>
      </c>
      <c r="I314" s="14">
        <v>3.16</v>
      </c>
      <c r="J314" s="14">
        <v>0</v>
      </c>
      <c r="K314" s="14">
        <v>0</v>
      </c>
      <c r="L314" s="14">
        <v>0</v>
      </c>
      <c r="M314" s="14">
        <v>1.44</v>
      </c>
      <c r="N314" s="14">
        <v>0</v>
      </c>
      <c r="O314" s="14">
        <v>1</v>
      </c>
      <c r="P314" s="14">
        <v>1</v>
      </c>
      <c r="Q314" s="13" t="s">
        <v>113</v>
      </c>
      <c r="R314" s="13" t="s">
        <v>113</v>
      </c>
      <c r="S314" s="13" t="s">
        <v>113</v>
      </c>
      <c r="T314" s="13" t="s">
        <v>113</v>
      </c>
      <c r="U314" s="13" t="s">
        <v>113</v>
      </c>
      <c r="V314" s="14">
        <v>2</v>
      </c>
      <c r="W314" s="13" t="s">
        <v>113</v>
      </c>
      <c r="X314" s="13" t="s">
        <v>113</v>
      </c>
      <c r="Y314" s="13" t="s">
        <v>113</v>
      </c>
      <c r="Z314" s="14">
        <v>96</v>
      </c>
      <c r="AA314" s="13" t="s">
        <v>113</v>
      </c>
      <c r="AB314" s="13" t="s">
        <v>113</v>
      </c>
      <c r="AC314" s="14">
        <v>1553</v>
      </c>
      <c r="AD314" s="13" t="s">
        <v>113</v>
      </c>
      <c r="AE314" s="13" t="s">
        <v>113</v>
      </c>
      <c r="AF314" s="13" t="s">
        <v>113</v>
      </c>
      <c r="AG314" s="13" t="s">
        <v>113</v>
      </c>
      <c r="AH314" s="13" t="s">
        <v>113</v>
      </c>
      <c r="AI314" s="13" t="s">
        <v>113</v>
      </c>
      <c r="AJ314" s="13" t="s">
        <v>113</v>
      </c>
      <c r="AK314" s="13" t="s">
        <v>113</v>
      </c>
      <c r="AL314" s="13" t="s">
        <v>113</v>
      </c>
      <c r="AM314" s="13"/>
      <c r="AN314" s="13" t="s">
        <v>113</v>
      </c>
      <c r="AO314" s="13" t="s">
        <v>174</v>
      </c>
      <c r="AP314" s="14">
        <v>400</v>
      </c>
      <c r="AQ314" s="50" t="s">
        <v>100</v>
      </c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</row>
    <row r="315" spans="1:61" s="12" customFormat="1" ht="16.5">
      <c r="A315" s="13">
        <v>401</v>
      </c>
      <c r="B315" s="13" t="s">
        <v>113</v>
      </c>
      <c r="C315" s="74" t="s">
        <v>271</v>
      </c>
      <c r="D315" s="86">
        <f>IFERROR(VLOOKUP(C315, $C$2:D314, 2, FALSE), MAX($D$2:D314)+1)</f>
        <v>20</v>
      </c>
      <c r="E315" s="14">
        <v>67.31</v>
      </c>
      <c r="F315" s="14">
        <v>9.9500000000000011</v>
      </c>
      <c r="G315" s="14">
        <v>17.66</v>
      </c>
      <c r="H315" s="14">
        <v>0</v>
      </c>
      <c r="I315" s="14">
        <v>3.16</v>
      </c>
      <c r="J315" s="14">
        <v>0</v>
      </c>
      <c r="K315" s="14">
        <v>0</v>
      </c>
      <c r="L315" s="14">
        <v>0</v>
      </c>
      <c r="M315" s="14">
        <v>1.92</v>
      </c>
      <c r="N315" s="14">
        <v>0</v>
      </c>
      <c r="O315" s="14">
        <v>1</v>
      </c>
      <c r="P315" s="14">
        <v>1</v>
      </c>
      <c r="Q315" s="13" t="s">
        <v>113</v>
      </c>
      <c r="R315" s="13" t="s">
        <v>113</v>
      </c>
      <c r="S315" s="13" t="s">
        <v>113</v>
      </c>
      <c r="T315" s="13" t="s">
        <v>113</v>
      </c>
      <c r="U315" s="13" t="s">
        <v>113</v>
      </c>
      <c r="V315" s="14">
        <v>2</v>
      </c>
      <c r="W315" s="13" t="s">
        <v>113</v>
      </c>
      <c r="X315" s="13" t="s">
        <v>113</v>
      </c>
      <c r="Y315" s="13" t="s">
        <v>113</v>
      </c>
      <c r="Z315" s="14">
        <v>103</v>
      </c>
      <c r="AA315" s="13" t="s">
        <v>113</v>
      </c>
      <c r="AB315" s="13" t="s">
        <v>113</v>
      </c>
      <c r="AC315" s="14">
        <v>1399</v>
      </c>
      <c r="AD315" s="13" t="s">
        <v>113</v>
      </c>
      <c r="AE315" s="13" t="s">
        <v>113</v>
      </c>
      <c r="AF315" s="13" t="s">
        <v>113</v>
      </c>
      <c r="AG315" s="13" t="s">
        <v>113</v>
      </c>
      <c r="AH315" s="13" t="s">
        <v>113</v>
      </c>
      <c r="AI315" s="13" t="s">
        <v>113</v>
      </c>
      <c r="AJ315" s="13" t="s">
        <v>113</v>
      </c>
      <c r="AK315" s="13" t="s">
        <v>113</v>
      </c>
      <c r="AL315" s="13" t="s">
        <v>113</v>
      </c>
      <c r="AM315" s="13"/>
      <c r="AN315" s="13" t="s">
        <v>113</v>
      </c>
      <c r="AO315" s="13" t="s">
        <v>174</v>
      </c>
      <c r="AP315" s="14">
        <v>401</v>
      </c>
      <c r="AQ315" s="50" t="s">
        <v>100</v>
      </c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 spans="1:61" s="12" customFormat="1" ht="16.5">
      <c r="A316" s="13">
        <v>402</v>
      </c>
      <c r="B316" s="13" t="s">
        <v>113</v>
      </c>
      <c r="C316" s="74" t="s">
        <v>271</v>
      </c>
      <c r="D316" s="86">
        <f>IFERROR(VLOOKUP(C316, $C$2:D315, 2, FALSE), MAX($D$2:D315)+1)</f>
        <v>20</v>
      </c>
      <c r="E316" s="14">
        <v>66.8</v>
      </c>
      <c r="F316" s="14">
        <v>9.9599999999999991</v>
      </c>
      <c r="G316" s="14">
        <v>17.669999999999998</v>
      </c>
      <c r="H316" s="14">
        <v>0</v>
      </c>
      <c r="I316" s="14">
        <v>3.16</v>
      </c>
      <c r="J316" s="14">
        <v>0</v>
      </c>
      <c r="K316" s="14">
        <v>0</v>
      </c>
      <c r="L316" s="14">
        <v>0</v>
      </c>
      <c r="M316" s="14">
        <v>2.41</v>
      </c>
      <c r="N316" s="14">
        <v>0</v>
      </c>
      <c r="O316" s="14">
        <v>1</v>
      </c>
      <c r="P316" s="14">
        <v>1</v>
      </c>
      <c r="Q316" s="13" t="s">
        <v>113</v>
      </c>
      <c r="R316" s="13" t="s">
        <v>113</v>
      </c>
      <c r="S316" s="13" t="s">
        <v>113</v>
      </c>
      <c r="T316" s="13" t="s">
        <v>113</v>
      </c>
      <c r="U316" s="13" t="s">
        <v>113</v>
      </c>
      <c r="V316" s="14">
        <v>2</v>
      </c>
      <c r="W316" s="13" t="s">
        <v>113</v>
      </c>
      <c r="X316" s="13" t="s">
        <v>113</v>
      </c>
      <c r="Y316" s="13" t="s">
        <v>113</v>
      </c>
      <c r="Z316" s="14">
        <v>79</v>
      </c>
      <c r="AA316" s="13" t="s">
        <v>113</v>
      </c>
      <c r="AB316" s="13" t="s">
        <v>113</v>
      </c>
      <c r="AC316" s="14">
        <v>1068</v>
      </c>
      <c r="AD316" s="13" t="s">
        <v>113</v>
      </c>
      <c r="AE316" s="13" t="s">
        <v>113</v>
      </c>
      <c r="AF316" s="13" t="s">
        <v>113</v>
      </c>
      <c r="AG316" s="13" t="s">
        <v>113</v>
      </c>
      <c r="AH316" s="13" t="s">
        <v>113</v>
      </c>
      <c r="AI316" s="13" t="s">
        <v>113</v>
      </c>
      <c r="AJ316" s="13" t="s">
        <v>113</v>
      </c>
      <c r="AK316" s="13" t="s">
        <v>113</v>
      </c>
      <c r="AL316" s="13" t="s">
        <v>113</v>
      </c>
      <c r="AM316" s="13"/>
      <c r="AN316" s="13" t="s">
        <v>113</v>
      </c>
      <c r="AO316" s="13" t="s">
        <v>174</v>
      </c>
      <c r="AP316" s="14">
        <v>402</v>
      </c>
      <c r="AQ316" s="50" t="s">
        <v>100</v>
      </c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</row>
    <row r="317" spans="1:61" s="12" customFormat="1" ht="16.5">
      <c r="A317" s="66">
        <v>447</v>
      </c>
      <c r="B317" s="66" t="s">
        <v>113</v>
      </c>
      <c r="C317" s="74" t="s">
        <v>292</v>
      </c>
      <c r="D317" s="86">
        <f>IFERROR(VLOOKUP(C317, $C$2:D316, 2, FALSE), MAX($D$2:D316)+1)</f>
        <v>21</v>
      </c>
      <c r="E317" s="67">
        <v>74.63</v>
      </c>
      <c r="F317" s="67">
        <v>0</v>
      </c>
      <c r="G317" s="67">
        <v>0</v>
      </c>
      <c r="H317" s="67">
        <v>0</v>
      </c>
      <c r="I317" s="67">
        <v>0</v>
      </c>
      <c r="J317" s="67">
        <v>0</v>
      </c>
      <c r="K317" s="67">
        <v>16.220000000000002</v>
      </c>
      <c r="L317" s="67">
        <v>2.15</v>
      </c>
      <c r="M317" s="67">
        <v>7.0000000000000009</v>
      </c>
      <c r="N317" s="67">
        <v>0</v>
      </c>
      <c r="O317" s="67">
        <v>1</v>
      </c>
      <c r="P317" s="72" t="s">
        <v>173</v>
      </c>
      <c r="Q317" s="66">
        <v>0</v>
      </c>
      <c r="R317" s="66">
        <v>0</v>
      </c>
      <c r="S317" s="66">
        <v>0</v>
      </c>
      <c r="T317" s="66">
        <v>0</v>
      </c>
      <c r="U317" s="66">
        <v>0</v>
      </c>
      <c r="V317" s="67">
        <v>0</v>
      </c>
      <c r="W317" s="66">
        <v>0</v>
      </c>
      <c r="X317" s="66">
        <v>0</v>
      </c>
      <c r="Y317" s="66">
        <v>0</v>
      </c>
      <c r="Z317" s="67">
        <v>99</v>
      </c>
      <c r="AA317" s="66" t="s">
        <v>113</v>
      </c>
      <c r="AB317" s="66" t="s">
        <v>113</v>
      </c>
      <c r="AC317" s="67">
        <v>1097</v>
      </c>
      <c r="AD317" s="66" t="s">
        <v>113</v>
      </c>
      <c r="AE317" s="66" t="s">
        <v>113</v>
      </c>
      <c r="AF317" s="66" t="s">
        <v>113</v>
      </c>
      <c r="AG317" s="66" t="s">
        <v>113</v>
      </c>
      <c r="AH317" s="66" t="s">
        <v>113</v>
      </c>
      <c r="AI317" s="66" t="s">
        <v>113</v>
      </c>
      <c r="AJ317" s="66" t="s">
        <v>113</v>
      </c>
      <c r="AK317" s="66" t="s">
        <v>113</v>
      </c>
      <c r="AL317" s="66" t="s">
        <v>113</v>
      </c>
      <c r="AM317" s="66"/>
      <c r="AN317" s="66" t="s">
        <v>113</v>
      </c>
      <c r="AO317" s="66" t="s">
        <v>114</v>
      </c>
      <c r="AP317" s="67">
        <v>447</v>
      </c>
      <c r="AQ317" s="36" t="s">
        <v>100</v>
      </c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1:61" s="12" customFormat="1" ht="16.5">
      <c r="A318" s="66">
        <v>448</v>
      </c>
      <c r="B318" s="66" t="s">
        <v>113</v>
      </c>
      <c r="C318" s="74" t="s">
        <v>292</v>
      </c>
      <c r="D318" s="86">
        <f>IFERROR(VLOOKUP(C318, $C$2:D317, 2, FALSE), MAX($D$2:D317)+1)</f>
        <v>21</v>
      </c>
      <c r="E318" s="67">
        <v>72.44</v>
      </c>
      <c r="F318" s="67">
        <v>0</v>
      </c>
      <c r="G318" s="67">
        <v>0</v>
      </c>
      <c r="H318" s="67">
        <v>0</v>
      </c>
      <c r="I318" s="67">
        <v>0</v>
      </c>
      <c r="J318" s="67">
        <v>0</v>
      </c>
      <c r="K318" s="67">
        <v>16.25</v>
      </c>
      <c r="L318" s="67">
        <v>4.3</v>
      </c>
      <c r="M318" s="67">
        <v>7.01</v>
      </c>
      <c r="N318" s="67">
        <v>0</v>
      </c>
      <c r="O318" s="67">
        <v>1</v>
      </c>
      <c r="P318" s="72" t="s">
        <v>173</v>
      </c>
      <c r="Q318" s="66">
        <v>0</v>
      </c>
      <c r="R318" s="66">
        <v>0</v>
      </c>
      <c r="S318" s="66">
        <v>0</v>
      </c>
      <c r="T318" s="66">
        <v>0</v>
      </c>
      <c r="U318" s="66">
        <v>0</v>
      </c>
      <c r="V318" s="67">
        <v>0</v>
      </c>
      <c r="W318" s="66">
        <v>0</v>
      </c>
      <c r="X318" s="66">
        <v>0</v>
      </c>
      <c r="Y318" s="66">
        <v>0</v>
      </c>
      <c r="Z318" s="67">
        <v>81</v>
      </c>
      <c r="AA318" s="66" t="s">
        <v>113</v>
      </c>
      <c r="AB318" s="66" t="s">
        <v>113</v>
      </c>
      <c r="AC318" s="67">
        <v>947</v>
      </c>
      <c r="AD318" s="66" t="s">
        <v>113</v>
      </c>
      <c r="AE318" s="66" t="s">
        <v>113</v>
      </c>
      <c r="AF318" s="66" t="s">
        <v>113</v>
      </c>
      <c r="AG318" s="66" t="s">
        <v>113</v>
      </c>
      <c r="AH318" s="66" t="s">
        <v>113</v>
      </c>
      <c r="AI318" s="66" t="s">
        <v>113</v>
      </c>
      <c r="AJ318" s="66" t="s">
        <v>113</v>
      </c>
      <c r="AK318" s="66" t="s">
        <v>113</v>
      </c>
      <c r="AL318" s="66" t="s">
        <v>113</v>
      </c>
      <c r="AM318" s="66"/>
      <c r="AN318" s="66" t="s">
        <v>113</v>
      </c>
      <c r="AO318" s="66" t="s">
        <v>114</v>
      </c>
      <c r="AP318" s="67">
        <v>448</v>
      </c>
      <c r="AQ318" s="36" t="s">
        <v>100</v>
      </c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1:61" ht="16.5">
      <c r="A319" s="35">
        <v>449</v>
      </c>
      <c r="B319" s="66" t="s">
        <v>113</v>
      </c>
      <c r="C319" s="74" t="s">
        <v>292</v>
      </c>
      <c r="D319" s="86">
        <f>IFERROR(VLOOKUP(C319, $C$2:D318, 2, FALSE), MAX($D$2:D318)+1)</f>
        <v>21</v>
      </c>
      <c r="E319" s="36">
        <v>70.23</v>
      </c>
      <c r="F319" s="67">
        <v>0</v>
      </c>
      <c r="G319" s="36">
        <v>0</v>
      </c>
      <c r="H319" s="36">
        <v>0</v>
      </c>
      <c r="I319" s="67">
        <v>0</v>
      </c>
      <c r="J319" s="36">
        <v>0</v>
      </c>
      <c r="K319" s="36">
        <v>16.28</v>
      </c>
      <c r="L319" s="67">
        <v>6.47</v>
      </c>
      <c r="M319" s="67">
        <v>7.02</v>
      </c>
      <c r="N319" s="36">
        <v>0</v>
      </c>
      <c r="O319" s="67">
        <v>1</v>
      </c>
      <c r="P319" s="72" t="s">
        <v>173</v>
      </c>
      <c r="Q319" s="66">
        <v>0</v>
      </c>
      <c r="R319" s="66">
        <v>0</v>
      </c>
      <c r="S319" s="66">
        <v>0</v>
      </c>
      <c r="T319" s="66">
        <v>0</v>
      </c>
      <c r="U319" s="66">
        <v>0</v>
      </c>
      <c r="V319" s="67">
        <v>0</v>
      </c>
      <c r="W319" s="66">
        <v>0</v>
      </c>
      <c r="X319" s="66">
        <v>0</v>
      </c>
      <c r="Y319" s="66">
        <v>0</v>
      </c>
      <c r="Z319" s="36">
        <v>77</v>
      </c>
      <c r="AA319" s="66" t="s">
        <v>113</v>
      </c>
      <c r="AB319" s="66" t="s">
        <v>113</v>
      </c>
      <c r="AC319" s="67">
        <v>922</v>
      </c>
      <c r="AD319" s="66" t="s">
        <v>113</v>
      </c>
      <c r="AE319" s="66" t="s">
        <v>113</v>
      </c>
      <c r="AF319" s="66" t="s">
        <v>113</v>
      </c>
      <c r="AG319" s="66" t="s">
        <v>113</v>
      </c>
      <c r="AH319" s="66" t="s">
        <v>113</v>
      </c>
      <c r="AI319" s="66" t="s">
        <v>113</v>
      </c>
      <c r="AJ319" s="66" t="s">
        <v>113</v>
      </c>
      <c r="AK319" s="66" t="s">
        <v>113</v>
      </c>
      <c r="AL319" s="66" t="s">
        <v>113</v>
      </c>
      <c r="AM319" s="66"/>
      <c r="AN319" s="66" t="s">
        <v>113</v>
      </c>
      <c r="AO319" s="66" t="s">
        <v>232</v>
      </c>
      <c r="AP319" s="67">
        <v>449</v>
      </c>
      <c r="AQ319" s="71" t="s">
        <v>100</v>
      </c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1:61" ht="16.5">
      <c r="A320" s="35">
        <v>450</v>
      </c>
      <c r="B320" s="66" t="s">
        <v>113</v>
      </c>
      <c r="C320" s="74" t="s">
        <v>292</v>
      </c>
      <c r="D320" s="86">
        <f>IFERROR(VLOOKUP(C320, $C$2:D319, 2, FALSE), MAX($D$2:D319)+1)</f>
        <v>21</v>
      </c>
      <c r="E320" s="36">
        <v>68.010000000000005</v>
      </c>
      <c r="F320" s="67">
        <v>0</v>
      </c>
      <c r="G320" s="36">
        <v>0</v>
      </c>
      <c r="H320" s="36">
        <v>0</v>
      </c>
      <c r="I320" s="67">
        <v>0</v>
      </c>
      <c r="J320" s="36">
        <v>0</v>
      </c>
      <c r="K320" s="36">
        <v>16.309999999999999</v>
      </c>
      <c r="L320" s="67">
        <v>8.64</v>
      </c>
      <c r="M320" s="67">
        <v>7.04</v>
      </c>
      <c r="N320" s="36">
        <v>0</v>
      </c>
      <c r="O320" s="67">
        <v>1</v>
      </c>
      <c r="P320" s="72" t="s">
        <v>173</v>
      </c>
      <c r="Q320" s="66">
        <v>0</v>
      </c>
      <c r="R320" s="66">
        <v>0</v>
      </c>
      <c r="S320" s="66">
        <v>0</v>
      </c>
      <c r="T320" s="66">
        <v>0</v>
      </c>
      <c r="U320" s="66">
        <v>0</v>
      </c>
      <c r="V320" s="67">
        <v>0</v>
      </c>
      <c r="W320" s="66">
        <v>0</v>
      </c>
      <c r="X320" s="66">
        <v>0</v>
      </c>
      <c r="Y320" s="66">
        <v>0</v>
      </c>
      <c r="Z320" s="36">
        <v>72</v>
      </c>
      <c r="AA320" s="66" t="s">
        <v>113</v>
      </c>
      <c r="AB320" s="66" t="s">
        <v>113</v>
      </c>
      <c r="AC320" s="67">
        <v>941</v>
      </c>
      <c r="AD320" s="66" t="s">
        <v>113</v>
      </c>
      <c r="AE320" s="66" t="s">
        <v>113</v>
      </c>
      <c r="AF320" s="66" t="s">
        <v>113</v>
      </c>
      <c r="AG320" s="66" t="s">
        <v>113</v>
      </c>
      <c r="AH320" s="66" t="s">
        <v>113</v>
      </c>
      <c r="AI320" s="66" t="s">
        <v>113</v>
      </c>
      <c r="AJ320" s="66" t="s">
        <v>113</v>
      </c>
      <c r="AK320" s="66" t="s">
        <v>113</v>
      </c>
      <c r="AL320" s="66" t="s">
        <v>113</v>
      </c>
      <c r="AM320" s="66"/>
      <c r="AN320" s="66" t="s">
        <v>113</v>
      </c>
      <c r="AO320" s="66" t="s">
        <v>114</v>
      </c>
      <c r="AP320" s="67">
        <v>450</v>
      </c>
      <c r="AQ320" s="71" t="s">
        <v>100</v>
      </c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1:61" ht="16.5">
      <c r="A321" s="49">
        <v>362</v>
      </c>
      <c r="B321" s="13" t="s">
        <v>113</v>
      </c>
      <c r="C321" s="74" t="s">
        <v>282</v>
      </c>
      <c r="D321" s="86">
        <f>IFERROR(VLOOKUP(C321, $C$2:D320, 2, FALSE), MAX($D$2:D320)+1)</f>
        <v>22</v>
      </c>
      <c r="E321" s="50">
        <v>79.239999999999995</v>
      </c>
      <c r="F321" s="14">
        <v>0</v>
      </c>
      <c r="G321" s="50">
        <v>0</v>
      </c>
      <c r="H321" s="50">
        <v>0</v>
      </c>
      <c r="I321" s="14">
        <v>0</v>
      </c>
      <c r="J321" s="50">
        <v>0</v>
      </c>
      <c r="K321" s="50">
        <v>19.79</v>
      </c>
      <c r="L321" s="14">
        <v>0</v>
      </c>
      <c r="M321" s="14">
        <v>0</v>
      </c>
      <c r="N321" s="50">
        <v>0.97</v>
      </c>
      <c r="O321" s="14">
        <v>1</v>
      </c>
      <c r="P321" s="14">
        <v>1</v>
      </c>
      <c r="Q321" s="13" t="s">
        <v>113</v>
      </c>
      <c r="R321" s="13" t="s">
        <v>113</v>
      </c>
      <c r="S321" s="13" t="s">
        <v>113</v>
      </c>
      <c r="T321" s="13" t="s">
        <v>113</v>
      </c>
      <c r="U321" s="13" t="s">
        <v>113</v>
      </c>
      <c r="V321" s="13">
        <v>1</v>
      </c>
      <c r="W321" s="13" t="s">
        <v>113</v>
      </c>
      <c r="X321" s="13" t="s">
        <v>113</v>
      </c>
      <c r="Y321" s="13" t="s">
        <v>113</v>
      </c>
      <c r="Z321" s="50">
        <v>60</v>
      </c>
      <c r="AA321" s="13" t="s">
        <v>113</v>
      </c>
      <c r="AB321" s="13" t="s">
        <v>113</v>
      </c>
      <c r="AC321" s="14">
        <v>665</v>
      </c>
      <c r="AD321" s="13" t="s">
        <v>113</v>
      </c>
      <c r="AE321" s="13" t="s">
        <v>113</v>
      </c>
      <c r="AF321" s="13" t="s">
        <v>113</v>
      </c>
      <c r="AG321" s="13" t="s">
        <v>113</v>
      </c>
      <c r="AH321" s="13" t="s">
        <v>113</v>
      </c>
      <c r="AI321" s="13" t="s">
        <v>113</v>
      </c>
      <c r="AJ321" s="13" t="s">
        <v>113</v>
      </c>
      <c r="AK321" s="13" t="s">
        <v>113</v>
      </c>
      <c r="AL321" s="13" t="s">
        <v>113</v>
      </c>
      <c r="AM321" s="13"/>
      <c r="AN321" s="13" t="s">
        <v>113</v>
      </c>
      <c r="AO321" s="13" t="s">
        <v>114</v>
      </c>
      <c r="AP321" s="14">
        <v>362</v>
      </c>
      <c r="AQ321" s="69" t="s">
        <v>100</v>
      </c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 spans="1:61" ht="16.5">
      <c r="A322" s="49">
        <v>382</v>
      </c>
      <c r="B322" s="13" t="s">
        <v>113</v>
      </c>
      <c r="C322" s="74" t="s">
        <v>282</v>
      </c>
      <c r="D322" s="86">
        <f>IFERROR(VLOOKUP(C322, $C$2:D321, 2, FALSE), MAX($D$2:D321)+1)</f>
        <v>22</v>
      </c>
      <c r="E322" s="50">
        <v>75.64</v>
      </c>
      <c r="F322" s="14">
        <v>0</v>
      </c>
      <c r="G322" s="50">
        <v>0</v>
      </c>
      <c r="H322" s="50">
        <v>0</v>
      </c>
      <c r="I322" s="14">
        <v>0</v>
      </c>
      <c r="J322" s="50">
        <v>0</v>
      </c>
      <c r="K322" s="50">
        <v>22.36</v>
      </c>
      <c r="L322" s="14">
        <v>0</v>
      </c>
      <c r="M322" s="14">
        <v>0</v>
      </c>
      <c r="N322" s="50">
        <v>2</v>
      </c>
      <c r="O322" s="14">
        <v>1</v>
      </c>
      <c r="P322" s="14">
        <v>1</v>
      </c>
      <c r="Q322" s="13" t="s">
        <v>113</v>
      </c>
      <c r="R322" s="13" t="s">
        <v>113</v>
      </c>
      <c r="S322" s="13" t="s">
        <v>113</v>
      </c>
      <c r="T322" s="13" t="s">
        <v>113</v>
      </c>
      <c r="U322" s="13" t="s">
        <v>113</v>
      </c>
      <c r="V322" s="13">
        <v>1</v>
      </c>
      <c r="W322" s="13" t="s">
        <v>113</v>
      </c>
      <c r="X322" s="13" t="s">
        <v>113</v>
      </c>
      <c r="Y322" s="13" t="s">
        <v>113</v>
      </c>
      <c r="Z322" s="50">
        <v>55</v>
      </c>
      <c r="AA322" s="13" t="s">
        <v>113</v>
      </c>
      <c r="AB322" s="13" t="s">
        <v>113</v>
      </c>
      <c r="AC322" s="14">
        <v>376</v>
      </c>
      <c r="AD322" s="13" t="s">
        <v>113</v>
      </c>
      <c r="AE322" s="13" t="s">
        <v>113</v>
      </c>
      <c r="AF322" s="13" t="s">
        <v>113</v>
      </c>
      <c r="AG322" s="13" t="s">
        <v>113</v>
      </c>
      <c r="AH322" s="13" t="s">
        <v>113</v>
      </c>
      <c r="AI322" s="13" t="s">
        <v>113</v>
      </c>
      <c r="AJ322" s="13" t="s">
        <v>113</v>
      </c>
      <c r="AK322" s="13" t="s">
        <v>113</v>
      </c>
      <c r="AL322" s="13" t="s">
        <v>113</v>
      </c>
      <c r="AM322" s="13"/>
      <c r="AN322" s="13" t="s">
        <v>113</v>
      </c>
      <c r="AO322" s="13" t="s">
        <v>114</v>
      </c>
      <c r="AP322" s="14">
        <v>382</v>
      </c>
      <c r="AQ322" s="69" t="s">
        <v>100</v>
      </c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</row>
    <row r="323" spans="1:61" ht="16.5">
      <c r="A323" s="49">
        <v>383</v>
      </c>
      <c r="B323" s="13" t="s">
        <v>113</v>
      </c>
      <c r="C323" s="74" t="s">
        <v>282</v>
      </c>
      <c r="D323" s="86">
        <f>IFERROR(VLOOKUP(C323, $C$2:D322, 2, FALSE), MAX($D$2:D322)+1)</f>
        <v>22</v>
      </c>
      <c r="E323" s="50">
        <v>72.91</v>
      </c>
      <c r="F323" s="14">
        <v>0</v>
      </c>
      <c r="G323" s="50">
        <v>0</v>
      </c>
      <c r="H323" s="50">
        <v>0</v>
      </c>
      <c r="I323" s="14">
        <v>0</v>
      </c>
      <c r="J323" s="50">
        <v>0</v>
      </c>
      <c r="K323" s="50">
        <v>23.02</v>
      </c>
      <c r="L323" s="14">
        <v>0</v>
      </c>
      <c r="M323" s="14">
        <v>0</v>
      </c>
      <c r="N323" s="50">
        <v>4.07</v>
      </c>
      <c r="O323" s="14">
        <v>1</v>
      </c>
      <c r="P323" s="14">
        <v>1</v>
      </c>
      <c r="Q323" s="13" t="s">
        <v>113</v>
      </c>
      <c r="R323" s="13" t="s">
        <v>113</v>
      </c>
      <c r="S323" s="13" t="s">
        <v>113</v>
      </c>
      <c r="T323" s="13" t="s">
        <v>113</v>
      </c>
      <c r="U323" s="13" t="s">
        <v>113</v>
      </c>
      <c r="V323" s="13">
        <v>1</v>
      </c>
      <c r="W323" s="13" t="s">
        <v>113</v>
      </c>
      <c r="X323" s="13" t="s">
        <v>113</v>
      </c>
      <c r="Y323" s="13" t="s">
        <v>113</v>
      </c>
      <c r="Z323" s="50">
        <v>61</v>
      </c>
      <c r="AA323" s="13" t="s">
        <v>113</v>
      </c>
      <c r="AB323" s="13" t="s">
        <v>113</v>
      </c>
      <c r="AC323" s="14">
        <v>444</v>
      </c>
      <c r="AD323" s="13" t="s">
        <v>113</v>
      </c>
      <c r="AE323" s="13" t="s">
        <v>113</v>
      </c>
      <c r="AF323" s="13" t="s">
        <v>113</v>
      </c>
      <c r="AG323" s="13" t="s">
        <v>113</v>
      </c>
      <c r="AH323" s="13" t="s">
        <v>113</v>
      </c>
      <c r="AI323" s="13" t="s">
        <v>113</v>
      </c>
      <c r="AJ323" s="13" t="s">
        <v>113</v>
      </c>
      <c r="AK323" s="13" t="s">
        <v>113</v>
      </c>
      <c r="AL323" s="13" t="s">
        <v>113</v>
      </c>
      <c r="AM323" s="13"/>
      <c r="AN323" s="13" t="s">
        <v>113</v>
      </c>
      <c r="AO323" s="13" t="s">
        <v>114</v>
      </c>
      <c r="AP323" s="14">
        <v>383</v>
      </c>
      <c r="AQ323" s="69" t="s">
        <v>100</v>
      </c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 spans="1:61" ht="16.5">
      <c r="A324" s="49">
        <v>455</v>
      </c>
      <c r="B324" s="13" t="s">
        <v>113</v>
      </c>
      <c r="C324" s="74" t="s">
        <v>282</v>
      </c>
      <c r="D324" s="86">
        <f>IFERROR(VLOOKUP(C324, $C$2:D323, 2, FALSE), MAX($D$2:D323)+1)</f>
        <v>22</v>
      </c>
      <c r="E324" s="50">
        <v>76.649999999999991</v>
      </c>
      <c r="F324" s="14">
        <v>0</v>
      </c>
      <c r="G324" s="50">
        <v>0</v>
      </c>
      <c r="H324" s="50">
        <v>0</v>
      </c>
      <c r="I324" s="14">
        <v>0</v>
      </c>
      <c r="J324" s="50">
        <v>0</v>
      </c>
      <c r="K324" s="50">
        <v>22.11</v>
      </c>
      <c r="L324" s="14">
        <v>0</v>
      </c>
      <c r="M324" s="14">
        <v>0</v>
      </c>
      <c r="N324" s="50">
        <v>1.24</v>
      </c>
      <c r="O324" s="14">
        <v>1</v>
      </c>
      <c r="P324" s="14">
        <v>1</v>
      </c>
      <c r="Q324" s="13" t="s">
        <v>113</v>
      </c>
      <c r="R324" s="13" t="s">
        <v>113</v>
      </c>
      <c r="S324" s="13" t="s">
        <v>113</v>
      </c>
      <c r="T324" s="13" t="s">
        <v>113</v>
      </c>
      <c r="U324" s="13" t="s">
        <v>113</v>
      </c>
      <c r="V324" s="13">
        <v>1</v>
      </c>
      <c r="W324" s="13" t="s">
        <v>113</v>
      </c>
      <c r="X324" s="13" t="s">
        <v>113</v>
      </c>
      <c r="Y324" s="13" t="s">
        <v>113</v>
      </c>
      <c r="Z324" s="50">
        <v>65.8</v>
      </c>
      <c r="AA324" s="13" t="s">
        <v>113</v>
      </c>
      <c r="AB324" s="13" t="s">
        <v>113</v>
      </c>
      <c r="AC324" s="14">
        <v>237</v>
      </c>
      <c r="AD324" s="13" t="s">
        <v>113</v>
      </c>
      <c r="AE324" s="13" t="s">
        <v>113</v>
      </c>
      <c r="AF324" s="13" t="s">
        <v>113</v>
      </c>
      <c r="AG324" s="13" t="s">
        <v>113</v>
      </c>
      <c r="AH324" s="13" t="s">
        <v>113</v>
      </c>
      <c r="AI324" s="13" t="s">
        <v>113</v>
      </c>
      <c r="AJ324" s="13" t="s">
        <v>113</v>
      </c>
      <c r="AK324" s="13" t="s">
        <v>113</v>
      </c>
      <c r="AL324" s="13" t="s">
        <v>113</v>
      </c>
      <c r="AM324" s="13"/>
      <c r="AN324" s="13" t="s">
        <v>113</v>
      </c>
      <c r="AO324" s="13" t="s">
        <v>114</v>
      </c>
      <c r="AP324" s="14">
        <v>455</v>
      </c>
      <c r="AQ324" s="69" t="s">
        <v>100</v>
      </c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</row>
    <row r="325" spans="1:61" ht="16.5">
      <c r="A325" s="49">
        <v>456</v>
      </c>
      <c r="B325" s="13" t="s">
        <v>113</v>
      </c>
      <c r="C325" s="74" t="s">
        <v>282</v>
      </c>
      <c r="D325" s="86">
        <f>IFERROR(VLOOKUP(C325, $C$2:D324, 2, FALSE), MAX($D$2:D324)+1)</f>
        <v>22</v>
      </c>
      <c r="E325" s="50">
        <v>74.95</v>
      </c>
      <c r="F325" s="14">
        <v>0</v>
      </c>
      <c r="G325" s="50">
        <v>0</v>
      </c>
      <c r="H325" s="50">
        <v>0</v>
      </c>
      <c r="I325" s="14">
        <v>0</v>
      </c>
      <c r="J325" s="50">
        <v>0</v>
      </c>
      <c r="K325" s="50">
        <v>22.53</v>
      </c>
      <c r="L325" s="14">
        <v>0</v>
      </c>
      <c r="M325" s="14">
        <v>0</v>
      </c>
      <c r="N325" s="50">
        <v>2.52</v>
      </c>
      <c r="O325" s="14">
        <v>1</v>
      </c>
      <c r="P325" s="14">
        <v>1</v>
      </c>
      <c r="Q325" s="13" t="s">
        <v>113</v>
      </c>
      <c r="R325" s="13" t="s">
        <v>113</v>
      </c>
      <c r="S325" s="13" t="s">
        <v>113</v>
      </c>
      <c r="T325" s="13" t="s">
        <v>113</v>
      </c>
      <c r="U325" s="13" t="s">
        <v>113</v>
      </c>
      <c r="V325" s="13">
        <v>1</v>
      </c>
      <c r="W325" s="13" t="s">
        <v>113</v>
      </c>
      <c r="X325" s="13" t="s">
        <v>113</v>
      </c>
      <c r="Y325" s="13" t="s">
        <v>113</v>
      </c>
      <c r="Z325" s="50">
        <v>68.2</v>
      </c>
      <c r="AA325" s="13" t="s">
        <v>113</v>
      </c>
      <c r="AB325" s="13" t="s">
        <v>113</v>
      </c>
      <c r="AC325" s="14">
        <v>216</v>
      </c>
      <c r="AD325" s="13" t="s">
        <v>113</v>
      </c>
      <c r="AE325" s="13" t="s">
        <v>113</v>
      </c>
      <c r="AF325" s="13" t="s">
        <v>113</v>
      </c>
      <c r="AG325" s="13" t="s">
        <v>113</v>
      </c>
      <c r="AH325" s="13" t="s">
        <v>113</v>
      </c>
      <c r="AI325" s="13" t="s">
        <v>113</v>
      </c>
      <c r="AJ325" s="13" t="s">
        <v>113</v>
      </c>
      <c r="AK325" s="13" t="s">
        <v>113</v>
      </c>
      <c r="AL325" s="13" t="s">
        <v>113</v>
      </c>
      <c r="AM325" s="13"/>
      <c r="AN325" s="13" t="s">
        <v>113</v>
      </c>
      <c r="AO325" s="13" t="s">
        <v>114</v>
      </c>
      <c r="AP325" s="14">
        <v>456</v>
      </c>
      <c r="AQ325" s="69" t="s">
        <v>100</v>
      </c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 spans="1:61" ht="16.5">
      <c r="A326" s="49">
        <v>457</v>
      </c>
      <c r="B326" s="13" t="s">
        <v>113</v>
      </c>
      <c r="C326" s="74" t="s">
        <v>282</v>
      </c>
      <c r="D326" s="86">
        <f>IFERROR(VLOOKUP(C326, $C$2:D325, 2, FALSE), MAX($D$2:D325)+1)</f>
        <v>22</v>
      </c>
      <c r="E326" s="50">
        <v>73.2</v>
      </c>
      <c r="F326" s="14">
        <v>0</v>
      </c>
      <c r="G326" s="50">
        <v>0</v>
      </c>
      <c r="H326" s="50">
        <v>0</v>
      </c>
      <c r="I326" s="14">
        <v>0</v>
      </c>
      <c r="J326" s="50">
        <v>0</v>
      </c>
      <c r="K326" s="50">
        <v>22.95</v>
      </c>
      <c r="L326" s="14">
        <v>0</v>
      </c>
      <c r="M326" s="14">
        <v>0</v>
      </c>
      <c r="N326" s="50">
        <v>3.85</v>
      </c>
      <c r="O326" s="14">
        <v>1</v>
      </c>
      <c r="P326" s="14">
        <v>1</v>
      </c>
      <c r="Q326" s="13" t="s">
        <v>113</v>
      </c>
      <c r="R326" s="13" t="s">
        <v>113</v>
      </c>
      <c r="S326" s="13" t="s">
        <v>113</v>
      </c>
      <c r="T326" s="13" t="s">
        <v>113</v>
      </c>
      <c r="U326" s="13" t="s">
        <v>113</v>
      </c>
      <c r="V326" s="13">
        <v>1</v>
      </c>
      <c r="W326" s="13" t="s">
        <v>113</v>
      </c>
      <c r="X326" s="13" t="s">
        <v>113</v>
      </c>
      <c r="Y326" s="13" t="s">
        <v>113</v>
      </c>
      <c r="Z326" s="50">
        <v>86.4</v>
      </c>
      <c r="AA326" s="13" t="s">
        <v>113</v>
      </c>
      <c r="AB326" s="13" t="s">
        <v>113</v>
      </c>
      <c r="AC326" s="14">
        <v>262</v>
      </c>
      <c r="AD326" s="13" t="s">
        <v>113</v>
      </c>
      <c r="AE326" s="13" t="s">
        <v>113</v>
      </c>
      <c r="AF326" s="13" t="s">
        <v>113</v>
      </c>
      <c r="AG326" s="13" t="s">
        <v>113</v>
      </c>
      <c r="AH326" s="13" t="s">
        <v>113</v>
      </c>
      <c r="AI326" s="13" t="s">
        <v>113</v>
      </c>
      <c r="AJ326" s="13" t="s">
        <v>113</v>
      </c>
      <c r="AK326" s="13" t="s">
        <v>113</v>
      </c>
      <c r="AL326" s="13" t="s">
        <v>113</v>
      </c>
      <c r="AM326" s="13"/>
      <c r="AN326" s="13" t="s">
        <v>113</v>
      </c>
      <c r="AO326" s="13" t="s">
        <v>114</v>
      </c>
      <c r="AP326" s="14">
        <v>457</v>
      </c>
      <c r="AQ326" s="69" t="s">
        <v>100</v>
      </c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</row>
    <row r="327" spans="1:61" ht="16.5">
      <c r="A327" s="49">
        <v>492</v>
      </c>
      <c r="B327" s="13" t="s">
        <v>113</v>
      </c>
      <c r="C327" s="74" t="s">
        <v>282</v>
      </c>
      <c r="D327" s="86">
        <f>IFERROR(VLOOKUP(C327, $C$2:D326, 2, FALSE), MAX($D$2:D326)+1)</f>
        <v>22</v>
      </c>
      <c r="E327" s="50">
        <v>77</v>
      </c>
      <c r="F327" s="14">
        <v>0</v>
      </c>
      <c r="G327" s="50">
        <v>0</v>
      </c>
      <c r="H327" s="50">
        <v>0</v>
      </c>
      <c r="I327" s="14">
        <v>0</v>
      </c>
      <c r="J327" s="50">
        <v>0</v>
      </c>
      <c r="K327" s="50">
        <v>22</v>
      </c>
      <c r="L327" s="14">
        <v>0</v>
      </c>
      <c r="M327" s="14">
        <v>0</v>
      </c>
      <c r="N327" s="50">
        <v>1</v>
      </c>
      <c r="O327" s="14">
        <v>1</v>
      </c>
      <c r="P327" s="14">
        <v>1</v>
      </c>
      <c r="Q327" s="13" t="s">
        <v>113</v>
      </c>
      <c r="R327" s="13" t="s">
        <v>113</v>
      </c>
      <c r="S327" s="13" t="s">
        <v>113</v>
      </c>
      <c r="T327" s="13" t="s">
        <v>113</v>
      </c>
      <c r="U327" s="13" t="s">
        <v>113</v>
      </c>
      <c r="V327" s="14">
        <v>1</v>
      </c>
      <c r="W327" s="13" t="s">
        <v>113</v>
      </c>
      <c r="X327" s="13" t="s">
        <v>113</v>
      </c>
      <c r="Y327" s="13" t="s">
        <v>113</v>
      </c>
      <c r="Z327" s="50">
        <v>65</v>
      </c>
      <c r="AA327" s="13" t="s">
        <v>113</v>
      </c>
      <c r="AB327" s="13" t="s">
        <v>113</v>
      </c>
      <c r="AC327" s="14">
        <v>503</v>
      </c>
      <c r="AD327" s="13" t="s">
        <v>113</v>
      </c>
      <c r="AE327" s="13" t="s">
        <v>113</v>
      </c>
      <c r="AF327" s="13" t="s">
        <v>113</v>
      </c>
      <c r="AG327" s="13" t="s">
        <v>113</v>
      </c>
      <c r="AH327" s="13" t="s">
        <v>113</v>
      </c>
      <c r="AI327" s="13" t="s">
        <v>113</v>
      </c>
      <c r="AJ327" s="13" t="s">
        <v>113</v>
      </c>
      <c r="AK327" s="13" t="s">
        <v>113</v>
      </c>
      <c r="AL327" s="13" t="s">
        <v>113</v>
      </c>
      <c r="AM327" s="13"/>
      <c r="AN327" s="13" t="s">
        <v>113</v>
      </c>
      <c r="AO327" s="13" t="s">
        <v>114</v>
      </c>
      <c r="AP327" s="14">
        <v>492</v>
      </c>
      <c r="AQ327" s="69" t="s">
        <v>100</v>
      </c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 spans="1:61" ht="16.5">
      <c r="A328" s="18">
        <v>12</v>
      </c>
      <c r="C328" s="74" t="s">
        <v>282</v>
      </c>
      <c r="D328" s="86">
        <f>IFERROR(VLOOKUP(C328, $C$2:D327, 2, FALSE), MAX($D$2:D327)+1)</f>
        <v>22</v>
      </c>
      <c r="E328" s="18">
        <v>77.78</v>
      </c>
      <c r="G328" s="18">
        <v>0</v>
      </c>
      <c r="H328" s="18">
        <v>0</v>
      </c>
      <c r="J328" s="18">
        <v>0</v>
      </c>
      <c r="K328" s="18">
        <v>16.66</v>
      </c>
      <c r="N328" s="18">
        <v>5.56</v>
      </c>
      <c r="Z328" s="18">
        <v>56</v>
      </c>
      <c r="AQ328" s="70" t="s">
        <v>59</v>
      </c>
    </row>
    <row r="329" spans="1:61" ht="16.5">
      <c r="A329" s="18">
        <v>39</v>
      </c>
      <c r="C329" s="74" t="s">
        <v>282</v>
      </c>
      <c r="D329" s="86">
        <f>IFERROR(VLOOKUP(C329, $C$2:D328, 2, FALSE), MAX($D$2:D328)+1)</f>
        <v>22</v>
      </c>
      <c r="E329" s="18">
        <v>62.8</v>
      </c>
      <c r="G329" s="18">
        <v>0</v>
      </c>
      <c r="H329" s="18">
        <v>0</v>
      </c>
      <c r="J329" s="18">
        <v>0</v>
      </c>
      <c r="K329" s="18">
        <v>26.2</v>
      </c>
      <c r="N329" s="18">
        <v>11</v>
      </c>
      <c r="Z329" s="18">
        <v>56</v>
      </c>
      <c r="AQ329" s="70" t="s">
        <v>59</v>
      </c>
    </row>
    <row r="330" spans="1:61" ht="16.5">
      <c r="A330" s="18">
        <v>67</v>
      </c>
      <c r="C330" s="74" t="s">
        <v>282</v>
      </c>
      <c r="D330" s="86">
        <f>IFERROR(VLOOKUP(C330, $C$2:D329, 2, FALSE), MAX($D$2:D329)+1)</f>
        <v>22</v>
      </c>
      <c r="E330" s="18">
        <v>80.7</v>
      </c>
      <c r="G330" s="18">
        <v>0</v>
      </c>
      <c r="H330" s="18">
        <v>0</v>
      </c>
      <c r="J330" s="18">
        <v>0</v>
      </c>
      <c r="K330" s="18">
        <v>18.34</v>
      </c>
      <c r="N330" s="18">
        <v>0.96</v>
      </c>
      <c r="Z330" s="18">
        <v>77.400000000000006</v>
      </c>
      <c r="AQ330" s="70" t="s">
        <v>59</v>
      </c>
    </row>
    <row r="331" spans="1:61" ht="16.5">
      <c r="A331" s="18">
        <v>68</v>
      </c>
      <c r="C331" s="74" t="s">
        <v>282</v>
      </c>
      <c r="D331" s="86">
        <f>IFERROR(VLOOKUP(C331, $C$2:D330, 2, FALSE), MAX($D$2:D330)+1)</f>
        <v>22</v>
      </c>
      <c r="E331" s="18">
        <v>79.45</v>
      </c>
      <c r="G331" s="18">
        <v>0</v>
      </c>
      <c r="H331" s="18">
        <v>0</v>
      </c>
      <c r="J331" s="18">
        <v>0</v>
      </c>
      <c r="K331" s="18">
        <v>18.61</v>
      </c>
      <c r="N331" s="18">
        <v>1.94</v>
      </c>
      <c r="Z331" s="18">
        <v>72.2</v>
      </c>
      <c r="AQ331" s="70" t="s">
        <v>59</v>
      </c>
    </row>
    <row r="332" spans="1:61" ht="16.5">
      <c r="A332" s="18">
        <v>69</v>
      </c>
      <c r="C332" s="74" t="s">
        <v>282</v>
      </c>
      <c r="D332" s="86">
        <f>IFERROR(VLOOKUP(C332, $C$2:D331, 2, FALSE), MAX($D$2:D331)+1)</f>
        <v>22</v>
      </c>
      <c r="E332" s="18">
        <v>78.17</v>
      </c>
      <c r="G332" s="18">
        <v>0</v>
      </c>
      <c r="H332" s="18">
        <v>0</v>
      </c>
      <c r="J332" s="18">
        <v>0</v>
      </c>
      <c r="K332" s="18">
        <v>18.88</v>
      </c>
      <c r="N332" s="18">
        <v>2.95</v>
      </c>
      <c r="Z332" s="18">
        <v>67</v>
      </c>
      <c r="AQ332" s="70" t="s">
        <v>59</v>
      </c>
    </row>
    <row r="333" spans="1:61" ht="16.5">
      <c r="A333" s="18">
        <v>70</v>
      </c>
      <c r="C333" s="74" t="s">
        <v>282</v>
      </c>
      <c r="D333" s="86">
        <f>IFERROR(VLOOKUP(C333, $C$2:D332, 2, FALSE), MAX($D$2:D332)+1)</f>
        <v>22</v>
      </c>
      <c r="E333" s="18">
        <v>76.84</v>
      </c>
      <c r="G333" s="18">
        <v>0</v>
      </c>
      <c r="H333" s="18">
        <v>0</v>
      </c>
      <c r="J333" s="18">
        <v>0</v>
      </c>
      <c r="K333" s="18">
        <v>19.16</v>
      </c>
      <c r="N333" s="18">
        <v>4</v>
      </c>
      <c r="Z333" s="18">
        <v>74</v>
      </c>
      <c r="AQ333" s="70" t="s">
        <v>59</v>
      </c>
    </row>
    <row r="334" spans="1:61" ht="16.5">
      <c r="A334" s="18">
        <v>71</v>
      </c>
      <c r="C334" s="74" t="s">
        <v>282</v>
      </c>
      <c r="D334" s="86">
        <f>IFERROR(VLOOKUP(C334, $C$2:D333, 2, FALSE), MAX($D$2:D333)+1)</f>
        <v>22</v>
      </c>
      <c r="E334" s="18">
        <v>75.48</v>
      </c>
      <c r="G334" s="18">
        <v>0</v>
      </c>
      <c r="H334" s="18">
        <v>0</v>
      </c>
      <c r="J334" s="18">
        <v>0</v>
      </c>
      <c r="K334" s="18">
        <v>19.45</v>
      </c>
      <c r="N334" s="18">
        <v>5.07</v>
      </c>
      <c r="Z334" s="18">
        <v>92</v>
      </c>
      <c r="AQ334" s="70" t="s">
        <v>59</v>
      </c>
    </row>
    <row r="335" spans="1:61" ht="16.5">
      <c r="A335" s="18">
        <v>88</v>
      </c>
      <c r="C335" s="74" t="s">
        <v>282</v>
      </c>
      <c r="D335" s="86">
        <f>IFERROR(VLOOKUP(C335, $C$2:D334, 2, FALSE), MAX($D$2:D334)+1)</f>
        <v>22</v>
      </c>
      <c r="E335" s="18">
        <v>75.64</v>
      </c>
      <c r="G335" s="18">
        <v>0</v>
      </c>
      <c r="H335" s="18">
        <v>0</v>
      </c>
      <c r="J335" s="18">
        <v>0</v>
      </c>
      <c r="K335" s="18">
        <v>22.36</v>
      </c>
      <c r="N335" s="18">
        <v>2</v>
      </c>
      <c r="Z335" s="18">
        <v>54.86</v>
      </c>
      <c r="AC335" s="19"/>
      <c r="AQ335" s="70" t="s">
        <v>59</v>
      </c>
    </row>
    <row r="336" spans="1:61" ht="16.5">
      <c r="A336" s="18">
        <v>135</v>
      </c>
      <c r="C336" s="74" t="s">
        <v>282</v>
      </c>
      <c r="D336" s="86">
        <f>IFERROR(VLOOKUP(C336, $C$2:D335, 2, FALSE), MAX($D$2:D335)+1)</f>
        <v>22</v>
      </c>
      <c r="E336" s="18">
        <v>45.74</v>
      </c>
      <c r="G336" s="18">
        <v>0</v>
      </c>
      <c r="H336" s="18">
        <v>0</v>
      </c>
      <c r="J336" s="18">
        <v>0</v>
      </c>
      <c r="K336" s="18">
        <v>49.72</v>
      </c>
      <c r="N336" s="18">
        <v>4.54</v>
      </c>
      <c r="Z336" s="18">
        <v>63.55</v>
      </c>
      <c r="AQ336" s="70" t="s">
        <v>59</v>
      </c>
    </row>
    <row r="337" spans="1:61" ht="16.5">
      <c r="A337" s="18">
        <v>160</v>
      </c>
      <c r="C337" s="74" t="s">
        <v>282</v>
      </c>
      <c r="D337" s="86">
        <f>IFERROR(VLOOKUP(C337, $C$2:D336, 2, FALSE), MAX($D$2:D336)+1)</f>
        <v>22</v>
      </c>
      <c r="E337" s="18">
        <v>78.709999999999994</v>
      </c>
      <c r="G337" s="18">
        <v>0</v>
      </c>
      <c r="H337" s="18">
        <v>0</v>
      </c>
      <c r="J337" s="18">
        <v>0</v>
      </c>
      <c r="K337" s="18">
        <v>15.84</v>
      </c>
      <c r="N337" s="18">
        <v>5.45</v>
      </c>
      <c r="Z337" s="18">
        <v>55</v>
      </c>
      <c r="AQ337" s="70" t="s">
        <v>59</v>
      </c>
    </row>
    <row r="338" spans="1:61" ht="16.5">
      <c r="A338" s="18">
        <v>170</v>
      </c>
      <c r="C338" s="74" t="s">
        <v>282</v>
      </c>
      <c r="D338" s="86">
        <f>IFERROR(VLOOKUP(C338, $C$2:D337, 2, FALSE), MAX($D$2:D337)+1)</f>
        <v>22</v>
      </c>
      <c r="E338" s="18">
        <v>79.349999999999994</v>
      </c>
      <c r="G338" s="18">
        <v>0</v>
      </c>
      <c r="H338" s="18">
        <v>0</v>
      </c>
      <c r="J338" s="18">
        <v>0</v>
      </c>
      <c r="K338" s="18">
        <v>15.73</v>
      </c>
      <c r="N338" s="18">
        <v>4.92</v>
      </c>
      <c r="Z338" s="18">
        <v>72</v>
      </c>
      <c r="AQ338" s="70" t="s">
        <v>59</v>
      </c>
    </row>
    <row r="339" spans="1:61" ht="16.5">
      <c r="A339" s="18">
        <v>171</v>
      </c>
      <c r="C339" s="74" t="s">
        <v>282</v>
      </c>
      <c r="D339" s="86">
        <f>IFERROR(VLOOKUP(C339, $C$2:D338, 2, FALSE), MAX($D$2:D338)+1)</f>
        <v>22</v>
      </c>
      <c r="E339" s="18">
        <v>80.62</v>
      </c>
      <c r="G339" s="18">
        <v>0</v>
      </c>
      <c r="H339" s="18">
        <v>0</v>
      </c>
      <c r="J339" s="18">
        <v>0</v>
      </c>
      <c r="K339" s="18">
        <v>15.5</v>
      </c>
      <c r="N339" s="18">
        <v>3.88</v>
      </c>
      <c r="Z339" s="18">
        <v>52</v>
      </c>
      <c r="AQ339" s="70" t="s">
        <v>59</v>
      </c>
    </row>
    <row r="340" spans="1:61" ht="16.5">
      <c r="A340" s="18">
        <v>174</v>
      </c>
      <c r="C340" s="74" t="s">
        <v>282</v>
      </c>
      <c r="D340" s="86">
        <f>IFERROR(VLOOKUP(C340, $C$2:D339, 2, FALSE), MAX($D$2:D339)+1)</f>
        <v>22</v>
      </c>
      <c r="E340" s="18">
        <v>79.989999999999995</v>
      </c>
      <c r="G340" s="18">
        <v>0</v>
      </c>
      <c r="H340" s="18">
        <v>0</v>
      </c>
      <c r="J340" s="18">
        <v>0</v>
      </c>
      <c r="K340" s="18">
        <v>15.61</v>
      </c>
      <c r="N340" s="18">
        <v>4.4000000000000004</v>
      </c>
      <c r="Z340" s="18">
        <v>53</v>
      </c>
      <c r="AQ340" s="70" t="s">
        <v>59</v>
      </c>
    </row>
    <row r="341" spans="1:61" ht="16.5">
      <c r="A341" s="18">
        <v>183</v>
      </c>
      <c r="C341" s="74" t="s">
        <v>282</v>
      </c>
      <c r="D341" s="86">
        <f>IFERROR(VLOOKUP(C341, $C$2:D340, 2, FALSE), MAX($D$2:D340)+1)</f>
        <v>22</v>
      </c>
      <c r="E341" s="18">
        <v>72.91</v>
      </c>
      <c r="G341" s="18">
        <v>0</v>
      </c>
      <c r="H341" s="18">
        <v>0</v>
      </c>
      <c r="J341" s="18">
        <v>0</v>
      </c>
      <c r="K341" s="18">
        <v>23.03</v>
      </c>
      <c r="N341" s="18">
        <v>4.0599999999999996</v>
      </c>
      <c r="Z341" s="18">
        <v>61</v>
      </c>
      <c r="AQ341" s="70" t="s">
        <v>59</v>
      </c>
    </row>
    <row r="342" spans="1:61" ht="16.5">
      <c r="A342" s="18">
        <v>184</v>
      </c>
      <c r="C342" s="74" t="s">
        <v>282</v>
      </c>
      <c r="D342" s="86">
        <f>IFERROR(VLOOKUP(C342, $C$2:D341, 2, FALSE), MAX($D$2:D341)+1)</f>
        <v>22</v>
      </c>
      <c r="E342" s="18">
        <v>76.98</v>
      </c>
      <c r="G342" s="18">
        <v>0</v>
      </c>
      <c r="H342" s="18">
        <v>0</v>
      </c>
      <c r="J342" s="18">
        <v>0</v>
      </c>
      <c r="K342" s="18">
        <v>22.03</v>
      </c>
      <c r="N342" s="18">
        <v>0.99</v>
      </c>
      <c r="Z342" s="18">
        <v>51</v>
      </c>
      <c r="AQ342" s="70" t="s">
        <v>59</v>
      </c>
    </row>
    <row r="343" spans="1:61" ht="16.5">
      <c r="A343" s="49">
        <v>331</v>
      </c>
      <c r="B343" s="13" t="s">
        <v>113</v>
      </c>
      <c r="C343" s="74" t="s">
        <v>293</v>
      </c>
      <c r="D343" s="86">
        <f>IFERROR(VLOOKUP(C343, $C$2:D342, 2, FALSE), MAX($D$2:D342)+1)</f>
        <v>23</v>
      </c>
      <c r="E343" s="50">
        <v>77.91</v>
      </c>
      <c r="F343" s="14">
        <v>0</v>
      </c>
      <c r="G343" s="50">
        <v>6.17</v>
      </c>
      <c r="H343" s="50">
        <v>0</v>
      </c>
      <c r="I343" s="14">
        <v>0</v>
      </c>
      <c r="J343" s="50">
        <v>0</v>
      </c>
      <c r="K343" s="50">
        <v>13.58</v>
      </c>
      <c r="L343" s="14">
        <v>0</v>
      </c>
      <c r="M343" s="14">
        <v>2.34</v>
      </c>
      <c r="N343" s="50">
        <v>0</v>
      </c>
      <c r="O343" s="14">
        <v>1</v>
      </c>
      <c r="P343" s="14">
        <v>1</v>
      </c>
      <c r="Q343" s="13" t="s">
        <v>113</v>
      </c>
      <c r="R343" s="13" t="s">
        <v>113</v>
      </c>
      <c r="S343" s="13" t="s">
        <v>113</v>
      </c>
      <c r="T343" s="13" t="s">
        <v>113</v>
      </c>
      <c r="U343" s="13" t="s">
        <v>113</v>
      </c>
      <c r="V343" s="13">
        <v>1</v>
      </c>
      <c r="W343" s="13" t="s">
        <v>113</v>
      </c>
      <c r="X343" s="13" t="s">
        <v>113</v>
      </c>
      <c r="Y343" s="13" t="s">
        <v>113</v>
      </c>
      <c r="Z343" s="50">
        <v>79</v>
      </c>
      <c r="AA343" s="13" t="s">
        <v>113</v>
      </c>
      <c r="AB343" s="13" t="s">
        <v>113</v>
      </c>
      <c r="AC343" s="14">
        <v>782</v>
      </c>
      <c r="AD343" s="13" t="s">
        <v>113</v>
      </c>
      <c r="AE343" s="13" t="s">
        <v>113</v>
      </c>
      <c r="AF343" s="13" t="s">
        <v>113</v>
      </c>
      <c r="AG343" s="13" t="s">
        <v>113</v>
      </c>
      <c r="AH343" s="13" t="s">
        <v>113</v>
      </c>
      <c r="AI343" s="13" t="s">
        <v>113</v>
      </c>
      <c r="AJ343" s="13" t="s">
        <v>113</v>
      </c>
      <c r="AK343" s="13" t="s">
        <v>113</v>
      </c>
      <c r="AL343" s="13" t="s">
        <v>113</v>
      </c>
      <c r="AM343" s="13"/>
      <c r="AN343" s="13" t="s">
        <v>113</v>
      </c>
      <c r="AO343" s="13" t="s">
        <v>174</v>
      </c>
      <c r="AP343" s="14">
        <v>331</v>
      </c>
      <c r="AQ343" s="69" t="s">
        <v>100</v>
      </c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 spans="1:61" ht="16.5">
      <c r="A344" s="49">
        <v>332</v>
      </c>
      <c r="B344" s="13" t="s">
        <v>113</v>
      </c>
      <c r="C344" s="74" t="s">
        <v>293</v>
      </c>
      <c r="D344" s="86">
        <f>IFERROR(VLOOKUP(C344, $C$2:D343, 2, FALSE), MAX($D$2:D343)+1)</f>
        <v>23</v>
      </c>
      <c r="E344" s="50">
        <v>75.75</v>
      </c>
      <c r="F344" s="14">
        <v>0</v>
      </c>
      <c r="G344" s="50">
        <v>6.370000000000001</v>
      </c>
      <c r="H344" s="50">
        <v>0</v>
      </c>
      <c r="I344" s="14">
        <v>0</v>
      </c>
      <c r="J344" s="50">
        <v>0</v>
      </c>
      <c r="K344" s="50">
        <v>16.32</v>
      </c>
      <c r="L344" s="14">
        <v>0</v>
      </c>
      <c r="M344" s="14">
        <v>1.5599999999999998</v>
      </c>
      <c r="N344" s="50">
        <v>0</v>
      </c>
      <c r="O344" s="14">
        <v>1</v>
      </c>
      <c r="P344" s="14">
        <v>1</v>
      </c>
      <c r="Q344" s="13" t="s">
        <v>113</v>
      </c>
      <c r="R344" s="13" t="s">
        <v>113</v>
      </c>
      <c r="S344" s="13" t="s">
        <v>113</v>
      </c>
      <c r="T344" s="13" t="s">
        <v>113</v>
      </c>
      <c r="U344" s="13" t="s">
        <v>113</v>
      </c>
      <c r="V344" s="13">
        <v>1</v>
      </c>
      <c r="W344" s="13" t="s">
        <v>113</v>
      </c>
      <c r="X344" s="13" t="s">
        <v>113</v>
      </c>
      <c r="Y344" s="13" t="s">
        <v>113</v>
      </c>
      <c r="Z344" s="50">
        <v>78</v>
      </c>
      <c r="AA344" s="13" t="s">
        <v>113</v>
      </c>
      <c r="AB344" s="13" t="s">
        <v>113</v>
      </c>
      <c r="AC344" s="14">
        <v>735</v>
      </c>
      <c r="AD344" s="13" t="s">
        <v>113</v>
      </c>
      <c r="AE344" s="13" t="s">
        <v>113</v>
      </c>
      <c r="AF344" s="13" t="s">
        <v>113</v>
      </c>
      <c r="AG344" s="13" t="s">
        <v>113</v>
      </c>
      <c r="AH344" s="13" t="s">
        <v>113</v>
      </c>
      <c r="AI344" s="13" t="s">
        <v>113</v>
      </c>
      <c r="AJ344" s="13" t="s">
        <v>113</v>
      </c>
      <c r="AK344" s="13" t="s">
        <v>113</v>
      </c>
      <c r="AL344" s="13" t="s">
        <v>113</v>
      </c>
      <c r="AM344" s="13"/>
      <c r="AN344" s="13" t="s">
        <v>113</v>
      </c>
      <c r="AO344" s="13" t="s">
        <v>174</v>
      </c>
      <c r="AP344" s="14">
        <v>332</v>
      </c>
      <c r="AQ344" s="69" t="s">
        <v>100</v>
      </c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</row>
    <row r="345" spans="1:61" ht="16.5">
      <c r="A345" s="49">
        <v>333</v>
      </c>
      <c r="B345" s="13" t="s">
        <v>113</v>
      </c>
      <c r="C345" s="74" t="s">
        <v>293</v>
      </c>
      <c r="D345" s="86">
        <f>IFERROR(VLOOKUP(C345, $C$2:D344, 2, FALSE), MAX($D$2:D344)+1)</f>
        <v>23</v>
      </c>
      <c r="E345" s="50">
        <v>72.98</v>
      </c>
      <c r="F345" s="14">
        <v>0</v>
      </c>
      <c r="G345" s="50">
        <v>6.64</v>
      </c>
      <c r="H345" s="50">
        <v>0</v>
      </c>
      <c r="I345" s="14">
        <v>0</v>
      </c>
      <c r="J345" s="50">
        <v>0</v>
      </c>
      <c r="K345" s="50">
        <v>18.990000000000002</v>
      </c>
      <c r="L345" s="14">
        <v>0</v>
      </c>
      <c r="M345" s="14">
        <v>1.38</v>
      </c>
      <c r="N345" s="50">
        <v>0</v>
      </c>
      <c r="O345" s="14">
        <v>1</v>
      </c>
      <c r="P345" s="14">
        <v>1</v>
      </c>
      <c r="Q345" s="13" t="s">
        <v>113</v>
      </c>
      <c r="R345" s="13" t="s">
        <v>113</v>
      </c>
      <c r="S345" s="13" t="s">
        <v>113</v>
      </c>
      <c r="T345" s="13" t="s">
        <v>113</v>
      </c>
      <c r="U345" s="13" t="s">
        <v>113</v>
      </c>
      <c r="V345" s="13">
        <v>1</v>
      </c>
      <c r="W345" s="13" t="s">
        <v>113</v>
      </c>
      <c r="X345" s="13" t="s">
        <v>113</v>
      </c>
      <c r="Y345" s="13" t="s">
        <v>113</v>
      </c>
      <c r="Z345" s="50">
        <v>77</v>
      </c>
      <c r="AA345" s="13" t="s">
        <v>113</v>
      </c>
      <c r="AB345" s="13" t="s">
        <v>113</v>
      </c>
      <c r="AC345" s="14">
        <v>672</v>
      </c>
      <c r="AD345" s="13" t="s">
        <v>113</v>
      </c>
      <c r="AE345" s="13" t="s">
        <v>113</v>
      </c>
      <c r="AF345" s="13" t="s">
        <v>113</v>
      </c>
      <c r="AG345" s="13" t="s">
        <v>113</v>
      </c>
      <c r="AH345" s="13" t="s">
        <v>113</v>
      </c>
      <c r="AI345" s="13" t="s">
        <v>113</v>
      </c>
      <c r="AJ345" s="13" t="s">
        <v>113</v>
      </c>
      <c r="AK345" s="13" t="s">
        <v>113</v>
      </c>
      <c r="AL345" s="13" t="s">
        <v>113</v>
      </c>
      <c r="AM345" s="13"/>
      <c r="AN345" s="13" t="s">
        <v>113</v>
      </c>
      <c r="AO345" s="13" t="s">
        <v>174</v>
      </c>
      <c r="AP345" s="14">
        <v>333</v>
      </c>
      <c r="AQ345" s="69" t="s">
        <v>100</v>
      </c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 spans="1:61" ht="16.5">
      <c r="A346" s="49">
        <v>334</v>
      </c>
      <c r="B346" s="13" t="s">
        <v>113</v>
      </c>
      <c r="C346" s="74" t="s">
        <v>293</v>
      </c>
      <c r="D346" s="86">
        <f>IFERROR(VLOOKUP(C346, $C$2:D345, 2, FALSE), MAX($D$2:D345)+1)</f>
        <v>23</v>
      </c>
      <c r="E346" s="50">
        <v>86.22</v>
      </c>
      <c r="F346" s="14">
        <v>0</v>
      </c>
      <c r="G346" s="50">
        <v>4.1000000000000005</v>
      </c>
      <c r="H346" s="50">
        <v>0</v>
      </c>
      <c r="I346" s="14">
        <v>0</v>
      </c>
      <c r="J346" s="50">
        <v>0</v>
      </c>
      <c r="K346" s="50">
        <v>6.18</v>
      </c>
      <c r="L346" s="14">
        <v>0</v>
      </c>
      <c r="M346" s="14">
        <v>3.49</v>
      </c>
      <c r="N346" s="50">
        <v>0</v>
      </c>
      <c r="O346" s="14">
        <v>1</v>
      </c>
      <c r="P346" s="14">
        <v>1</v>
      </c>
      <c r="Q346" s="13" t="s">
        <v>113</v>
      </c>
      <c r="R346" s="13" t="s">
        <v>113</v>
      </c>
      <c r="S346" s="13" t="s">
        <v>113</v>
      </c>
      <c r="T346" s="13" t="s">
        <v>113</v>
      </c>
      <c r="U346" s="13" t="s">
        <v>113</v>
      </c>
      <c r="V346" s="13">
        <v>1</v>
      </c>
      <c r="W346" s="13" t="s">
        <v>113</v>
      </c>
      <c r="X346" s="13" t="s">
        <v>113</v>
      </c>
      <c r="Y346" s="13" t="s">
        <v>113</v>
      </c>
      <c r="Z346" s="50">
        <v>90</v>
      </c>
      <c r="AA346" s="13" t="s">
        <v>113</v>
      </c>
      <c r="AB346" s="13" t="s">
        <v>113</v>
      </c>
      <c r="AC346" s="14">
        <v>1011</v>
      </c>
      <c r="AD346" s="13" t="s">
        <v>113</v>
      </c>
      <c r="AE346" s="13" t="s">
        <v>113</v>
      </c>
      <c r="AF346" s="13" t="s">
        <v>113</v>
      </c>
      <c r="AG346" s="13" t="s">
        <v>113</v>
      </c>
      <c r="AH346" s="13" t="s">
        <v>113</v>
      </c>
      <c r="AI346" s="13" t="s">
        <v>113</v>
      </c>
      <c r="AJ346" s="13" t="s">
        <v>113</v>
      </c>
      <c r="AK346" s="13" t="s">
        <v>113</v>
      </c>
      <c r="AL346" s="13" t="s">
        <v>113</v>
      </c>
      <c r="AM346" s="13"/>
      <c r="AN346" s="13" t="s">
        <v>113</v>
      </c>
      <c r="AO346" s="13" t="s">
        <v>174</v>
      </c>
      <c r="AP346" s="14">
        <v>334</v>
      </c>
      <c r="AQ346" s="69" t="s">
        <v>100</v>
      </c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</row>
    <row r="347" spans="1:61" ht="16.5">
      <c r="A347" s="49">
        <v>336</v>
      </c>
      <c r="B347" s="13" t="s">
        <v>113</v>
      </c>
      <c r="C347" s="74" t="s">
        <v>293</v>
      </c>
      <c r="D347" s="86">
        <f>IFERROR(VLOOKUP(C347, $C$2:D346, 2, FALSE), MAX($D$2:D346)+1)</f>
        <v>23</v>
      </c>
      <c r="E347" s="50">
        <v>79.739999999999995</v>
      </c>
      <c r="F347" s="14">
        <v>0</v>
      </c>
      <c r="G347" s="50">
        <v>6.1899999999999995</v>
      </c>
      <c r="H347" s="50">
        <v>0</v>
      </c>
      <c r="I347" s="14">
        <v>0</v>
      </c>
      <c r="J347" s="50">
        <v>0</v>
      </c>
      <c r="K347" s="50">
        <v>11.37</v>
      </c>
      <c r="L347" s="14">
        <v>0</v>
      </c>
      <c r="M347" s="14">
        <v>2.7</v>
      </c>
      <c r="N347" s="50">
        <v>0</v>
      </c>
      <c r="O347" s="14">
        <v>1</v>
      </c>
      <c r="P347" s="14">
        <v>1</v>
      </c>
      <c r="Q347" s="13" t="s">
        <v>113</v>
      </c>
      <c r="R347" s="13" t="s">
        <v>113</v>
      </c>
      <c r="S347" s="13" t="s">
        <v>113</v>
      </c>
      <c r="T347" s="13" t="s">
        <v>113</v>
      </c>
      <c r="U347" s="13" t="s">
        <v>113</v>
      </c>
      <c r="V347" s="13">
        <v>1</v>
      </c>
      <c r="W347" s="13" t="s">
        <v>113</v>
      </c>
      <c r="X347" s="13" t="s">
        <v>113</v>
      </c>
      <c r="Y347" s="13" t="s">
        <v>113</v>
      </c>
      <c r="Z347" s="50">
        <v>69</v>
      </c>
      <c r="AA347" s="13" t="s">
        <v>113</v>
      </c>
      <c r="AB347" s="13" t="s">
        <v>113</v>
      </c>
      <c r="AC347" s="14">
        <v>1027</v>
      </c>
      <c r="AD347" s="13" t="s">
        <v>113</v>
      </c>
      <c r="AE347" s="13" t="s">
        <v>113</v>
      </c>
      <c r="AF347" s="13" t="s">
        <v>113</v>
      </c>
      <c r="AG347" s="13" t="s">
        <v>113</v>
      </c>
      <c r="AH347" s="13" t="s">
        <v>113</v>
      </c>
      <c r="AI347" s="13" t="s">
        <v>113</v>
      </c>
      <c r="AJ347" s="13" t="s">
        <v>113</v>
      </c>
      <c r="AK347" s="13" t="s">
        <v>113</v>
      </c>
      <c r="AL347" s="13" t="s">
        <v>113</v>
      </c>
      <c r="AM347" s="13"/>
      <c r="AN347" s="13" t="s">
        <v>113</v>
      </c>
      <c r="AO347" s="13" t="s">
        <v>174</v>
      </c>
      <c r="AP347" s="14">
        <v>336</v>
      </c>
      <c r="AQ347" s="69" t="s">
        <v>100</v>
      </c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 spans="1:61" ht="16.5">
      <c r="A348" s="49">
        <v>359</v>
      </c>
      <c r="B348" s="13" t="s">
        <v>113</v>
      </c>
      <c r="C348" s="74" t="s">
        <v>293</v>
      </c>
      <c r="D348" s="86">
        <f>IFERROR(VLOOKUP(C348, $C$2:D347, 2, FALSE), MAX($D$2:D347)+1)</f>
        <v>23</v>
      </c>
      <c r="E348" s="50">
        <v>72.36</v>
      </c>
      <c r="F348" s="14">
        <v>0</v>
      </c>
      <c r="G348" s="50">
        <v>8.68</v>
      </c>
      <c r="H348" s="50">
        <v>0</v>
      </c>
      <c r="I348" s="14">
        <v>0</v>
      </c>
      <c r="J348" s="50">
        <v>0</v>
      </c>
      <c r="K348" s="50">
        <v>18.39</v>
      </c>
      <c r="L348" s="14">
        <v>0</v>
      </c>
      <c r="M348" s="14">
        <v>0.57000000000000006</v>
      </c>
      <c r="N348" s="50">
        <v>0</v>
      </c>
      <c r="O348" s="14">
        <v>1</v>
      </c>
      <c r="P348" s="14">
        <v>1</v>
      </c>
      <c r="Q348" s="13" t="s">
        <v>113</v>
      </c>
      <c r="R348" s="13" t="s">
        <v>113</v>
      </c>
      <c r="S348" s="13" t="s">
        <v>113</v>
      </c>
      <c r="T348" s="13" t="s">
        <v>113</v>
      </c>
      <c r="U348" s="13" t="s">
        <v>113</v>
      </c>
      <c r="V348" s="13">
        <v>1</v>
      </c>
      <c r="W348" s="13" t="s">
        <v>113</v>
      </c>
      <c r="X348" s="13" t="s">
        <v>113</v>
      </c>
      <c r="Y348" s="13" t="s">
        <v>113</v>
      </c>
      <c r="Z348" s="50">
        <v>58</v>
      </c>
      <c r="AA348" s="13" t="s">
        <v>113</v>
      </c>
      <c r="AB348" s="13" t="s">
        <v>113</v>
      </c>
      <c r="AC348" s="14">
        <v>780</v>
      </c>
      <c r="AD348" s="13" t="s">
        <v>113</v>
      </c>
      <c r="AE348" s="13" t="s">
        <v>113</v>
      </c>
      <c r="AF348" s="13" t="s">
        <v>113</v>
      </c>
      <c r="AG348" s="13" t="s">
        <v>113</v>
      </c>
      <c r="AH348" s="13" t="s">
        <v>113</v>
      </c>
      <c r="AI348" s="13" t="s">
        <v>113</v>
      </c>
      <c r="AJ348" s="13" t="s">
        <v>113</v>
      </c>
      <c r="AK348" s="13" t="s">
        <v>113</v>
      </c>
      <c r="AL348" s="13" t="s">
        <v>113</v>
      </c>
      <c r="AM348" s="13"/>
      <c r="AN348" s="13" t="s">
        <v>113</v>
      </c>
      <c r="AO348" s="13" t="s">
        <v>174</v>
      </c>
      <c r="AP348" s="14">
        <v>359</v>
      </c>
      <c r="AQ348" s="69" t="s">
        <v>100</v>
      </c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</row>
    <row r="349" spans="1:61" ht="16.5">
      <c r="A349" s="49">
        <v>360</v>
      </c>
      <c r="B349" s="13" t="s">
        <v>113</v>
      </c>
      <c r="C349" s="74" t="s">
        <v>293</v>
      </c>
      <c r="D349" s="86">
        <f>IFERROR(VLOOKUP(C349, $C$2:D348, 2, FALSE), MAX($D$2:D348)+1)</f>
        <v>23</v>
      </c>
      <c r="E349" s="50">
        <v>81.42</v>
      </c>
      <c r="F349" s="14">
        <v>0</v>
      </c>
      <c r="G349" s="50">
        <v>11.600000000000001</v>
      </c>
      <c r="H349" s="50">
        <v>0</v>
      </c>
      <c r="I349" s="14">
        <v>0</v>
      </c>
      <c r="J349" s="50">
        <v>0</v>
      </c>
      <c r="K349" s="50">
        <v>5.99</v>
      </c>
      <c r="L349" s="14">
        <v>0</v>
      </c>
      <c r="M349" s="14">
        <v>1</v>
      </c>
      <c r="N349" s="50">
        <v>0</v>
      </c>
      <c r="O349" s="14">
        <v>1</v>
      </c>
      <c r="P349" s="14">
        <v>1</v>
      </c>
      <c r="Q349" s="13" t="s">
        <v>113</v>
      </c>
      <c r="R349" s="13" t="s">
        <v>113</v>
      </c>
      <c r="S349" s="13" t="s">
        <v>113</v>
      </c>
      <c r="T349" s="13" t="s">
        <v>113</v>
      </c>
      <c r="U349" s="13" t="s">
        <v>113</v>
      </c>
      <c r="V349" s="13">
        <v>1</v>
      </c>
      <c r="W349" s="13" t="s">
        <v>113</v>
      </c>
      <c r="X349" s="13" t="s">
        <v>113</v>
      </c>
      <c r="Y349" s="13" t="s">
        <v>113</v>
      </c>
      <c r="Z349" s="50">
        <v>59</v>
      </c>
      <c r="AA349" s="13" t="s">
        <v>113</v>
      </c>
      <c r="AB349" s="13" t="s">
        <v>113</v>
      </c>
      <c r="AC349" s="14">
        <v>553</v>
      </c>
      <c r="AD349" s="13" t="s">
        <v>113</v>
      </c>
      <c r="AE349" s="13" t="s">
        <v>113</v>
      </c>
      <c r="AF349" s="13" t="s">
        <v>113</v>
      </c>
      <c r="AG349" s="13" t="s">
        <v>113</v>
      </c>
      <c r="AH349" s="13" t="s">
        <v>113</v>
      </c>
      <c r="AI349" s="13" t="s">
        <v>113</v>
      </c>
      <c r="AJ349" s="13" t="s">
        <v>113</v>
      </c>
      <c r="AK349" s="13" t="s">
        <v>113</v>
      </c>
      <c r="AL349" s="13" t="s">
        <v>113</v>
      </c>
      <c r="AM349" s="13"/>
      <c r="AN349" s="13" t="s">
        <v>113</v>
      </c>
      <c r="AO349" s="13" t="s">
        <v>174</v>
      </c>
      <c r="AP349" s="14">
        <v>360</v>
      </c>
      <c r="AQ349" s="69" t="s">
        <v>100</v>
      </c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 spans="1:61" ht="16.5">
      <c r="A350" s="49">
        <v>361</v>
      </c>
      <c r="B350" s="13" t="s">
        <v>113</v>
      </c>
      <c r="C350" s="74" t="s">
        <v>293</v>
      </c>
      <c r="D350" s="86">
        <f>IFERROR(VLOOKUP(C350, $C$2:D349, 2, FALSE), MAX($D$2:D349)+1)</f>
        <v>23</v>
      </c>
      <c r="E350" s="50">
        <v>74.48</v>
      </c>
      <c r="F350" s="14">
        <v>0</v>
      </c>
      <c r="G350" s="50">
        <v>4</v>
      </c>
      <c r="H350" s="50">
        <v>0</v>
      </c>
      <c r="I350" s="14">
        <v>0</v>
      </c>
      <c r="J350" s="50">
        <v>0</v>
      </c>
      <c r="K350" s="50">
        <v>20.04</v>
      </c>
      <c r="L350" s="14">
        <v>0</v>
      </c>
      <c r="M350" s="14">
        <v>1.47</v>
      </c>
      <c r="N350" s="50">
        <v>0</v>
      </c>
      <c r="O350" s="14">
        <v>1</v>
      </c>
      <c r="P350" s="14">
        <v>1</v>
      </c>
      <c r="Q350" s="13" t="s">
        <v>113</v>
      </c>
      <c r="R350" s="13" t="s">
        <v>113</v>
      </c>
      <c r="S350" s="13" t="s">
        <v>113</v>
      </c>
      <c r="T350" s="13" t="s">
        <v>113</v>
      </c>
      <c r="U350" s="13" t="s">
        <v>113</v>
      </c>
      <c r="V350" s="13">
        <v>1</v>
      </c>
      <c r="W350" s="13" t="s">
        <v>113</v>
      </c>
      <c r="X350" s="13" t="s">
        <v>113</v>
      </c>
      <c r="Y350" s="13" t="s">
        <v>113</v>
      </c>
      <c r="Z350" s="50">
        <v>62</v>
      </c>
      <c r="AA350" s="13" t="s">
        <v>113</v>
      </c>
      <c r="AB350" s="13" t="s">
        <v>113</v>
      </c>
      <c r="AC350" s="14">
        <v>1038</v>
      </c>
      <c r="AD350" s="13" t="s">
        <v>113</v>
      </c>
      <c r="AE350" s="13" t="s">
        <v>113</v>
      </c>
      <c r="AF350" s="13" t="s">
        <v>113</v>
      </c>
      <c r="AG350" s="13" t="s">
        <v>113</v>
      </c>
      <c r="AH350" s="13" t="s">
        <v>113</v>
      </c>
      <c r="AI350" s="13" t="s">
        <v>113</v>
      </c>
      <c r="AJ350" s="13" t="s">
        <v>113</v>
      </c>
      <c r="AK350" s="13" t="s">
        <v>113</v>
      </c>
      <c r="AL350" s="13" t="s">
        <v>113</v>
      </c>
      <c r="AM350" s="13"/>
      <c r="AN350" s="13" t="s">
        <v>113</v>
      </c>
      <c r="AO350" s="13" t="s">
        <v>174</v>
      </c>
      <c r="AP350" s="14">
        <v>361</v>
      </c>
      <c r="AQ350" s="69" t="s">
        <v>100</v>
      </c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</row>
    <row r="351" spans="1:61" ht="16.5">
      <c r="A351" s="49">
        <v>404</v>
      </c>
      <c r="B351" s="13" t="s">
        <v>113</v>
      </c>
      <c r="C351" s="74" t="s">
        <v>293</v>
      </c>
      <c r="D351" s="86">
        <f>IFERROR(VLOOKUP(C351, $C$2:D350, 2, FALSE), MAX($D$2:D350)+1)</f>
        <v>23</v>
      </c>
      <c r="E351" s="50">
        <v>65.86</v>
      </c>
      <c r="F351" s="14">
        <v>0</v>
      </c>
      <c r="G351" s="50">
        <v>17.39</v>
      </c>
      <c r="H351" s="50">
        <v>0</v>
      </c>
      <c r="I351" s="14">
        <v>0</v>
      </c>
      <c r="J351" s="50">
        <v>0</v>
      </c>
      <c r="K351" s="50">
        <v>16.64</v>
      </c>
      <c r="L351" s="14">
        <v>0</v>
      </c>
      <c r="M351" s="14">
        <v>0.1</v>
      </c>
      <c r="N351" s="50">
        <v>0</v>
      </c>
      <c r="O351" s="14">
        <v>1</v>
      </c>
      <c r="P351" s="14">
        <v>1</v>
      </c>
      <c r="Q351" s="13" t="s">
        <v>113</v>
      </c>
      <c r="R351" s="13" t="s">
        <v>113</v>
      </c>
      <c r="S351" s="13" t="s">
        <v>113</v>
      </c>
      <c r="T351" s="13" t="s">
        <v>113</v>
      </c>
      <c r="U351" s="13" t="s">
        <v>113</v>
      </c>
      <c r="V351" s="14">
        <v>2</v>
      </c>
      <c r="W351" s="13" t="s">
        <v>113</v>
      </c>
      <c r="X351" s="13" t="s">
        <v>113</v>
      </c>
      <c r="Y351" s="13" t="s">
        <v>113</v>
      </c>
      <c r="Z351" s="50">
        <v>70</v>
      </c>
      <c r="AA351" s="13" t="s">
        <v>113</v>
      </c>
      <c r="AB351" s="13" t="s">
        <v>113</v>
      </c>
      <c r="AC351" s="14">
        <v>480</v>
      </c>
      <c r="AD351" s="13" t="s">
        <v>113</v>
      </c>
      <c r="AE351" s="13" t="s">
        <v>113</v>
      </c>
      <c r="AF351" s="13" t="s">
        <v>113</v>
      </c>
      <c r="AG351" s="13" t="s">
        <v>113</v>
      </c>
      <c r="AH351" s="13" t="s">
        <v>113</v>
      </c>
      <c r="AI351" s="13" t="s">
        <v>113</v>
      </c>
      <c r="AJ351" s="13" t="s">
        <v>113</v>
      </c>
      <c r="AK351" s="13" t="s">
        <v>113</v>
      </c>
      <c r="AL351" s="13" t="s">
        <v>113</v>
      </c>
      <c r="AM351" s="13"/>
      <c r="AN351" s="13" t="s">
        <v>113</v>
      </c>
      <c r="AO351" s="13" t="s">
        <v>174</v>
      </c>
      <c r="AP351" s="14">
        <v>404</v>
      </c>
      <c r="AQ351" s="69" t="s">
        <v>100</v>
      </c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 spans="1:61" ht="16.5">
      <c r="A352" s="49">
        <v>500</v>
      </c>
      <c r="B352" s="13" t="s">
        <v>113</v>
      </c>
      <c r="C352" s="74" t="s">
        <v>293</v>
      </c>
      <c r="D352" s="86">
        <f>IFERROR(VLOOKUP(C352, $C$2:D351, 2, FALSE), MAX($D$2:D351)+1)</f>
        <v>23</v>
      </c>
      <c r="E352" s="50">
        <v>71.930000000000007</v>
      </c>
      <c r="F352" s="14">
        <v>0</v>
      </c>
      <c r="G352" s="50">
        <v>5</v>
      </c>
      <c r="H352" s="50">
        <v>0</v>
      </c>
      <c r="I352" s="14">
        <v>0</v>
      </c>
      <c r="J352" s="50">
        <v>0</v>
      </c>
      <c r="K352" s="50">
        <v>22.1</v>
      </c>
      <c r="L352" s="14">
        <v>0</v>
      </c>
      <c r="M352" s="14">
        <v>0.97</v>
      </c>
      <c r="N352" s="50">
        <v>0</v>
      </c>
      <c r="O352" s="14">
        <v>1</v>
      </c>
      <c r="P352" s="14">
        <v>1</v>
      </c>
      <c r="Q352" s="13" t="s">
        <v>113</v>
      </c>
      <c r="R352" s="13" t="s">
        <v>113</v>
      </c>
      <c r="S352" s="13" t="s">
        <v>113</v>
      </c>
      <c r="T352" s="13" t="s">
        <v>113</v>
      </c>
      <c r="U352" s="13" t="s">
        <v>113</v>
      </c>
      <c r="V352" s="14">
        <v>1</v>
      </c>
      <c r="W352" s="13" t="s">
        <v>113</v>
      </c>
      <c r="X352" s="13" t="s">
        <v>113</v>
      </c>
      <c r="Y352" s="13" t="s">
        <v>113</v>
      </c>
      <c r="Z352" s="50">
        <v>49</v>
      </c>
      <c r="AA352" s="13" t="s">
        <v>113</v>
      </c>
      <c r="AB352" s="13" t="s">
        <v>113</v>
      </c>
      <c r="AC352" s="14">
        <v>552</v>
      </c>
      <c r="AD352" s="13" t="s">
        <v>113</v>
      </c>
      <c r="AE352" s="13" t="s">
        <v>113</v>
      </c>
      <c r="AF352" s="13" t="s">
        <v>113</v>
      </c>
      <c r="AG352" s="13" t="s">
        <v>113</v>
      </c>
      <c r="AH352" s="13" t="s">
        <v>113</v>
      </c>
      <c r="AI352" s="13" t="s">
        <v>113</v>
      </c>
      <c r="AJ352" s="13" t="s">
        <v>113</v>
      </c>
      <c r="AK352" s="13" t="s">
        <v>113</v>
      </c>
      <c r="AL352" s="13" t="s">
        <v>113</v>
      </c>
      <c r="AM352" s="13"/>
      <c r="AN352" s="13" t="s">
        <v>113</v>
      </c>
      <c r="AO352" s="13" t="s">
        <v>174</v>
      </c>
      <c r="AP352" s="14">
        <v>500</v>
      </c>
      <c r="AQ352" s="69" t="s">
        <v>100</v>
      </c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</row>
    <row r="353" spans="1:61" ht="16.5">
      <c r="A353" s="49">
        <v>348</v>
      </c>
      <c r="B353" s="13" t="s">
        <v>113</v>
      </c>
      <c r="C353" s="74" t="s">
        <v>294</v>
      </c>
      <c r="D353" s="86">
        <f>IFERROR(VLOOKUP(C353, $C$2:D352, 2, FALSE), MAX($D$2:D352)+1)</f>
        <v>24</v>
      </c>
      <c r="E353" s="50">
        <v>94.64</v>
      </c>
      <c r="F353" s="14">
        <v>0</v>
      </c>
      <c r="G353" s="50">
        <v>0</v>
      </c>
      <c r="H353" s="50">
        <v>0</v>
      </c>
      <c r="I353" s="14">
        <v>0</v>
      </c>
      <c r="J353" s="50">
        <v>2.08</v>
      </c>
      <c r="K353" s="50">
        <v>0</v>
      </c>
      <c r="L353" s="14">
        <v>0</v>
      </c>
      <c r="M353" s="14">
        <v>3.2800000000000002</v>
      </c>
      <c r="N353" s="50">
        <v>0</v>
      </c>
      <c r="O353" s="14">
        <v>1</v>
      </c>
      <c r="P353" s="14">
        <v>1</v>
      </c>
      <c r="Q353" s="13" t="s">
        <v>113</v>
      </c>
      <c r="R353" s="13" t="s">
        <v>113</v>
      </c>
      <c r="S353" s="13" t="s">
        <v>113</v>
      </c>
      <c r="T353" s="13" t="s">
        <v>113</v>
      </c>
      <c r="U353" s="13" t="s">
        <v>113</v>
      </c>
      <c r="V353" s="13">
        <v>1</v>
      </c>
      <c r="W353" s="13" t="s">
        <v>113</v>
      </c>
      <c r="X353" s="13" t="s">
        <v>113</v>
      </c>
      <c r="Y353" s="13" t="s">
        <v>113</v>
      </c>
      <c r="Z353" s="50">
        <v>110</v>
      </c>
      <c r="AA353" s="13" t="s">
        <v>113</v>
      </c>
      <c r="AB353" s="13" t="s">
        <v>113</v>
      </c>
      <c r="AC353" s="14">
        <v>1250</v>
      </c>
      <c r="AD353" s="13" t="s">
        <v>113</v>
      </c>
      <c r="AE353" s="13" t="s">
        <v>113</v>
      </c>
      <c r="AF353" s="13" t="s">
        <v>113</v>
      </c>
      <c r="AG353" s="13" t="s">
        <v>113</v>
      </c>
      <c r="AH353" s="13" t="s">
        <v>113</v>
      </c>
      <c r="AI353" s="13" t="s">
        <v>113</v>
      </c>
      <c r="AJ353" s="13" t="s">
        <v>113</v>
      </c>
      <c r="AK353" s="13" t="s">
        <v>113</v>
      </c>
      <c r="AL353" s="13" t="s">
        <v>113</v>
      </c>
      <c r="AM353" s="13"/>
      <c r="AN353" s="13" t="s">
        <v>113</v>
      </c>
      <c r="AO353" s="13" t="s">
        <v>174</v>
      </c>
      <c r="AP353" s="14">
        <v>348</v>
      </c>
      <c r="AQ353" s="69" t="s">
        <v>100</v>
      </c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 spans="1:61" ht="16.5">
      <c r="A354" s="49">
        <v>349</v>
      </c>
      <c r="B354" s="13" t="s">
        <v>113</v>
      </c>
      <c r="C354" s="74" t="s">
        <v>294</v>
      </c>
      <c r="D354" s="86">
        <f>IFERROR(VLOOKUP(C354, $C$2:D353, 2, FALSE), MAX($D$2:D353)+1)</f>
        <v>24</v>
      </c>
      <c r="E354" s="50">
        <v>93.820000000000007</v>
      </c>
      <c r="F354" s="14">
        <v>0</v>
      </c>
      <c r="G354" s="50">
        <v>0</v>
      </c>
      <c r="H354" s="50">
        <v>0</v>
      </c>
      <c r="I354" s="14">
        <v>0</v>
      </c>
      <c r="J354" s="50">
        <v>2.75</v>
      </c>
      <c r="K354" s="50">
        <v>0</v>
      </c>
      <c r="L354" s="14">
        <v>0</v>
      </c>
      <c r="M354" s="14">
        <v>3.4299999999999997</v>
      </c>
      <c r="N354" s="50">
        <v>0</v>
      </c>
      <c r="O354" s="14">
        <v>1</v>
      </c>
      <c r="P354" s="14">
        <v>1</v>
      </c>
      <c r="Q354" s="13" t="s">
        <v>113</v>
      </c>
      <c r="R354" s="13" t="s">
        <v>113</v>
      </c>
      <c r="S354" s="13" t="s">
        <v>113</v>
      </c>
      <c r="T354" s="13" t="s">
        <v>113</v>
      </c>
      <c r="U354" s="13" t="s">
        <v>113</v>
      </c>
      <c r="V354" s="13">
        <v>1</v>
      </c>
      <c r="W354" s="13" t="s">
        <v>113</v>
      </c>
      <c r="X354" s="13" t="s">
        <v>113</v>
      </c>
      <c r="Y354" s="13" t="s">
        <v>113</v>
      </c>
      <c r="Z354" s="50">
        <v>121</v>
      </c>
      <c r="AA354" s="13" t="s">
        <v>113</v>
      </c>
      <c r="AB354" s="13" t="s">
        <v>113</v>
      </c>
      <c r="AC354" s="14">
        <v>1360</v>
      </c>
      <c r="AD354" s="13" t="s">
        <v>113</v>
      </c>
      <c r="AE354" s="13" t="s">
        <v>113</v>
      </c>
      <c r="AF354" s="13" t="s">
        <v>113</v>
      </c>
      <c r="AG354" s="13" t="s">
        <v>113</v>
      </c>
      <c r="AH354" s="13" t="s">
        <v>113</v>
      </c>
      <c r="AI354" s="13" t="s">
        <v>113</v>
      </c>
      <c r="AJ354" s="13" t="s">
        <v>113</v>
      </c>
      <c r="AK354" s="13" t="s">
        <v>113</v>
      </c>
      <c r="AL354" s="13" t="s">
        <v>113</v>
      </c>
      <c r="AM354" s="13"/>
      <c r="AN354" s="13" t="s">
        <v>113</v>
      </c>
      <c r="AO354" s="13" t="s">
        <v>174</v>
      </c>
      <c r="AP354" s="14">
        <v>349</v>
      </c>
      <c r="AQ354" s="69" t="s">
        <v>100</v>
      </c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</row>
    <row r="355" spans="1:61" ht="16.5">
      <c r="A355" s="35">
        <v>406</v>
      </c>
      <c r="B355" s="66" t="s">
        <v>113</v>
      </c>
      <c r="C355" s="74" t="s">
        <v>294</v>
      </c>
      <c r="D355" s="86">
        <f>IFERROR(VLOOKUP(C355, $C$2:D354, 2, FALSE), MAX($D$2:D354)+1)</f>
        <v>24</v>
      </c>
      <c r="E355" s="36">
        <v>91.41</v>
      </c>
      <c r="F355" s="67">
        <v>0</v>
      </c>
      <c r="G355" s="36">
        <v>0</v>
      </c>
      <c r="H355" s="36">
        <v>0</v>
      </c>
      <c r="I355" s="67">
        <v>0</v>
      </c>
      <c r="J355" s="36">
        <v>1.39</v>
      </c>
      <c r="K355" s="36">
        <v>0</v>
      </c>
      <c r="L355" s="67">
        <v>0</v>
      </c>
      <c r="M355" s="67">
        <v>7.1999999999999993</v>
      </c>
      <c r="N355" s="36">
        <v>0</v>
      </c>
      <c r="O355" s="67">
        <v>1</v>
      </c>
      <c r="P355" s="68" t="s">
        <v>173</v>
      </c>
      <c r="Q355" s="66">
        <v>0</v>
      </c>
      <c r="R355" s="66">
        <v>0</v>
      </c>
      <c r="S355" s="66">
        <v>0</v>
      </c>
      <c r="T355" s="66">
        <v>0</v>
      </c>
      <c r="U355" s="66">
        <v>0</v>
      </c>
      <c r="V355" s="66">
        <v>0</v>
      </c>
      <c r="W355" s="66">
        <v>0</v>
      </c>
      <c r="X355" s="66">
        <v>0</v>
      </c>
      <c r="Y355" s="66">
        <v>0</v>
      </c>
      <c r="Z355" s="36">
        <v>120</v>
      </c>
      <c r="AA355" s="66" t="s">
        <v>113</v>
      </c>
      <c r="AB355" s="66" t="s">
        <v>113</v>
      </c>
      <c r="AC355" s="67">
        <v>1103</v>
      </c>
      <c r="AD355" s="66" t="s">
        <v>113</v>
      </c>
      <c r="AE355" s="66" t="s">
        <v>113</v>
      </c>
      <c r="AF355" s="66" t="s">
        <v>113</v>
      </c>
      <c r="AG355" s="66" t="s">
        <v>113</v>
      </c>
      <c r="AH355" s="66" t="s">
        <v>113</v>
      </c>
      <c r="AI355" s="66" t="s">
        <v>113</v>
      </c>
      <c r="AJ355" s="66" t="s">
        <v>113</v>
      </c>
      <c r="AK355" s="66" t="s">
        <v>113</v>
      </c>
      <c r="AL355" s="66" t="s">
        <v>113</v>
      </c>
      <c r="AM355" s="66"/>
      <c r="AN355" s="66" t="s">
        <v>113</v>
      </c>
      <c r="AO355" s="66" t="s">
        <v>174</v>
      </c>
      <c r="AP355" s="67">
        <v>406</v>
      </c>
      <c r="AQ355" s="71" t="s">
        <v>100</v>
      </c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1:61" ht="16.5">
      <c r="A356" s="35">
        <v>407</v>
      </c>
      <c r="B356" s="66" t="s">
        <v>113</v>
      </c>
      <c r="C356" s="74" t="s">
        <v>294</v>
      </c>
      <c r="D356" s="86">
        <f>IFERROR(VLOOKUP(C356, $C$2:D355, 2, FALSE), MAX($D$2:D355)+1)</f>
        <v>24</v>
      </c>
      <c r="E356" s="36">
        <v>90.35</v>
      </c>
      <c r="F356" s="67">
        <v>0</v>
      </c>
      <c r="G356" s="36">
        <v>0</v>
      </c>
      <c r="H356" s="36">
        <v>0</v>
      </c>
      <c r="I356" s="67">
        <v>0</v>
      </c>
      <c r="J356" s="36">
        <v>2.2800000000000002</v>
      </c>
      <c r="K356" s="36">
        <v>0</v>
      </c>
      <c r="L356" s="67">
        <v>0</v>
      </c>
      <c r="M356" s="67">
        <v>7.3800000000000008</v>
      </c>
      <c r="N356" s="36">
        <v>0</v>
      </c>
      <c r="O356" s="67">
        <v>1</v>
      </c>
      <c r="P356" s="68" t="s">
        <v>173</v>
      </c>
      <c r="Q356" s="66">
        <v>0</v>
      </c>
      <c r="R356" s="66">
        <v>0</v>
      </c>
      <c r="S356" s="66">
        <v>0</v>
      </c>
      <c r="T356" s="66">
        <v>0</v>
      </c>
      <c r="U356" s="66">
        <v>0</v>
      </c>
      <c r="V356" s="66">
        <v>0</v>
      </c>
      <c r="W356" s="66">
        <v>0</v>
      </c>
      <c r="X356" s="66">
        <v>0</v>
      </c>
      <c r="Y356" s="66">
        <v>0</v>
      </c>
      <c r="Z356" s="36">
        <v>106</v>
      </c>
      <c r="AA356" s="66" t="s">
        <v>113</v>
      </c>
      <c r="AB356" s="66" t="s">
        <v>113</v>
      </c>
      <c r="AC356" s="67">
        <v>1050</v>
      </c>
      <c r="AD356" s="66" t="s">
        <v>113</v>
      </c>
      <c r="AE356" s="66" t="s">
        <v>113</v>
      </c>
      <c r="AF356" s="66" t="s">
        <v>113</v>
      </c>
      <c r="AG356" s="66" t="s">
        <v>113</v>
      </c>
      <c r="AH356" s="66" t="s">
        <v>113</v>
      </c>
      <c r="AI356" s="66" t="s">
        <v>113</v>
      </c>
      <c r="AJ356" s="66" t="s">
        <v>113</v>
      </c>
      <c r="AK356" s="66" t="s">
        <v>113</v>
      </c>
      <c r="AL356" s="66" t="s">
        <v>113</v>
      </c>
      <c r="AM356" s="66"/>
      <c r="AN356" s="66" t="s">
        <v>113</v>
      </c>
      <c r="AO356" s="66" t="s">
        <v>174</v>
      </c>
      <c r="AP356" s="67">
        <v>407</v>
      </c>
      <c r="AQ356" s="71" t="s">
        <v>100</v>
      </c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1:61" ht="16.5">
      <c r="A357" s="35">
        <v>408</v>
      </c>
      <c r="B357" s="66" t="s">
        <v>113</v>
      </c>
      <c r="C357" s="74" t="s">
        <v>294</v>
      </c>
      <c r="D357" s="86">
        <f>IFERROR(VLOOKUP(C357, $C$2:D356, 2, FALSE), MAX($D$2:D356)+1)</f>
        <v>24</v>
      </c>
      <c r="E357" s="36">
        <v>91.52</v>
      </c>
      <c r="F357" s="67">
        <v>0</v>
      </c>
      <c r="G357" s="36">
        <v>0</v>
      </c>
      <c r="H357" s="36">
        <v>0</v>
      </c>
      <c r="I357" s="67">
        <v>0</v>
      </c>
      <c r="J357" s="36">
        <v>0.54</v>
      </c>
      <c r="K357" s="36">
        <v>0</v>
      </c>
      <c r="L357" s="67">
        <v>0</v>
      </c>
      <c r="M357" s="67">
        <v>7.93</v>
      </c>
      <c r="N357" s="36">
        <v>0</v>
      </c>
      <c r="O357" s="67">
        <v>1</v>
      </c>
      <c r="P357" s="68" t="s">
        <v>173</v>
      </c>
      <c r="Q357" s="66">
        <v>0</v>
      </c>
      <c r="R357" s="66">
        <v>0</v>
      </c>
      <c r="S357" s="66">
        <v>0</v>
      </c>
      <c r="T357" s="66">
        <v>0</v>
      </c>
      <c r="U357" s="66">
        <v>0</v>
      </c>
      <c r="V357" s="66">
        <v>0</v>
      </c>
      <c r="W357" s="66">
        <v>0</v>
      </c>
      <c r="X357" s="66">
        <v>0</v>
      </c>
      <c r="Y357" s="66">
        <v>0</v>
      </c>
      <c r="Z357" s="36">
        <v>110</v>
      </c>
      <c r="AA357" s="66" t="s">
        <v>113</v>
      </c>
      <c r="AB357" s="66" t="s">
        <v>113</v>
      </c>
      <c r="AC357" s="67">
        <v>1143</v>
      </c>
      <c r="AD357" s="66" t="s">
        <v>113</v>
      </c>
      <c r="AE357" s="66" t="s">
        <v>113</v>
      </c>
      <c r="AF357" s="66" t="s">
        <v>113</v>
      </c>
      <c r="AG357" s="66" t="s">
        <v>113</v>
      </c>
      <c r="AH357" s="66" t="s">
        <v>113</v>
      </c>
      <c r="AI357" s="66" t="s">
        <v>113</v>
      </c>
      <c r="AJ357" s="66" t="s">
        <v>113</v>
      </c>
      <c r="AK357" s="66" t="s">
        <v>113</v>
      </c>
      <c r="AL357" s="66" t="s">
        <v>113</v>
      </c>
      <c r="AM357" s="66"/>
      <c r="AN357" s="66" t="s">
        <v>113</v>
      </c>
      <c r="AO357" s="66" t="s">
        <v>174</v>
      </c>
      <c r="AP357" s="67">
        <v>408</v>
      </c>
      <c r="AQ357" s="71" t="s">
        <v>100</v>
      </c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1:61" ht="16.5">
      <c r="A358" s="35">
        <v>409</v>
      </c>
      <c r="B358" s="66" t="s">
        <v>113</v>
      </c>
      <c r="C358" s="74" t="s">
        <v>294</v>
      </c>
      <c r="D358" s="86">
        <f>IFERROR(VLOOKUP(C358, $C$2:D357, 2, FALSE), MAX($D$2:D357)+1)</f>
        <v>24</v>
      </c>
      <c r="E358" s="36">
        <v>90.490000000000009</v>
      </c>
      <c r="F358" s="67">
        <v>0</v>
      </c>
      <c r="G358" s="36">
        <v>0</v>
      </c>
      <c r="H358" s="36">
        <v>0</v>
      </c>
      <c r="I358" s="67">
        <v>0</v>
      </c>
      <c r="J358" s="36">
        <v>1.39</v>
      </c>
      <c r="K358" s="36">
        <v>0</v>
      </c>
      <c r="L358" s="67">
        <v>0</v>
      </c>
      <c r="M358" s="67">
        <v>8.1199999999999992</v>
      </c>
      <c r="N358" s="36">
        <v>0</v>
      </c>
      <c r="O358" s="67">
        <v>1</v>
      </c>
      <c r="P358" s="68" t="s">
        <v>173</v>
      </c>
      <c r="Q358" s="66">
        <v>0</v>
      </c>
      <c r="R358" s="66">
        <v>0</v>
      </c>
      <c r="S358" s="66">
        <v>0</v>
      </c>
      <c r="T358" s="66">
        <v>0</v>
      </c>
      <c r="U358" s="66">
        <v>0</v>
      </c>
      <c r="V358" s="66">
        <v>0</v>
      </c>
      <c r="W358" s="66">
        <v>0</v>
      </c>
      <c r="X358" s="66">
        <v>0</v>
      </c>
      <c r="Y358" s="66">
        <v>0</v>
      </c>
      <c r="Z358" s="36">
        <v>103</v>
      </c>
      <c r="AA358" s="66" t="s">
        <v>113</v>
      </c>
      <c r="AB358" s="66" t="s">
        <v>113</v>
      </c>
      <c r="AC358" s="67">
        <v>1079</v>
      </c>
      <c r="AD358" s="66" t="s">
        <v>113</v>
      </c>
      <c r="AE358" s="66" t="s">
        <v>113</v>
      </c>
      <c r="AF358" s="66" t="s">
        <v>113</v>
      </c>
      <c r="AG358" s="66" t="s">
        <v>113</v>
      </c>
      <c r="AH358" s="66" t="s">
        <v>113</v>
      </c>
      <c r="AI358" s="66" t="s">
        <v>113</v>
      </c>
      <c r="AJ358" s="66" t="s">
        <v>113</v>
      </c>
      <c r="AK358" s="66" t="s">
        <v>113</v>
      </c>
      <c r="AL358" s="66" t="s">
        <v>113</v>
      </c>
      <c r="AM358" s="66"/>
      <c r="AN358" s="66" t="s">
        <v>113</v>
      </c>
      <c r="AO358" s="66" t="s">
        <v>174</v>
      </c>
      <c r="AP358" s="67">
        <v>409</v>
      </c>
      <c r="AQ358" s="71" t="s">
        <v>100</v>
      </c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1:61" ht="16.5">
      <c r="A359" s="35">
        <v>410</v>
      </c>
      <c r="B359" s="66" t="s">
        <v>113</v>
      </c>
      <c r="C359" s="74" t="s">
        <v>294</v>
      </c>
      <c r="D359" s="86">
        <f>IFERROR(VLOOKUP(C359, $C$2:D358, 2, FALSE), MAX($D$2:D358)+1)</f>
        <v>24</v>
      </c>
      <c r="E359" s="36">
        <v>89.039999999999992</v>
      </c>
      <c r="F359" s="67">
        <v>0</v>
      </c>
      <c r="G359" s="36">
        <v>0</v>
      </c>
      <c r="H359" s="36">
        <v>0</v>
      </c>
      <c r="I359" s="67">
        <v>0</v>
      </c>
      <c r="J359" s="36">
        <v>2.59</v>
      </c>
      <c r="K359" s="36">
        <v>0</v>
      </c>
      <c r="L359" s="67">
        <v>0</v>
      </c>
      <c r="M359" s="67">
        <v>8.3800000000000008</v>
      </c>
      <c r="N359" s="36">
        <v>0</v>
      </c>
      <c r="O359" s="67">
        <v>1</v>
      </c>
      <c r="P359" s="68" t="s">
        <v>173</v>
      </c>
      <c r="Q359" s="66">
        <v>0</v>
      </c>
      <c r="R359" s="66">
        <v>0</v>
      </c>
      <c r="S359" s="66">
        <v>0</v>
      </c>
      <c r="T359" s="66">
        <v>0</v>
      </c>
      <c r="U359" s="66">
        <v>0</v>
      </c>
      <c r="V359" s="66">
        <v>0</v>
      </c>
      <c r="W359" s="66">
        <v>0</v>
      </c>
      <c r="X359" s="66">
        <v>0</v>
      </c>
      <c r="Y359" s="66">
        <v>0</v>
      </c>
      <c r="Z359" s="36">
        <v>99</v>
      </c>
      <c r="AA359" s="66" t="s">
        <v>113</v>
      </c>
      <c r="AB359" s="66" t="s">
        <v>113</v>
      </c>
      <c r="AC359" s="67">
        <v>1016</v>
      </c>
      <c r="AD359" s="66" t="s">
        <v>113</v>
      </c>
      <c r="AE359" s="66" t="s">
        <v>113</v>
      </c>
      <c r="AF359" s="66" t="s">
        <v>113</v>
      </c>
      <c r="AG359" s="66" t="s">
        <v>113</v>
      </c>
      <c r="AH359" s="66" t="s">
        <v>113</v>
      </c>
      <c r="AI359" s="66" t="s">
        <v>113</v>
      </c>
      <c r="AJ359" s="66" t="s">
        <v>113</v>
      </c>
      <c r="AK359" s="66" t="s">
        <v>113</v>
      </c>
      <c r="AL359" s="66" t="s">
        <v>113</v>
      </c>
      <c r="AM359" s="66"/>
      <c r="AN359" s="66" t="s">
        <v>113</v>
      </c>
      <c r="AO359" s="66" t="s">
        <v>174</v>
      </c>
      <c r="AP359" s="67">
        <v>410</v>
      </c>
      <c r="AQ359" s="71" t="s">
        <v>100</v>
      </c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1:61" ht="16.5">
      <c r="A360" s="35">
        <v>411</v>
      </c>
      <c r="B360" s="66" t="s">
        <v>113</v>
      </c>
      <c r="C360" s="74" t="s">
        <v>294</v>
      </c>
      <c r="D360" s="86">
        <f>IFERROR(VLOOKUP(C360, $C$2:D359, 2, FALSE), MAX($D$2:D359)+1)</f>
        <v>24</v>
      </c>
      <c r="E360" s="36">
        <v>87.7</v>
      </c>
      <c r="F360" s="67">
        <v>0</v>
      </c>
      <c r="G360" s="36">
        <v>0</v>
      </c>
      <c r="H360" s="36">
        <v>0</v>
      </c>
      <c r="I360" s="67">
        <v>0</v>
      </c>
      <c r="J360" s="36">
        <v>2.9000000000000004</v>
      </c>
      <c r="K360" s="36">
        <v>0</v>
      </c>
      <c r="L360" s="67">
        <v>0</v>
      </c>
      <c r="M360" s="67">
        <v>9.4</v>
      </c>
      <c r="N360" s="36">
        <v>0</v>
      </c>
      <c r="O360" s="67">
        <v>1</v>
      </c>
      <c r="P360" s="68" t="s">
        <v>173</v>
      </c>
      <c r="Q360" s="66">
        <v>0</v>
      </c>
      <c r="R360" s="66">
        <v>0</v>
      </c>
      <c r="S360" s="66">
        <v>0</v>
      </c>
      <c r="T360" s="66">
        <v>0</v>
      </c>
      <c r="U360" s="66">
        <v>0</v>
      </c>
      <c r="V360" s="66">
        <v>0</v>
      </c>
      <c r="W360" s="66">
        <v>0</v>
      </c>
      <c r="X360" s="66">
        <v>0</v>
      </c>
      <c r="Y360" s="66">
        <v>0</v>
      </c>
      <c r="Z360" s="36">
        <v>92</v>
      </c>
      <c r="AA360" s="66" t="s">
        <v>113</v>
      </c>
      <c r="AB360" s="66" t="s">
        <v>113</v>
      </c>
      <c r="AC360" s="67">
        <v>1008</v>
      </c>
      <c r="AD360" s="66" t="s">
        <v>113</v>
      </c>
      <c r="AE360" s="66" t="s">
        <v>113</v>
      </c>
      <c r="AF360" s="66" t="s">
        <v>113</v>
      </c>
      <c r="AG360" s="66" t="s">
        <v>113</v>
      </c>
      <c r="AH360" s="66" t="s">
        <v>113</v>
      </c>
      <c r="AI360" s="66" t="s">
        <v>113</v>
      </c>
      <c r="AJ360" s="66" t="s">
        <v>113</v>
      </c>
      <c r="AK360" s="66" t="s">
        <v>113</v>
      </c>
      <c r="AL360" s="66" t="s">
        <v>113</v>
      </c>
      <c r="AM360" s="66"/>
      <c r="AN360" s="66" t="s">
        <v>113</v>
      </c>
      <c r="AO360" s="66" t="s">
        <v>174</v>
      </c>
      <c r="AP360" s="67">
        <v>411</v>
      </c>
      <c r="AQ360" s="71" t="s">
        <v>100</v>
      </c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1:61" ht="16.5">
      <c r="A361" s="49">
        <v>350</v>
      </c>
      <c r="B361" s="13" t="s">
        <v>113</v>
      </c>
      <c r="C361" s="74" t="s">
        <v>281</v>
      </c>
      <c r="D361" s="86">
        <f>IFERROR(VLOOKUP(C361, $C$2:D360, 2, FALSE), MAX($D$2:D360)+1)</f>
        <v>25</v>
      </c>
      <c r="E361" s="50">
        <v>89.84</v>
      </c>
      <c r="F361" s="14">
        <v>0</v>
      </c>
      <c r="G361" s="50">
        <v>0</v>
      </c>
      <c r="H361" s="50">
        <v>7.24</v>
      </c>
      <c r="I361" s="14">
        <v>0</v>
      </c>
      <c r="J361" s="50">
        <v>0</v>
      </c>
      <c r="K361" s="50">
        <v>0</v>
      </c>
      <c r="L361" s="14">
        <v>0</v>
      </c>
      <c r="M361" s="14">
        <v>0</v>
      </c>
      <c r="N361" s="50">
        <v>2.92</v>
      </c>
      <c r="O361" s="14">
        <v>1</v>
      </c>
      <c r="P361" s="14">
        <v>1</v>
      </c>
      <c r="Q361" s="13" t="s">
        <v>113</v>
      </c>
      <c r="R361" s="13" t="s">
        <v>113</v>
      </c>
      <c r="S361" s="13" t="s">
        <v>113</v>
      </c>
      <c r="T361" s="13" t="s">
        <v>113</v>
      </c>
      <c r="U361" s="13" t="s">
        <v>113</v>
      </c>
      <c r="V361" s="13">
        <v>1</v>
      </c>
      <c r="W361" s="13" t="s">
        <v>113</v>
      </c>
      <c r="X361" s="13" t="s">
        <v>113</v>
      </c>
      <c r="Y361" s="13" t="s">
        <v>113</v>
      </c>
      <c r="Z361" s="50">
        <v>66</v>
      </c>
      <c r="AA361" s="13" t="s">
        <v>113</v>
      </c>
      <c r="AB361" s="13" t="s">
        <v>113</v>
      </c>
      <c r="AC361" s="14">
        <v>650</v>
      </c>
      <c r="AD361" s="13" t="s">
        <v>113</v>
      </c>
      <c r="AE361" s="13" t="s">
        <v>113</v>
      </c>
      <c r="AF361" s="13" t="s">
        <v>113</v>
      </c>
      <c r="AG361" s="13" t="s">
        <v>113</v>
      </c>
      <c r="AH361" s="13" t="s">
        <v>113</v>
      </c>
      <c r="AI361" s="13" t="s">
        <v>113</v>
      </c>
      <c r="AJ361" s="13" t="s">
        <v>113</v>
      </c>
      <c r="AK361" s="13" t="s">
        <v>113</v>
      </c>
      <c r="AL361" s="13" t="s">
        <v>113</v>
      </c>
      <c r="AM361" s="13"/>
      <c r="AN361" s="13" t="s">
        <v>113</v>
      </c>
      <c r="AO361" s="13" t="s">
        <v>174</v>
      </c>
      <c r="AP361" s="14">
        <v>350</v>
      </c>
      <c r="AQ361" s="69" t="s">
        <v>100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 spans="1:61" ht="16.5">
      <c r="A362" s="49">
        <v>352</v>
      </c>
      <c r="B362" s="13" t="s">
        <v>113</v>
      </c>
      <c r="C362" s="74" t="s">
        <v>281</v>
      </c>
      <c r="D362" s="86">
        <f>IFERROR(VLOOKUP(C362, $C$2:D361, 2, FALSE), MAX($D$2:D361)+1)</f>
        <v>25</v>
      </c>
      <c r="E362" s="50">
        <v>94.36</v>
      </c>
      <c r="F362" s="14">
        <v>0</v>
      </c>
      <c r="G362" s="50">
        <v>0</v>
      </c>
      <c r="H362" s="50">
        <v>4.87</v>
      </c>
      <c r="I362" s="14">
        <v>0</v>
      </c>
      <c r="J362" s="50">
        <v>0</v>
      </c>
      <c r="K362" s="50">
        <v>0</v>
      </c>
      <c r="L362" s="14">
        <v>0</v>
      </c>
      <c r="M362" s="14">
        <v>0</v>
      </c>
      <c r="N362" s="50">
        <v>0.77</v>
      </c>
      <c r="O362" s="14">
        <v>1</v>
      </c>
      <c r="P362" s="14">
        <v>1</v>
      </c>
      <c r="Q362" s="13" t="s">
        <v>113</v>
      </c>
      <c r="R362" s="13" t="s">
        <v>113</v>
      </c>
      <c r="S362" s="13" t="s">
        <v>113</v>
      </c>
      <c r="T362" s="13" t="s">
        <v>113</v>
      </c>
      <c r="U362" s="13" t="s">
        <v>113</v>
      </c>
      <c r="V362" s="13">
        <v>1</v>
      </c>
      <c r="W362" s="13" t="s">
        <v>113</v>
      </c>
      <c r="X362" s="13" t="s">
        <v>113</v>
      </c>
      <c r="Y362" s="13" t="s">
        <v>113</v>
      </c>
      <c r="Z362" s="50">
        <v>89</v>
      </c>
      <c r="AA362" s="13" t="s">
        <v>113</v>
      </c>
      <c r="AB362" s="13" t="s">
        <v>113</v>
      </c>
      <c r="AC362" s="14">
        <v>511</v>
      </c>
      <c r="AD362" s="13" t="s">
        <v>113</v>
      </c>
      <c r="AE362" s="13" t="s">
        <v>113</v>
      </c>
      <c r="AF362" s="13" t="s">
        <v>113</v>
      </c>
      <c r="AG362" s="13" t="s">
        <v>113</v>
      </c>
      <c r="AH362" s="13" t="s">
        <v>113</v>
      </c>
      <c r="AI362" s="13" t="s">
        <v>113</v>
      </c>
      <c r="AJ362" s="13" t="s">
        <v>113</v>
      </c>
      <c r="AK362" s="13" t="s">
        <v>113</v>
      </c>
      <c r="AL362" s="13" t="s">
        <v>113</v>
      </c>
      <c r="AM362" s="13"/>
      <c r="AN362" s="13" t="s">
        <v>113</v>
      </c>
      <c r="AO362" s="13" t="s">
        <v>174</v>
      </c>
      <c r="AP362" s="14">
        <v>352</v>
      </c>
      <c r="AQ362" s="69" t="s">
        <v>100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</row>
    <row r="363" spans="1:61" ht="16.5">
      <c r="A363" s="49">
        <v>353</v>
      </c>
      <c r="B363" s="13" t="s">
        <v>113</v>
      </c>
      <c r="C363" s="74" t="s">
        <v>281</v>
      </c>
      <c r="D363" s="86">
        <f>IFERROR(VLOOKUP(C363, $C$2:D362, 2, FALSE), MAX($D$2:D362)+1)</f>
        <v>25</v>
      </c>
      <c r="E363" s="50">
        <v>92.41</v>
      </c>
      <c r="F363" s="14">
        <v>0</v>
      </c>
      <c r="G363" s="50">
        <v>0</v>
      </c>
      <c r="H363" s="50">
        <v>4.7300000000000004</v>
      </c>
      <c r="I363" s="14">
        <v>0</v>
      </c>
      <c r="J363" s="50">
        <v>0</v>
      </c>
      <c r="K363" s="50">
        <v>0</v>
      </c>
      <c r="L363" s="14">
        <v>0</v>
      </c>
      <c r="M363" s="14">
        <v>0</v>
      </c>
      <c r="N363" s="50">
        <v>2.86</v>
      </c>
      <c r="O363" s="14">
        <v>1</v>
      </c>
      <c r="P363" s="14">
        <v>1</v>
      </c>
      <c r="Q363" s="13" t="s">
        <v>113</v>
      </c>
      <c r="R363" s="13" t="s">
        <v>113</v>
      </c>
      <c r="S363" s="13" t="s">
        <v>113</v>
      </c>
      <c r="T363" s="13" t="s">
        <v>113</v>
      </c>
      <c r="U363" s="13" t="s">
        <v>113</v>
      </c>
      <c r="V363" s="13">
        <v>1</v>
      </c>
      <c r="W363" s="13" t="s">
        <v>113</v>
      </c>
      <c r="X363" s="13" t="s">
        <v>113</v>
      </c>
      <c r="Y363" s="13" t="s">
        <v>113</v>
      </c>
      <c r="Z363" s="50">
        <v>78</v>
      </c>
      <c r="AA363" s="13" t="s">
        <v>113</v>
      </c>
      <c r="AB363" s="13" t="s">
        <v>113</v>
      </c>
      <c r="AC363" s="14">
        <v>441</v>
      </c>
      <c r="AD363" s="13" t="s">
        <v>113</v>
      </c>
      <c r="AE363" s="13" t="s">
        <v>113</v>
      </c>
      <c r="AF363" s="13" t="s">
        <v>113</v>
      </c>
      <c r="AG363" s="13" t="s">
        <v>113</v>
      </c>
      <c r="AH363" s="13" t="s">
        <v>113</v>
      </c>
      <c r="AI363" s="13" t="s">
        <v>113</v>
      </c>
      <c r="AJ363" s="13" t="s">
        <v>113</v>
      </c>
      <c r="AK363" s="13" t="s">
        <v>113</v>
      </c>
      <c r="AL363" s="13" t="s">
        <v>113</v>
      </c>
      <c r="AM363" s="13"/>
      <c r="AN363" s="13" t="s">
        <v>113</v>
      </c>
      <c r="AO363" s="13" t="s">
        <v>174</v>
      </c>
      <c r="AP363" s="14">
        <v>353</v>
      </c>
      <c r="AQ363" s="69" t="s">
        <v>100</v>
      </c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 spans="1:61" ht="16.5">
      <c r="A364" s="18">
        <v>5</v>
      </c>
      <c r="C364" s="74" t="s">
        <v>281</v>
      </c>
      <c r="D364" s="86">
        <f>IFERROR(VLOOKUP(C364, $C$2:D363, 2, FALSE), MAX($D$2:D363)+1)</f>
        <v>25</v>
      </c>
      <c r="E364" s="18">
        <v>87.5</v>
      </c>
      <c r="G364" s="18">
        <v>0</v>
      </c>
      <c r="H364" s="18">
        <v>6.25</v>
      </c>
      <c r="J364" s="18">
        <v>0</v>
      </c>
      <c r="K364" s="18">
        <v>0</v>
      </c>
      <c r="N364" s="18">
        <v>6.25</v>
      </c>
      <c r="Z364" s="18">
        <v>70</v>
      </c>
      <c r="AQ364" s="70" t="s">
        <v>59</v>
      </c>
    </row>
    <row r="365" spans="1:61" ht="16.5">
      <c r="A365" s="18">
        <v>24</v>
      </c>
      <c r="C365" s="74" t="s">
        <v>281</v>
      </c>
      <c r="D365" s="86">
        <f>IFERROR(VLOOKUP(C365, $C$2:D364, 2, FALSE), MAX($D$2:D364)+1)</f>
        <v>25</v>
      </c>
      <c r="E365" s="18">
        <v>75.8</v>
      </c>
      <c r="G365" s="18">
        <v>0</v>
      </c>
      <c r="H365" s="18">
        <v>10.8</v>
      </c>
      <c r="J365" s="18">
        <v>0</v>
      </c>
      <c r="K365" s="18">
        <v>0</v>
      </c>
      <c r="N365" s="18">
        <v>13.4</v>
      </c>
      <c r="Z365" s="18">
        <v>70</v>
      </c>
      <c r="AQ365" s="70" t="s">
        <v>59</v>
      </c>
    </row>
    <row r="366" spans="1:61" ht="16.5">
      <c r="A366" s="49">
        <v>385</v>
      </c>
      <c r="B366" s="13" t="s">
        <v>113</v>
      </c>
      <c r="C366" s="74" t="s">
        <v>289</v>
      </c>
      <c r="D366" s="86">
        <f>IFERROR(VLOOKUP(C366, $C$2:D365, 2, FALSE), MAX($D$2:D365)+1)</f>
        <v>26</v>
      </c>
      <c r="E366" s="50">
        <v>83.05</v>
      </c>
      <c r="F366" s="14">
        <v>0</v>
      </c>
      <c r="G366" s="50">
        <v>0</v>
      </c>
      <c r="H366" s="50">
        <v>2.4699999999999998</v>
      </c>
      <c r="I366" s="14">
        <v>0</v>
      </c>
      <c r="J366" s="50">
        <v>4.26</v>
      </c>
      <c r="K366" s="50">
        <v>10.220000000000001</v>
      </c>
      <c r="L366" s="14">
        <v>0</v>
      </c>
      <c r="M366" s="14">
        <v>0</v>
      </c>
      <c r="N366" s="50">
        <v>0</v>
      </c>
      <c r="O366" s="14">
        <v>1</v>
      </c>
      <c r="P366" s="14">
        <v>1</v>
      </c>
      <c r="Q366" s="13" t="s">
        <v>113</v>
      </c>
      <c r="R366" s="13" t="s">
        <v>113</v>
      </c>
      <c r="S366" s="13" t="s">
        <v>113</v>
      </c>
      <c r="T366" s="13" t="s">
        <v>113</v>
      </c>
      <c r="U366" s="13" t="s">
        <v>113</v>
      </c>
      <c r="V366" s="13">
        <v>1</v>
      </c>
      <c r="W366" s="13" t="s">
        <v>113</v>
      </c>
      <c r="X366" s="13" t="s">
        <v>113</v>
      </c>
      <c r="Y366" s="13" t="s">
        <v>113</v>
      </c>
      <c r="Z366" s="50">
        <v>50</v>
      </c>
      <c r="AA366" s="13" t="s">
        <v>113</v>
      </c>
      <c r="AB366" s="13" t="s">
        <v>113</v>
      </c>
      <c r="AC366" s="14">
        <v>557</v>
      </c>
      <c r="AD366" s="13" t="s">
        <v>113</v>
      </c>
      <c r="AE366" s="13" t="s">
        <v>113</v>
      </c>
      <c r="AF366" s="13" t="s">
        <v>113</v>
      </c>
      <c r="AG366" s="13" t="s">
        <v>113</v>
      </c>
      <c r="AH366" s="13" t="s">
        <v>113</v>
      </c>
      <c r="AI366" s="13" t="s">
        <v>113</v>
      </c>
      <c r="AJ366" s="13" t="s">
        <v>113</v>
      </c>
      <c r="AK366" s="13" t="s">
        <v>113</v>
      </c>
      <c r="AL366" s="13" t="s">
        <v>113</v>
      </c>
      <c r="AM366" s="13"/>
      <c r="AN366" s="13" t="s">
        <v>113</v>
      </c>
      <c r="AO366" s="13" t="s">
        <v>174</v>
      </c>
      <c r="AP366" s="14">
        <v>385</v>
      </c>
      <c r="AQ366" s="69" t="s">
        <v>100</v>
      </c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</row>
    <row r="367" spans="1:61" ht="16.5">
      <c r="A367" s="49">
        <v>387</v>
      </c>
      <c r="B367" s="13" t="s">
        <v>113</v>
      </c>
      <c r="C367" s="74" t="s">
        <v>289</v>
      </c>
      <c r="D367" s="86">
        <f>IFERROR(VLOOKUP(C367, $C$2:D366, 2, FALSE), MAX($D$2:D366)+1)</f>
        <v>26</v>
      </c>
      <c r="E367" s="50">
        <v>72.599999999999994</v>
      </c>
      <c r="F367" s="14">
        <v>0</v>
      </c>
      <c r="G367" s="50">
        <v>0</v>
      </c>
      <c r="H367" s="50">
        <v>2.68</v>
      </c>
      <c r="I367" s="14">
        <v>0</v>
      </c>
      <c r="J367" s="50">
        <v>4.62</v>
      </c>
      <c r="K367" s="50">
        <v>20.09</v>
      </c>
      <c r="L367" s="14">
        <v>0</v>
      </c>
      <c r="M367" s="14">
        <v>0</v>
      </c>
      <c r="N367" s="50">
        <v>0</v>
      </c>
      <c r="O367" s="14">
        <v>1</v>
      </c>
      <c r="P367" s="14">
        <v>1</v>
      </c>
      <c r="Q367" s="13" t="s">
        <v>113</v>
      </c>
      <c r="R367" s="13" t="s">
        <v>113</v>
      </c>
      <c r="S367" s="13" t="s">
        <v>113</v>
      </c>
      <c r="T367" s="13" t="s">
        <v>113</v>
      </c>
      <c r="U367" s="13" t="s">
        <v>113</v>
      </c>
      <c r="V367" s="13">
        <v>1</v>
      </c>
      <c r="W367" s="13" t="s">
        <v>113</v>
      </c>
      <c r="X367" s="13" t="s">
        <v>113</v>
      </c>
      <c r="Y367" s="13" t="s">
        <v>113</v>
      </c>
      <c r="Z367" s="50">
        <v>53</v>
      </c>
      <c r="AA367" s="13" t="s">
        <v>113</v>
      </c>
      <c r="AB367" s="13" t="s">
        <v>113</v>
      </c>
      <c r="AC367" s="14">
        <v>599</v>
      </c>
      <c r="AD367" s="13" t="s">
        <v>113</v>
      </c>
      <c r="AE367" s="13" t="s">
        <v>113</v>
      </c>
      <c r="AF367" s="13" t="s">
        <v>113</v>
      </c>
      <c r="AG367" s="13" t="s">
        <v>113</v>
      </c>
      <c r="AH367" s="13" t="s">
        <v>113</v>
      </c>
      <c r="AI367" s="13" t="s">
        <v>113</v>
      </c>
      <c r="AJ367" s="13" t="s">
        <v>113</v>
      </c>
      <c r="AK367" s="13" t="s">
        <v>113</v>
      </c>
      <c r="AL367" s="13" t="s">
        <v>113</v>
      </c>
      <c r="AM367" s="13"/>
      <c r="AN367" s="13" t="s">
        <v>113</v>
      </c>
      <c r="AO367" s="13" t="s">
        <v>174</v>
      </c>
      <c r="AP367" s="14">
        <v>387</v>
      </c>
      <c r="AQ367" s="69" t="s">
        <v>100</v>
      </c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 spans="1:61" ht="16.5">
      <c r="A368" s="18">
        <v>185</v>
      </c>
      <c r="C368" s="74" t="s">
        <v>289</v>
      </c>
      <c r="D368" s="86">
        <f>IFERROR(VLOOKUP(C368, $C$2:D367, 2, FALSE), MAX($D$2:D367)+1)</f>
        <v>26</v>
      </c>
      <c r="E368" s="18">
        <v>72.599999999999994</v>
      </c>
      <c r="G368" s="18">
        <v>0</v>
      </c>
      <c r="H368" s="18">
        <v>2.68</v>
      </c>
      <c r="J368" s="18">
        <v>4.63</v>
      </c>
      <c r="K368" s="18">
        <v>20.09</v>
      </c>
      <c r="N368" s="18">
        <v>0</v>
      </c>
      <c r="Z368" s="18">
        <v>51</v>
      </c>
      <c r="AQ368" s="70" t="s">
        <v>59</v>
      </c>
    </row>
    <row r="369" spans="1:61" ht="16.5">
      <c r="A369" s="49">
        <v>386</v>
      </c>
      <c r="B369" s="13" t="s">
        <v>113</v>
      </c>
      <c r="C369" s="74" t="s">
        <v>288</v>
      </c>
      <c r="D369" s="86">
        <f>IFERROR(VLOOKUP(C369, $C$2:D368, 2, FALSE), MAX($D$2:D368)+1)</f>
        <v>27</v>
      </c>
      <c r="E369" s="50">
        <v>75.94</v>
      </c>
      <c r="F369" s="14">
        <v>0</v>
      </c>
      <c r="G369" s="50">
        <v>0</v>
      </c>
      <c r="H369" s="50">
        <v>0</v>
      </c>
      <c r="I369" s="14">
        <v>0</v>
      </c>
      <c r="J369" s="50">
        <v>4.5</v>
      </c>
      <c r="K369" s="50">
        <v>19.559999999999999</v>
      </c>
      <c r="L369" s="14">
        <v>0</v>
      </c>
      <c r="M369" s="14">
        <v>0</v>
      </c>
      <c r="N369" s="50">
        <v>0</v>
      </c>
      <c r="O369" s="14">
        <v>1</v>
      </c>
      <c r="P369" s="14">
        <v>1</v>
      </c>
      <c r="Q369" s="13" t="s">
        <v>113</v>
      </c>
      <c r="R369" s="13" t="s">
        <v>113</v>
      </c>
      <c r="S369" s="13" t="s">
        <v>113</v>
      </c>
      <c r="T369" s="13" t="s">
        <v>113</v>
      </c>
      <c r="U369" s="13" t="s">
        <v>113</v>
      </c>
      <c r="V369" s="13">
        <v>1</v>
      </c>
      <c r="W369" s="13" t="s">
        <v>113</v>
      </c>
      <c r="X369" s="13" t="s">
        <v>113</v>
      </c>
      <c r="Y369" s="13" t="s">
        <v>113</v>
      </c>
      <c r="Z369" s="50">
        <v>66</v>
      </c>
      <c r="AA369" s="13" t="s">
        <v>113</v>
      </c>
      <c r="AB369" s="13" t="s">
        <v>113</v>
      </c>
      <c r="AC369" s="14">
        <v>213</v>
      </c>
      <c r="AD369" s="13" t="s">
        <v>113</v>
      </c>
      <c r="AE369" s="13" t="s">
        <v>113</v>
      </c>
      <c r="AF369" s="13" t="s">
        <v>113</v>
      </c>
      <c r="AG369" s="13" t="s">
        <v>113</v>
      </c>
      <c r="AH369" s="13" t="s">
        <v>113</v>
      </c>
      <c r="AI369" s="13" t="s">
        <v>113</v>
      </c>
      <c r="AJ369" s="13" t="s">
        <v>113</v>
      </c>
      <c r="AK369" s="13" t="s">
        <v>113</v>
      </c>
      <c r="AL369" s="13" t="s">
        <v>113</v>
      </c>
      <c r="AM369" s="13"/>
      <c r="AN369" s="13" t="s">
        <v>113</v>
      </c>
      <c r="AO369" s="13" t="s">
        <v>174</v>
      </c>
      <c r="AP369" s="14">
        <v>386</v>
      </c>
      <c r="AQ369" s="69" t="s">
        <v>100</v>
      </c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 spans="1:61" ht="16.5">
      <c r="A370" s="49">
        <v>421</v>
      </c>
      <c r="B370" s="13" t="s">
        <v>113</v>
      </c>
      <c r="C370" s="74" t="s">
        <v>288</v>
      </c>
      <c r="D370" s="86">
        <f>IFERROR(VLOOKUP(C370, $C$2:D369, 2, FALSE), MAX($D$2:D369)+1)</f>
        <v>27</v>
      </c>
      <c r="E370" s="50">
        <v>71.95</v>
      </c>
      <c r="F370" s="14">
        <v>0</v>
      </c>
      <c r="G370" s="50">
        <v>0</v>
      </c>
      <c r="H370" s="50">
        <v>0</v>
      </c>
      <c r="I370" s="14">
        <v>0</v>
      </c>
      <c r="J370" s="50">
        <v>9.5200000000000014</v>
      </c>
      <c r="K370" s="50">
        <v>18.529999999999998</v>
      </c>
      <c r="L370" s="14">
        <v>0</v>
      </c>
      <c r="M370" s="14">
        <v>0</v>
      </c>
      <c r="N370" s="50">
        <v>0</v>
      </c>
      <c r="O370" s="14">
        <v>1</v>
      </c>
      <c r="P370" s="14">
        <v>1</v>
      </c>
      <c r="Q370" s="13" t="s">
        <v>113</v>
      </c>
      <c r="R370" s="13" t="s">
        <v>113</v>
      </c>
      <c r="S370" s="13" t="s">
        <v>113</v>
      </c>
      <c r="T370" s="13" t="s">
        <v>113</v>
      </c>
      <c r="U370" s="13" t="s">
        <v>113</v>
      </c>
      <c r="V370" s="13">
        <v>1</v>
      </c>
      <c r="W370" s="13" t="s">
        <v>113</v>
      </c>
      <c r="X370" s="13" t="s">
        <v>113</v>
      </c>
      <c r="Y370" s="13" t="s">
        <v>113</v>
      </c>
      <c r="Z370" s="50">
        <v>55</v>
      </c>
      <c r="AA370" s="13" t="s">
        <v>113</v>
      </c>
      <c r="AB370" s="13" t="s">
        <v>113</v>
      </c>
      <c r="AC370" s="14">
        <v>200</v>
      </c>
      <c r="AD370" s="13" t="s">
        <v>113</v>
      </c>
      <c r="AE370" s="13" t="s">
        <v>113</v>
      </c>
      <c r="AF370" s="13" t="s">
        <v>113</v>
      </c>
      <c r="AG370" s="13" t="s">
        <v>113</v>
      </c>
      <c r="AH370" s="13" t="s">
        <v>113</v>
      </c>
      <c r="AI370" s="13" t="s">
        <v>113</v>
      </c>
      <c r="AJ370" s="13" t="s">
        <v>113</v>
      </c>
      <c r="AK370" s="13" t="s">
        <v>113</v>
      </c>
      <c r="AL370" s="13" t="s">
        <v>113</v>
      </c>
      <c r="AM370" s="13"/>
      <c r="AN370" s="13" t="s">
        <v>113</v>
      </c>
      <c r="AO370" s="13" t="s">
        <v>174</v>
      </c>
      <c r="AP370" s="14">
        <v>421</v>
      </c>
      <c r="AQ370" s="69" t="s">
        <v>100</v>
      </c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</row>
    <row r="371" spans="1:61" ht="16.5">
      <c r="A371" s="49">
        <v>466</v>
      </c>
      <c r="B371" s="13" t="s">
        <v>113</v>
      </c>
      <c r="C371" s="74" t="s">
        <v>288</v>
      </c>
      <c r="D371" s="86">
        <f>IFERROR(VLOOKUP(C371, $C$2:D370, 2, FALSE), MAX($D$2:D370)+1)</f>
        <v>27</v>
      </c>
      <c r="E371" s="50">
        <v>84.26</v>
      </c>
      <c r="F371" s="14">
        <v>0</v>
      </c>
      <c r="G371" s="50">
        <v>0</v>
      </c>
      <c r="H371" s="50">
        <v>0</v>
      </c>
      <c r="I371" s="14">
        <v>0</v>
      </c>
      <c r="J371" s="50">
        <v>0.77</v>
      </c>
      <c r="K371" s="50">
        <v>14.97</v>
      </c>
      <c r="L371" s="14">
        <v>0</v>
      </c>
      <c r="M371" s="14">
        <v>0</v>
      </c>
      <c r="N371" s="50">
        <v>0</v>
      </c>
      <c r="O371" s="14">
        <v>1</v>
      </c>
      <c r="P371" s="14">
        <v>1</v>
      </c>
      <c r="Q371" s="13" t="s">
        <v>113</v>
      </c>
      <c r="R371" s="13" t="s">
        <v>113</v>
      </c>
      <c r="S371" s="13" t="s">
        <v>113</v>
      </c>
      <c r="T371" s="13" t="s">
        <v>113</v>
      </c>
      <c r="U371" s="13" t="s">
        <v>113</v>
      </c>
      <c r="V371" s="14">
        <v>1</v>
      </c>
      <c r="W371" s="13" t="s">
        <v>113</v>
      </c>
      <c r="X371" s="13" t="s">
        <v>113</v>
      </c>
      <c r="Y371" s="13" t="s">
        <v>113</v>
      </c>
      <c r="Z371" s="50">
        <v>71</v>
      </c>
      <c r="AA371" s="13" t="s">
        <v>113</v>
      </c>
      <c r="AB371" s="13" t="s">
        <v>113</v>
      </c>
      <c r="AC371" s="14">
        <v>374</v>
      </c>
      <c r="AD371" s="13" t="s">
        <v>113</v>
      </c>
      <c r="AE371" s="13" t="s">
        <v>113</v>
      </c>
      <c r="AF371" s="13" t="s">
        <v>113</v>
      </c>
      <c r="AG371" s="13" t="s">
        <v>113</v>
      </c>
      <c r="AH371" s="13" t="s">
        <v>113</v>
      </c>
      <c r="AI371" s="13" t="s">
        <v>113</v>
      </c>
      <c r="AJ371" s="13" t="s">
        <v>113</v>
      </c>
      <c r="AK371" s="13" t="s">
        <v>113</v>
      </c>
      <c r="AL371" s="13" t="s">
        <v>113</v>
      </c>
      <c r="AM371" s="13"/>
      <c r="AN371" s="13" t="s">
        <v>113</v>
      </c>
      <c r="AO371" s="13" t="s">
        <v>174</v>
      </c>
      <c r="AP371" s="14">
        <v>466</v>
      </c>
      <c r="AQ371" s="69" t="s">
        <v>100</v>
      </c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 spans="1:61" ht="16.5">
      <c r="A372" s="49">
        <v>467</v>
      </c>
      <c r="B372" s="13" t="s">
        <v>113</v>
      </c>
      <c r="C372" s="74" t="s">
        <v>288</v>
      </c>
      <c r="D372" s="86">
        <f>IFERROR(VLOOKUP(C372, $C$2:D371, 2, FALSE), MAX($D$2:D371)+1)</f>
        <v>27</v>
      </c>
      <c r="E372" s="50">
        <v>83.13000000000001</v>
      </c>
      <c r="F372" s="14">
        <v>0</v>
      </c>
      <c r="G372" s="50">
        <v>0</v>
      </c>
      <c r="H372" s="50">
        <v>0</v>
      </c>
      <c r="I372" s="14">
        <v>0</v>
      </c>
      <c r="J372" s="50">
        <v>1.5699999999999998</v>
      </c>
      <c r="K372" s="50">
        <v>15.299999999999999</v>
      </c>
      <c r="L372" s="14">
        <v>0</v>
      </c>
      <c r="M372" s="14">
        <v>0</v>
      </c>
      <c r="N372" s="50">
        <v>0</v>
      </c>
      <c r="O372" s="14">
        <v>1</v>
      </c>
      <c r="P372" s="14">
        <v>1</v>
      </c>
      <c r="Q372" s="13" t="s">
        <v>113</v>
      </c>
      <c r="R372" s="13" t="s">
        <v>113</v>
      </c>
      <c r="S372" s="13" t="s">
        <v>113</v>
      </c>
      <c r="T372" s="13" t="s">
        <v>113</v>
      </c>
      <c r="U372" s="13" t="s">
        <v>113</v>
      </c>
      <c r="V372" s="14">
        <v>1</v>
      </c>
      <c r="W372" s="13" t="s">
        <v>113</v>
      </c>
      <c r="X372" s="13" t="s">
        <v>113</v>
      </c>
      <c r="Y372" s="13" t="s">
        <v>113</v>
      </c>
      <c r="Z372" s="50">
        <v>78</v>
      </c>
      <c r="AA372" s="13" t="s">
        <v>113</v>
      </c>
      <c r="AB372" s="13" t="s">
        <v>113</v>
      </c>
      <c r="AC372" s="14">
        <v>433</v>
      </c>
      <c r="AD372" s="13" t="s">
        <v>113</v>
      </c>
      <c r="AE372" s="13" t="s">
        <v>113</v>
      </c>
      <c r="AF372" s="13" t="s">
        <v>113</v>
      </c>
      <c r="AG372" s="13" t="s">
        <v>113</v>
      </c>
      <c r="AH372" s="13" t="s">
        <v>113</v>
      </c>
      <c r="AI372" s="13" t="s">
        <v>113</v>
      </c>
      <c r="AJ372" s="13" t="s">
        <v>113</v>
      </c>
      <c r="AK372" s="13" t="s">
        <v>113</v>
      </c>
      <c r="AL372" s="13" t="s">
        <v>113</v>
      </c>
      <c r="AM372" s="13"/>
      <c r="AN372" s="13" t="s">
        <v>113</v>
      </c>
      <c r="AO372" s="13" t="s">
        <v>174</v>
      </c>
      <c r="AP372" s="14">
        <v>467</v>
      </c>
      <c r="AQ372" s="69" t="s">
        <v>100</v>
      </c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</row>
    <row r="373" spans="1:61" ht="16.5">
      <c r="A373" s="49">
        <v>468</v>
      </c>
      <c r="B373" s="13" t="s">
        <v>113</v>
      </c>
      <c r="C373" s="74" t="s">
        <v>288</v>
      </c>
      <c r="D373" s="86">
        <f>IFERROR(VLOOKUP(C373, $C$2:D372, 2, FALSE), MAX($D$2:D372)+1)</f>
        <v>27</v>
      </c>
      <c r="E373" s="50">
        <v>81.95</v>
      </c>
      <c r="F373" s="14">
        <v>0</v>
      </c>
      <c r="G373" s="50">
        <v>0</v>
      </c>
      <c r="H373" s="50">
        <v>0</v>
      </c>
      <c r="I373" s="14">
        <v>0</v>
      </c>
      <c r="J373" s="50">
        <v>2.41</v>
      </c>
      <c r="K373" s="50">
        <v>15.64</v>
      </c>
      <c r="L373" s="14">
        <v>0</v>
      </c>
      <c r="M373" s="14">
        <v>0</v>
      </c>
      <c r="N373" s="50">
        <v>0</v>
      </c>
      <c r="O373" s="14">
        <v>1</v>
      </c>
      <c r="P373" s="14">
        <v>1</v>
      </c>
      <c r="Q373" s="13" t="s">
        <v>113</v>
      </c>
      <c r="R373" s="13" t="s">
        <v>113</v>
      </c>
      <c r="S373" s="13" t="s">
        <v>113</v>
      </c>
      <c r="T373" s="13" t="s">
        <v>113</v>
      </c>
      <c r="U373" s="13" t="s">
        <v>113</v>
      </c>
      <c r="V373" s="14">
        <v>1</v>
      </c>
      <c r="W373" s="13" t="s">
        <v>113</v>
      </c>
      <c r="X373" s="13" t="s">
        <v>113</v>
      </c>
      <c r="Y373" s="13" t="s">
        <v>113</v>
      </c>
      <c r="Z373" s="50">
        <v>78</v>
      </c>
      <c r="AA373" s="13" t="s">
        <v>113</v>
      </c>
      <c r="AB373" s="13" t="s">
        <v>113</v>
      </c>
      <c r="AC373" s="14">
        <v>376</v>
      </c>
      <c r="AD373" s="13" t="s">
        <v>113</v>
      </c>
      <c r="AE373" s="13" t="s">
        <v>113</v>
      </c>
      <c r="AF373" s="13" t="s">
        <v>113</v>
      </c>
      <c r="AG373" s="13" t="s">
        <v>113</v>
      </c>
      <c r="AH373" s="13" t="s">
        <v>113</v>
      </c>
      <c r="AI373" s="13" t="s">
        <v>113</v>
      </c>
      <c r="AJ373" s="13" t="s">
        <v>113</v>
      </c>
      <c r="AK373" s="13" t="s">
        <v>113</v>
      </c>
      <c r="AL373" s="13" t="s">
        <v>113</v>
      </c>
      <c r="AM373" s="13"/>
      <c r="AN373" s="13" t="s">
        <v>113</v>
      </c>
      <c r="AO373" s="13" t="s">
        <v>174</v>
      </c>
      <c r="AP373" s="14">
        <v>468</v>
      </c>
      <c r="AQ373" s="69" t="s">
        <v>100</v>
      </c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 spans="1:61" ht="16.5">
      <c r="A374" s="49">
        <v>470</v>
      </c>
      <c r="B374" s="13" t="s">
        <v>113</v>
      </c>
      <c r="C374" s="74" t="s">
        <v>288</v>
      </c>
      <c r="D374" s="86">
        <f>IFERROR(VLOOKUP(C374, $C$2:D373, 2, FALSE), MAX($D$2:D373)+1)</f>
        <v>27</v>
      </c>
      <c r="E374" s="50">
        <v>80.72</v>
      </c>
      <c r="F374" s="14">
        <v>0</v>
      </c>
      <c r="G374" s="50">
        <v>0</v>
      </c>
      <c r="H374" s="50">
        <v>0</v>
      </c>
      <c r="I374" s="14">
        <v>0</v>
      </c>
      <c r="J374" s="50">
        <v>0.79</v>
      </c>
      <c r="K374" s="50">
        <v>18.48</v>
      </c>
      <c r="L374" s="14">
        <v>0</v>
      </c>
      <c r="M374" s="14">
        <v>0</v>
      </c>
      <c r="N374" s="50">
        <v>0</v>
      </c>
      <c r="O374" s="14">
        <v>1</v>
      </c>
      <c r="P374" s="14">
        <v>1</v>
      </c>
      <c r="Q374" s="13" t="s">
        <v>113</v>
      </c>
      <c r="R374" s="13" t="s">
        <v>113</v>
      </c>
      <c r="S374" s="13" t="s">
        <v>113</v>
      </c>
      <c r="T374" s="13" t="s">
        <v>113</v>
      </c>
      <c r="U374" s="13" t="s">
        <v>113</v>
      </c>
      <c r="V374" s="14">
        <v>1</v>
      </c>
      <c r="W374" s="13" t="s">
        <v>113</v>
      </c>
      <c r="X374" s="13" t="s">
        <v>113</v>
      </c>
      <c r="Y374" s="13" t="s">
        <v>113</v>
      </c>
      <c r="Z374" s="50">
        <v>81</v>
      </c>
      <c r="AA374" s="13" t="s">
        <v>113</v>
      </c>
      <c r="AB374" s="13" t="s">
        <v>113</v>
      </c>
      <c r="AC374" s="14">
        <v>411</v>
      </c>
      <c r="AD374" s="13" t="s">
        <v>113</v>
      </c>
      <c r="AE374" s="13" t="s">
        <v>113</v>
      </c>
      <c r="AF374" s="13" t="s">
        <v>113</v>
      </c>
      <c r="AG374" s="13" t="s">
        <v>113</v>
      </c>
      <c r="AH374" s="13" t="s">
        <v>113</v>
      </c>
      <c r="AI374" s="13" t="s">
        <v>113</v>
      </c>
      <c r="AJ374" s="13" t="s">
        <v>113</v>
      </c>
      <c r="AK374" s="13" t="s">
        <v>113</v>
      </c>
      <c r="AL374" s="13" t="s">
        <v>113</v>
      </c>
      <c r="AM374" s="13"/>
      <c r="AN374" s="13" t="s">
        <v>113</v>
      </c>
      <c r="AO374" s="13" t="s">
        <v>174</v>
      </c>
      <c r="AP374" s="14">
        <v>470</v>
      </c>
      <c r="AQ374" s="69" t="s">
        <v>100</v>
      </c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</row>
    <row r="375" spans="1:61" ht="16.5">
      <c r="A375" s="49">
        <v>471</v>
      </c>
      <c r="B375" s="13" t="s">
        <v>113</v>
      </c>
      <c r="C375" s="74" t="s">
        <v>288</v>
      </c>
      <c r="D375" s="86">
        <f>IFERROR(VLOOKUP(C375, $C$2:D374, 2, FALSE), MAX($D$2:D374)+1)</f>
        <v>27</v>
      </c>
      <c r="E375" s="50">
        <v>79.47999999999999</v>
      </c>
      <c r="F375" s="14">
        <v>0</v>
      </c>
      <c r="G375" s="50">
        <v>0</v>
      </c>
      <c r="H375" s="50">
        <v>0</v>
      </c>
      <c r="I375" s="14">
        <v>0</v>
      </c>
      <c r="J375" s="50">
        <v>1.6199999999999999</v>
      </c>
      <c r="K375" s="50">
        <v>18.899999999999999</v>
      </c>
      <c r="L375" s="14">
        <v>0</v>
      </c>
      <c r="M375" s="14">
        <v>0</v>
      </c>
      <c r="N375" s="50">
        <v>0</v>
      </c>
      <c r="O375" s="14">
        <v>1</v>
      </c>
      <c r="P375" s="14">
        <v>1</v>
      </c>
      <c r="Q375" s="13" t="s">
        <v>113</v>
      </c>
      <c r="R375" s="13" t="s">
        <v>113</v>
      </c>
      <c r="S375" s="13" t="s">
        <v>113</v>
      </c>
      <c r="T375" s="13" t="s">
        <v>113</v>
      </c>
      <c r="U375" s="13" t="s">
        <v>113</v>
      </c>
      <c r="V375" s="14">
        <v>1</v>
      </c>
      <c r="W375" s="13" t="s">
        <v>113</v>
      </c>
      <c r="X375" s="13" t="s">
        <v>113</v>
      </c>
      <c r="Y375" s="13" t="s">
        <v>113</v>
      </c>
      <c r="Z375" s="50">
        <v>80</v>
      </c>
      <c r="AA375" s="13" t="s">
        <v>113</v>
      </c>
      <c r="AB375" s="13" t="s">
        <v>113</v>
      </c>
      <c r="AC375" s="14">
        <v>377</v>
      </c>
      <c r="AD375" s="13" t="s">
        <v>113</v>
      </c>
      <c r="AE375" s="13" t="s">
        <v>113</v>
      </c>
      <c r="AF375" s="13" t="s">
        <v>113</v>
      </c>
      <c r="AG375" s="13" t="s">
        <v>113</v>
      </c>
      <c r="AH375" s="13" t="s">
        <v>113</v>
      </c>
      <c r="AI375" s="13" t="s">
        <v>113</v>
      </c>
      <c r="AJ375" s="13" t="s">
        <v>113</v>
      </c>
      <c r="AK375" s="13" t="s">
        <v>113</v>
      </c>
      <c r="AL375" s="13" t="s">
        <v>113</v>
      </c>
      <c r="AM375" s="13"/>
      <c r="AN375" s="13" t="s">
        <v>113</v>
      </c>
      <c r="AO375" s="13" t="s">
        <v>174</v>
      </c>
      <c r="AP375" s="14">
        <v>471</v>
      </c>
      <c r="AQ375" s="69" t="s">
        <v>100</v>
      </c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 spans="1:61" ht="16.5">
      <c r="A376" s="49">
        <v>472</v>
      </c>
      <c r="B376" s="13" t="s">
        <v>113</v>
      </c>
      <c r="C376" s="74" t="s">
        <v>288</v>
      </c>
      <c r="D376" s="86">
        <f>IFERROR(VLOOKUP(C376, $C$2:D375, 2, FALSE), MAX($D$2:D375)+1)</f>
        <v>27</v>
      </c>
      <c r="E376" s="50">
        <v>78.180000000000007</v>
      </c>
      <c r="F376" s="14">
        <v>0</v>
      </c>
      <c r="G376" s="50">
        <v>0</v>
      </c>
      <c r="H376" s="50">
        <v>0</v>
      </c>
      <c r="I376" s="14">
        <v>0</v>
      </c>
      <c r="J376" s="50">
        <v>2.48</v>
      </c>
      <c r="K376" s="50">
        <v>19.34</v>
      </c>
      <c r="L376" s="14">
        <v>0</v>
      </c>
      <c r="M376" s="14">
        <v>0</v>
      </c>
      <c r="N376" s="50">
        <v>0</v>
      </c>
      <c r="O376" s="14">
        <v>1</v>
      </c>
      <c r="P376" s="14">
        <v>1</v>
      </c>
      <c r="Q376" s="13" t="s">
        <v>113</v>
      </c>
      <c r="R376" s="13" t="s">
        <v>113</v>
      </c>
      <c r="S376" s="13" t="s">
        <v>113</v>
      </c>
      <c r="T376" s="13" t="s">
        <v>113</v>
      </c>
      <c r="U376" s="13" t="s">
        <v>113</v>
      </c>
      <c r="V376" s="14">
        <v>1</v>
      </c>
      <c r="W376" s="13" t="s">
        <v>113</v>
      </c>
      <c r="X376" s="13" t="s">
        <v>113</v>
      </c>
      <c r="Y376" s="13" t="s">
        <v>113</v>
      </c>
      <c r="Z376" s="50">
        <v>81</v>
      </c>
      <c r="AA376" s="13" t="s">
        <v>113</v>
      </c>
      <c r="AB376" s="13" t="s">
        <v>113</v>
      </c>
      <c r="AC376" s="14">
        <v>395</v>
      </c>
      <c r="AD376" s="13" t="s">
        <v>113</v>
      </c>
      <c r="AE376" s="13" t="s">
        <v>113</v>
      </c>
      <c r="AF376" s="13" t="s">
        <v>113</v>
      </c>
      <c r="AG376" s="13" t="s">
        <v>113</v>
      </c>
      <c r="AH376" s="13" t="s">
        <v>113</v>
      </c>
      <c r="AI376" s="13" t="s">
        <v>113</v>
      </c>
      <c r="AJ376" s="13" t="s">
        <v>113</v>
      </c>
      <c r="AK376" s="13" t="s">
        <v>113</v>
      </c>
      <c r="AL376" s="13" t="s">
        <v>113</v>
      </c>
      <c r="AM376" s="13"/>
      <c r="AN376" s="13" t="s">
        <v>113</v>
      </c>
      <c r="AO376" s="13" t="s">
        <v>174</v>
      </c>
      <c r="AP376" s="14">
        <v>472</v>
      </c>
      <c r="AQ376" s="69" t="s">
        <v>100</v>
      </c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</row>
    <row r="377" spans="1:61" ht="16.5">
      <c r="A377" s="49">
        <v>474</v>
      </c>
      <c r="B377" s="13" t="s">
        <v>113</v>
      </c>
      <c r="C377" s="74" t="s">
        <v>288</v>
      </c>
      <c r="D377" s="86">
        <f>IFERROR(VLOOKUP(C377, $C$2:D376, 2, FALSE), MAX($D$2:D376)+1)</f>
        <v>27</v>
      </c>
      <c r="E377" s="50">
        <v>76.98</v>
      </c>
      <c r="F377" s="14">
        <v>0</v>
      </c>
      <c r="G377" s="50">
        <v>0</v>
      </c>
      <c r="H377" s="50">
        <v>0</v>
      </c>
      <c r="I377" s="14">
        <v>0</v>
      </c>
      <c r="J377" s="50">
        <v>0.80999999999999994</v>
      </c>
      <c r="K377" s="50">
        <v>22.21</v>
      </c>
      <c r="L377" s="14">
        <v>0</v>
      </c>
      <c r="M377" s="14">
        <v>0</v>
      </c>
      <c r="N377" s="50">
        <v>0</v>
      </c>
      <c r="O377" s="14">
        <v>1</v>
      </c>
      <c r="P377" s="14">
        <v>1</v>
      </c>
      <c r="Q377" s="13" t="s">
        <v>113</v>
      </c>
      <c r="R377" s="13" t="s">
        <v>113</v>
      </c>
      <c r="S377" s="13" t="s">
        <v>113</v>
      </c>
      <c r="T377" s="13" t="s">
        <v>113</v>
      </c>
      <c r="U377" s="13" t="s">
        <v>113</v>
      </c>
      <c r="V377" s="14">
        <v>1</v>
      </c>
      <c r="W377" s="13" t="s">
        <v>113</v>
      </c>
      <c r="X377" s="13" t="s">
        <v>113</v>
      </c>
      <c r="Y377" s="13" t="s">
        <v>113</v>
      </c>
      <c r="Z377" s="50">
        <v>85</v>
      </c>
      <c r="AA377" s="13" t="s">
        <v>113</v>
      </c>
      <c r="AB377" s="13" t="s">
        <v>113</v>
      </c>
      <c r="AC377" s="14">
        <v>303</v>
      </c>
      <c r="AD377" s="13" t="s">
        <v>113</v>
      </c>
      <c r="AE377" s="13" t="s">
        <v>113</v>
      </c>
      <c r="AF377" s="13" t="s">
        <v>113</v>
      </c>
      <c r="AG377" s="13" t="s">
        <v>113</v>
      </c>
      <c r="AH377" s="13" t="s">
        <v>113</v>
      </c>
      <c r="AI377" s="13" t="s">
        <v>113</v>
      </c>
      <c r="AJ377" s="13" t="s">
        <v>113</v>
      </c>
      <c r="AK377" s="13" t="s">
        <v>113</v>
      </c>
      <c r="AL377" s="13" t="s">
        <v>113</v>
      </c>
      <c r="AM377" s="13"/>
      <c r="AN377" s="13" t="s">
        <v>113</v>
      </c>
      <c r="AO377" s="13" t="s">
        <v>174</v>
      </c>
      <c r="AP377" s="14">
        <v>474</v>
      </c>
      <c r="AQ377" s="69" t="s">
        <v>100</v>
      </c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 spans="1:61" ht="16.5">
      <c r="A378" s="49">
        <v>475</v>
      </c>
      <c r="B378" s="13" t="s">
        <v>113</v>
      </c>
      <c r="C378" s="74" t="s">
        <v>288</v>
      </c>
      <c r="D378" s="86">
        <f>IFERROR(VLOOKUP(C378, $C$2:D377, 2, FALSE), MAX($D$2:D377)+1)</f>
        <v>27</v>
      </c>
      <c r="E378" s="50">
        <v>75.61</v>
      </c>
      <c r="F378" s="14">
        <v>0</v>
      </c>
      <c r="G378" s="50">
        <v>0</v>
      </c>
      <c r="H378" s="50">
        <v>0</v>
      </c>
      <c r="I378" s="14">
        <v>0</v>
      </c>
      <c r="J378" s="50">
        <v>1.67</v>
      </c>
      <c r="K378" s="50">
        <v>22.720000000000002</v>
      </c>
      <c r="L378" s="14">
        <v>0</v>
      </c>
      <c r="M378" s="14">
        <v>0</v>
      </c>
      <c r="N378" s="50">
        <v>0</v>
      </c>
      <c r="O378" s="14">
        <v>1</v>
      </c>
      <c r="P378" s="14">
        <v>1</v>
      </c>
      <c r="Q378" s="13" t="s">
        <v>113</v>
      </c>
      <c r="R378" s="13" t="s">
        <v>113</v>
      </c>
      <c r="S378" s="13" t="s">
        <v>113</v>
      </c>
      <c r="T378" s="13" t="s">
        <v>113</v>
      </c>
      <c r="U378" s="13" t="s">
        <v>113</v>
      </c>
      <c r="V378" s="14">
        <v>1</v>
      </c>
      <c r="W378" s="13" t="s">
        <v>113</v>
      </c>
      <c r="X378" s="13" t="s">
        <v>113</v>
      </c>
      <c r="Y378" s="13" t="s">
        <v>113</v>
      </c>
      <c r="Z378" s="50">
        <v>84</v>
      </c>
      <c r="AA378" s="13" t="s">
        <v>113</v>
      </c>
      <c r="AB378" s="13" t="s">
        <v>113</v>
      </c>
      <c r="AC378" s="14">
        <v>340</v>
      </c>
      <c r="AD378" s="13" t="s">
        <v>113</v>
      </c>
      <c r="AE378" s="13" t="s">
        <v>113</v>
      </c>
      <c r="AF378" s="13" t="s">
        <v>113</v>
      </c>
      <c r="AG378" s="13" t="s">
        <v>113</v>
      </c>
      <c r="AH378" s="13" t="s">
        <v>113</v>
      </c>
      <c r="AI378" s="13" t="s">
        <v>113</v>
      </c>
      <c r="AJ378" s="13" t="s">
        <v>113</v>
      </c>
      <c r="AK378" s="13" t="s">
        <v>113</v>
      </c>
      <c r="AL378" s="13" t="s">
        <v>113</v>
      </c>
      <c r="AM378" s="13"/>
      <c r="AN378" s="13" t="s">
        <v>113</v>
      </c>
      <c r="AO378" s="13" t="s">
        <v>174</v>
      </c>
      <c r="AP378" s="14">
        <v>475</v>
      </c>
      <c r="AQ378" s="69" t="s">
        <v>100</v>
      </c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</row>
    <row r="379" spans="1:61" ht="16.5">
      <c r="A379" s="49">
        <v>476</v>
      </c>
      <c r="B379" s="13" t="s">
        <v>113</v>
      </c>
      <c r="C379" s="74" t="s">
        <v>288</v>
      </c>
      <c r="D379" s="86">
        <f>IFERROR(VLOOKUP(C379, $C$2:D378, 2, FALSE), MAX($D$2:D378)+1)</f>
        <v>27</v>
      </c>
      <c r="E379" s="50">
        <v>74.180000000000007</v>
      </c>
      <c r="F379" s="14">
        <v>0</v>
      </c>
      <c r="G379" s="50">
        <v>0</v>
      </c>
      <c r="H379" s="50">
        <v>0</v>
      </c>
      <c r="I379" s="14">
        <v>0</v>
      </c>
      <c r="J379" s="50">
        <v>2.56</v>
      </c>
      <c r="K379" s="50">
        <v>23.26</v>
      </c>
      <c r="L379" s="14">
        <v>0</v>
      </c>
      <c r="M379" s="14">
        <v>0</v>
      </c>
      <c r="N379" s="50">
        <v>0</v>
      </c>
      <c r="O379" s="14">
        <v>1</v>
      </c>
      <c r="P379" s="14">
        <v>1</v>
      </c>
      <c r="Q379" s="13" t="s">
        <v>113</v>
      </c>
      <c r="R379" s="13" t="s">
        <v>113</v>
      </c>
      <c r="S379" s="13" t="s">
        <v>113</v>
      </c>
      <c r="T379" s="13" t="s">
        <v>113</v>
      </c>
      <c r="U379" s="13" t="s">
        <v>113</v>
      </c>
      <c r="V379" s="14">
        <v>1</v>
      </c>
      <c r="W379" s="13" t="s">
        <v>113</v>
      </c>
      <c r="X379" s="13" t="s">
        <v>113</v>
      </c>
      <c r="Y379" s="13" t="s">
        <v>113</v>
      </c>
      <c r="Z379" s="50">
        <v>90</v>
      </c>
      <c r="AA379" s="13" t="s">
        <v>113</v>
      </c>
      <c r="AB379" s="13" t="s">
        <v>113</v>
      </c>
      <c r="AC379" s="14">
        <v>314</v>
      </c>
      <c r="AD379" s="13" t="s">
        <v>113</v>
      </c>
      <c r="AE379" s="13" t="s">
        <v>113</v>
      </c>
      <c r="AF379" s="13" t="s">
        <v>113</v>
      </c>
      <c r="AG379" s="13" t="s">
        <v>113</v>
      </c>
      <c r="AH379" s="13" t="s">
        <v>113</v>
      </c>
      <c r="AI379" s="13" t="s">
        <v>113</v>
      </c>
      <c r="AJ379" s="13" t="s">
        <v>113</v>
      </c>
      <c r="AK379" s="13" t="s">
        <v>113</v>
      </c>
      <c r="AL379" s="13" t="s">
        <v>113</v>
      </c>
      <c r="AM379" s="13"/>
      <c r="AN379" s="13" t="s">
        <v>113</v>
      </c>
      <c r="AO379" s="13" t="s">
        <v>174</v>
      </c>
      <c r="AP379" s="14">
        <v>476</v>
      </c>
      <c r="AQ379" s="69" t="s">
        <v>100</v>
      </c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 spans="1:61" ht="16.5">
      <c r="A380" s="49">
        <v>491</v>
      </c>
      <c r="B380" s="13" t="s">
        <v>113</v>
      </c>
      <c r="C380" s="74" t="s">
        <v>288</v>
      </c>
      <c r="D380" s="86">
        <f>IFERROR(VLOOKUP(C380, $C$2:D379, 2, FALSE), MAX($D$2:D379)+1)</f>
        <v>27</v>
      </c>
      <c r="E380" s="50">
        <v>77</v>
      </c>
      <c r="F380" s="14">
        <v>0</v>
      </c>
      <c r="G380" s="50">
        <v>0</v>
      </c>
      <c r="H380" s="50">
        <v>0</v>
      </c>
      <c r="I380" s="14">
        <v>0</v>
      </c>
      <c r="J380" s="50">
        <v>1</v>
      </c>
      <c r="K380" s="50">
        <v>22</v>
      </c>
      <c r="L380" s="14">
        <v>0</v>
      </c>
      <c r="M380" s="14">
        <v>0</v>
      </c>
      <c r="N380" s="50">
        <v>0</v>
      </c>
      <c r="O380" s="14">
        <v>1</v>
      </c>
      <c r="P380" s="14">
        <v>1</v>
      </c>
      <c r="Q380" s="13" t="s">
        <v>113</v>
      </c>
      <c r="R380" s="13" t="s">
        <v>113</v>
      </c>
      <c r="S380" s="13" t="s">
        <v>113</v>
      </c>
      <c r="T380" s="13" t="s">
        <v>113</v>
      </c>
      <c r="U380" s="13" t="s">
        <v>113</v>
      </c>
      <c r="V380" s="14">
        <v>1</v>
      </c>
      <c r="W380" s="13" t="s">
        <v>113</v>
      </c>
      <c r="X380" s="13" t="s">
        <v>113</v>
      </c>
      <c r="Y380" s="13" t="s">
        <v>113</v>
      </c>
      <c r="Z380" s="50">
        <v>72</v>
      </c>
      <c r="AA380" s="13" t="s">
        <v>113</v>
      </c>
      <c r="AB380" s="13" t="s">
        <v>113</v>
      </c>
      <c r="AC380" s="14">
        <v>401</v>
      </c>
      <c r="AD380" s="13" t="s">
        <v>113</v>
      </c>
      <c r="AE380" s="13" t="s">
        <v>113</v>
      </c>
      <c r="AF380" s="13" t="s">
        <v>113</v>
      </c>
      <c r="AG380" s="13" t="s">
        <v>113</v>
      </c>
      <c r="AH380" s="13" t="s">
        <v>113</v>
      </c>
      <c r="AI380" s="13" t="s">
        <v>113</v>
      </c>
      <c r="AJ380" s="13" t="s">
        <v>113</v>
      </c>
      <c r="AK380" s="13" t="s">
        <v>113</v>
      </c>
      <c r="AL380" s="13" t="s">
        <v>113</v>
      </c>
      <c r="AM380" s="13"/>
      <c r="AN380" s="13" t="s">
        <v>113</v>
      </c>
      <c r="AO380" s="13" t="s">
        <v>174</v>
      </c>
      <c r="AP380" s="14">
        <v>491</v>
      </c>
      <c r="AQ380" s="69" t="s">
        <v>100</v>
      </c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</row>
    <row r="381" spans="1:61" ht="16.5">
      <c r="A381" s="18">
        <v>165</v>
      </c>
      <c r="C381" s="74" t="s">
        <v>288</v>
      </c>
      <c r="D381" s="86">
        <f>IFERROR(VLOOKUP(C381, $C$2:D380, 2, FALSE), MAX($D$2:D380)+1)</f>
        <v>27</v>
      </c>
      <c r="E381" s="18">
        <v>71.95</v>
      </c>
      <c r="G381" s="18">
        <v>0</v>
      </c>
      <c r="H381" s="18">
        <v>0</v>
      </c>
      <c r="J381" s="18">
        <v>9.52</v>
      </c>
      <c r="K381" s="18">
        <v>18.53</v>
      </c>
      <c r="N381" s="18">
        <v>0</v>
      </c>
      <c r="Z381" s="18">
        <v>55</v>
      </c>
      <c r="AQ381" s="70" t="s">
        <v>59</v>
      </c>
    </row>
    <row r="382" spans="1:61" ht="16.5">
      <c r="A382" s="18">
        <v>186</v>
      </c>
      <c r="C382" s="74" t="s">
        <v>288</v>
      </c>
      <c r="D382" s="86">
        <f>IFERROR(VLOOKUP(C382, $C$2:D381, 2, FALSE), MAX($D$2:D381)+1)</f>
        <v>27</v>
      </c>
      <c r="E382" s="18">
        <v>75.94</v>
      </c>
      <c r="G382" s="18">
        <v>0</v>
      </c>
      <c r="H382" s="18">
        <v>0</v>
      </c>
      <c r="J382" s="18">
        <v>4.5</v>
      </c>
      <c r="K382" s="18">
        <v>19.559999999999999</v>
      </c>
      <c r="N382" s="18">
        <v>0</v>
      </c>
      <c r="Z382" s="18">
        <v>63</v>
      </c>
      <c r="AQ382" s="70" t="s">
        <v>59</v>
      </c>
    </row>
    <row r="383" spans="1:61" ht="16.5">
      <c r="A383" s="49">
        <v>388</v>
      </c>
      <c r="B383" s="13" t="s">
        <v>113</v>
      </c>
      <c r="C383" s="74" t="s">
        <v>290</v>
      </c>
      <c r="D383" s="86">
        <f>IFERROR(VLOOKUP(C383, $C$2:D382, 2, FALSE), MAX($D$2:D382)+1)</f>
        <v>28</v>
      </c>
      <c r="E383" s="50">
        <v>74.48</v>
      </c>
      <c r="F383" s="14">
        <v>0</v>
      </c>
      <c r="G383" s="50">
        <v>0</v>
      </c>
      <c r="H383" s="50">
        <v>0</v>
      </c>
      <c r="I383" s="14">
        <v>0</v>
      </c>
      <c r="J383" s="50">
        <v>4.5699999999999994</v>
      </c>
      <c r="K383" s="50">
        <v>19.869999999999997</v>
      </c>
      <c r="L383" s="14">
        <v>0</v>
      </c>
      <c r="M383" s="14">
        <v>0</v>
      </c>
      <c r="N383" s="50">
        <v>1.0699999999999998</v>
      </c>
      <c r="O383" s="14">
        <v>1</v>
      </c>
      <c r="P383" s="14">
        <v>1</v>
      </c>
      <c r="Q383" s="13" t="s">
        <v>113</v>
      </c>
      <c r="R383" s="13" t="s">
        <v>113</v>
      </c>
      <c r="S383" s="13" t="s">
        <v>113</v>
      </c>
      <c r="T383" s="13" t="s">
        <v>113</v>
      </c>
      <c r="U383" s="13" t="s">
        <v>113</v>
      </c>
      <c r="V383" s="13">
        <v>1</v>
      </c>
      <c r="W383" s="13" t="s">
        <v>113</v>
      </c>
      <c r="X383" s="13" t="s">
        <v>113</v>
      </c>
      <c r="Y383" s="13" t="s">
        <v>113</v>
      </c>
      <c r="Z383" s="50">
        <v>48</v>
      </c>
      <c r="AA383" s="13" t="s">
        <v>113</v>
      </c>
      <c r="AB383" s="13" t="s">
        <v>113</v>
      </c>
      <c r="AC383" s="14">
        <v>432</v>
      </c>
      <c r="AD383" s="13" t="s">
        <v>113</v>
      </c>
      <c r="AE383" s="13" t="s">
        <v>113</v>
      </c>
      <c r="AF383" s="13" t="s">
        <v>113</v>
      </c>
      <c r="AG383" s="13" t="s">
        <v>113</v>
      </c>
      <c r="AH383" s="13" t="s">
        <v>113</v>
      </c>
      <c r="AI383" s="13" t="s">
        <v>113</v>
      </c>
      <c r="AJ383" s="13" t="s">
        <v>113</v>
      </c>
      <c r="AK383" s="13" t="s">
        <v>113</v>
      </c>
      <c r="AL383" s="13" t="s">
        <v>113</v>
      </c>
      <c r="AM383" s="13"/>
      <c r="AN383" s="13" t="s">
        <v>113</v>
      </c>
      <c r="AO383" s="13" t="s">
        <v>174</v>
      </c>
      <c r="AP383" s="14">
        <v>388</v>
      </c>
      <c r="AQ383" s="69" t="s">
        <v>100</v>
      </c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 spans="1:61" ht="16.5">
      <c r="A384" s="49">
        <v>389</v>
      </c>
      <c r="B384" s="13" t="s">
        <v>113</v>
      </c>
      <c r="C384" s="74" t="s">
        <v>290</v>
      </c>
      <c r="D384" s="86">
        <f>IFERROR(VLOOKUP(C384, $C$2:D383, 2, FALSE), MAX($D$2:D383)+1)</f>
        <v>28</v>
      </c>
      <c r="E384" s="50">
        <v>72.52</v>
      </c>
      <c r="F384" s="14">
        <v>0</v>
      </c>
      <c r="G384" s="50">
        <v>0</v>
      </c>
      <c r="H384" s="50">
        <v>0</v>
      </c>
      <c r="I384" s="14">
        <v>0</v>
      </c>
      <c r="J384" s="50">
        <v>4.67</v>
      </c>
      <c r="K384" s="50">
        <v>20.29</v>
      </c>
      <c r="L384" s="14">
        <v>0</v>
      </c>
      <c r="M384" s="14">
        <v>0</v>
      </c>
      <c r="N384" s="50">
        <v>2.52</v>
      </c>
      <c r="O384" s="14">
        <v>1</v>
      </c>
      <c r="P384" s="14">
        <v>1</v>
      </c>
      <c r="Q384" s="13" t="s">
        <v>113</v>
      </c>
      <c r="R384" s="13" t="s">
        <v>113</v>
      </c>
      <c r="S384" s="13" t="s">
        <v>113</v>
      </c>
      <c r="T384" s="13" t="s">
        <v>113</v>
      </c>
      <c r="U384" s="13" t="s">
        <v>113</v>
      </c>
      <c r="V384" s="13">
        <v>1</v>
      </c>
      <c r="W384" s="13" t="s">
        <v>113</v>
      </c>
      <c r="X384" s="13" t="s">
        <v>113</v>
      </c>
      <c r="Y384" s="13" t="s">
        <v>113</v>
      </c>
      <c r="Z384" s="50">
        <v>55</v>
      </c>
      <c r="AA384" s="13" t="s">
        <v>113</v>
      </c>
      <c r="AB384" s="13" t="s">
        <v>113</v>
      </c>
      <c r="AC384" s="14">
        <v>367</v>
      </c>
      <c r="AD384" s="13" t="s">
        <v>113</v>
      </c>
      <c r="AE384" s="13" t="s">
        <v>113</v>
      </c>
      <c r="AF384" s="13" t="s">
        <v>113</v>
      </c>
      <c r="AG384" s="13" t="s">
        <v>113</v>
      </c>
      <c r="AH384" s="13" t="s">
        <v>113</v>
      </c>
      <c r="AI384" s="13" t="s">
        <v>113</v>
      </c>
      <c r="AJ384" s="13" t="s">
        <v>113</v>
      </c>
      <c r="AK384" s="13" t="s">
        <v>113</v>
      </c>
      <c r="AL384" s="13" t="s">
        <v>113</v>
      </c>
      <c r="AM384" s="13"/>
      <c r="AN384" s="13" t="s">
        <v>113</v>
      </c>
      <c r="AO384" s="13" t="s">
        <v>174</v>
      </c>
      <c r="AP384" s="14">
        <v>389</v>
      </c>
      <c r="AQ384" s="69" t="s">
        <v>100</v>
      </c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</row>
    <row r="385" spans="1:61" ht="16.5">
      <c r="A385" s="49">
        <v>390</v>
      </c>
      <c r="B385" s="13" t="s">
        <v>113</v>
      </c>
      <c r="C385" s="74" t="s">
        <v>290</v>
      </c>
      <c r="D385" s="86">
        <f>IFERROR(VLOOKUP(C385, $C$2:D384, 2, FALSE), MAX($D$2:D384)+1)</f>
        <v>28</v>
      </c>
      <c r="E385" s="50">
        <v>71.430000000000007</v>
      </c>
      <c r="F385" s="14">
        <v>0</v>
      </c>
      <c r="G385" s="50">
        <v>0</v>
      </c>
      <c r="H385" s="50">
        <v>0</v>
      </c>
      <c r="I385" s="14">
        <v>0</v>
      </c>
      <c r="J385" s="50">
        <v>4.72</v>
      </c>
      <c r="K385" s="50">
        <v>20.52</v>
      </c>
      <c r="L385" s="14">
        <v>0</v>
      </c>
      <c r="M385" s="14">
        <v>0</v>
      </c>
      <c r="N385" s="50">
        <v>3.32</v>
      </c>
      <c r="O385" s="14">
        <v>1</v>
      </c>
      <c r="P385" s="14">
        <v>1</v>
      </c>
      <c r="Q385" s="13" t="s">
        <v>113</v>
      </c>
      <c r="R385" s="13" t="s">
        <v>113</v>
      </c>
      <c r="S385" s="13" t="s">
        <v>113</v>
      </c>
      <c r="T385" s="13" t="s">
        <v>113</v>
      </c>
      <c r="U385" s="13" t="s">
        <v>113</v>
      </c>
      <c r="V385" s="13">
        <v>1</v>
      </c>
      <c r="W385" s="13" t="s">
        <v>113</v>
      </c>
      <c r="X385" s="13" t="s">
        <v>113</v>
      </c>
      <c r="Y385" s="13" t="s">
        <v>113</v>
      </c>
      <c r="Z385" s="50">
        <v>69</v>
      </c>
      <c r="AA385" s="13" t="s">
        <v>113</v>
      </c>
      <c r="AB385" s="13" t="s">
        <v>113</v>
      </c>
      <c r="AC385" s="14">
        <v>501</v>
      </c>
      <c r="AD385" s="13" t="s">
        <v>113</v>
      </c>
      <c r="AE385" s="13" t="s">
        <v>113</v>
      </c>
      <c r="AF385" s="13" t="s">
        <v>113</v>
      </c>
      <c r="AG385" s="13" t="s">
        <v>113</v>
      </c>
      <c r="AH385" s="13" t="s">
        <v>113</v>
      </c>
      <c r="AI385" s="13" t="s">
        <v>113</v>
      </c>
      <c r="AJ385" s="13" t="s">
        <v>113</v>
      </c>
      <c r="AK385" s="13" t="s">
        <v>113</v>
      </c>
      <c r="AL385" s="13" t="s">
        <v>113</v>
      </c>
      <c r="AM385" s="13"/>
      <c r="AN385" s="13" t="s">
        <v>113</v>
      </c>
      <c r="AO385" s="13" t="s">
        <v>174</v>
      </c>
      <c r="AP385" s="14">
        <v>390</v>
      </c>
      <c r="AQ385" s="69" t="s">
        <v>100</v>
      </c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 spans="1:61" ht="16.5">
      <c r="A386" s="18">
        <v>187</v>
      </c>
      <c r="C386" s="74" t="s">
        <v>290</v>
      </c>
      <c r="D386" s="86">
        <f>IFERROR(VLOOKUP(C386, $C$2:D385, 2, FALSE), MAX($D$2:D385)+1)</f>
        <v>28</v>
      </c>
      <c r="E386" s="18">
        <v>74.48</v>
      </c>
      <c r="G386" s="18">
        <v>0</v>
      </c>
      <c r="H386" s="18">
        <v>0</v>
      </c>
      <c r="J386" s="18">
        <v>4.58</v>
      </c>
      <c r="K386" s="18">
        <v>19.87</v>
      </c>
      <c r="N386" s="18">
        <v>1.07</v>
      </c>
      <c r="Z386" s="18">
        <v>69</v>
      </c>
      <c r="AQ386" s="70" t="s">
        <v>59</v>
      </c>
    </row>
    <row r="387" spans="1:61" ht="16.5">
      <c r="A387" s="35">
        <v>405</v>
      </c>
      <c r="B387" s="66" t="s">
        <v>113</v>
      </c>
      <c r="C387" s="74" t="s">
        <v>295</v>
      </c>
      <c r="D387" s="86">
        <f>IFERROR(VLOOKUP(C387, $C$2:D386, 2, FALSE), MAX($D$2:D386)+1)</f>
        <v>29</v>
      </c>
      <c r="E387" s="36">
        <v>93.06</v>
      </c>
      <c r="F387" s="67">
        <v>0</v>
      </c>
      <c r="G387" s="36">
        <v>0</v>
      </c>
      <c r="H387" s="36">
        <v>0</v>
      </c>
      <c r="I387" s="67">
        <v>0</v>
      </c>
      <c r="J387" s="36">
        <v>0</v>
      </c>
      <c r="K387" s="36">
        <v>0</v>
      </c>
      <c r="L387" s="67">
        <v>0</v>
      </c>
      <c r="M387" s="67">
        <v>6.94</v>
      </c>
      <c r="N387" s="36">
        <v>0</v>
      </c>
      <c r="O387" s="67">
        <v>1</v>
      </c>
      <c r="P387" s="72" t="s">
        <v>173</v>
      </c>
      <c r="Q387" s="66">
        <v>0</v>
      </c>
      <c r="R387" s="66">
        <v>0</v>
      </c>
      <c r="S387" s="66">
        <v>0</v>
      </c>
      <c r="T387" s="66">
        <v>0</v>
      </c>
      <c r="U387" s="66">
        <v>0</v>
      </c>
      <c r="V387" s="66">
        <v>0</v>
      </c>
      <c r="W387" s="66">
        <v>0</v>
      </c>
      <c r="X387" s="66">
        <v>0</v>
      </c>
      <c r="Y387" s="66">
        <v>0</v>
      </c>
      <c r="Z387" s="36">
        <v>129</v>
      </c>
      <c r="AA387" s="66" t="s">
        <v>113</v>
      </c>
      <c r="AB387" s="66" t="s">
        <v>113</v>
      </c>
      <c r="AC387" s="67">
        <v>1560</v>
      </c>
      <c r="AD387" s="66" t="s">
        <v>113</v>
      </c>
      <c r="AE387" s="66" t="s">
        <v>113</v>
      </c>
      <c r="AF387" s="66" t="s">
        <v>113</v>
      </c>
      <c r="AG387" s="66" t="s">
        <v>113</v>
      </c>
      <c r="AH387" s="66" t="s">
        <v>113</v>
      </c>
      <c r="AI387" s="66" t="s">
        <v>113</v>
      </c>
      <c r="AJ387" s="66" t="s">
        <v>113</v>
      </c>
      <c r="AK387" s="66" t="s">
        <v>113</v>
      </c>
      <c r="AL387" s="66" t="s">
        <v>113</v>
      </c>
      <c r="AM387" s="66"/>
      <c r="AN387" s="66" t="s">
        <v>113</v>
      </c>
      <c r="AO387" s="66" t="s">
        <v>174</v>
      </c>
      <c r="AP387" s="67">
        <v>405</v>
      </c>
      <c r="AQ387" s="71" t="s">
        <v>100</v>
      </c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1:61" ht="16.5">
      <c r="A388" s="35">
        <v>434</v>
      </c>
      <c r="B388" s="66" t="s">
        <v>113</v>
      </c>
      <c r="C388" s="74" t="s">
        <v>295</v>
      </c>
      <c r="D388" s="86">
        <f>IFERROR(VLOOKUP(C388, $C$2:D387, 2, FALSE), MAX($D$2:D387)+1)</f>
        <v>29</v>
      </c>
      <c r="E388" s="36">
        <v>93.94</v>
      </c>
      <c r="F388" s="67">
        <v>0</v>
      </c>
      <c r="G388" s="36">
        <v>0</v>
      </c>
      <c r="H388" s="36">
        <v>0</v>
      </c>
      <c r="I388" s="67">
        <v>0</v>
      </c>
      <c r="J388" s="36">
        <v>0</v>
      </c>
      <c r="K388" s="36">
        <v>0</v>
      </c>
      <c r="L388" s="67">
        <v>0</v>
      </c>
      <c r="M388" s="67">
        <v>6.0600000000000005</v>
      </c>
      <c r="N388" s="36">
        <v>0</v>
      </c>
      <c r="O388" s="67">
        <v>1</v>
      </c>
      <c r="P388" s="72" t="s">
        <v>173</v>
      </c>
      <c r="Q388" s="66">
        <v>0</v>
      </c>
      <c r="R388" s="66">
        <v>0</v>
      </c>
      <c r="S388" s="66">
        <v>0</v>
      </c>
      <c r="T388" s="66">
        <v>0</v>
      </c>
      <c r="U388" s="66">
        <v>0</v>
      </c>
      <c r="V388" s="66">
        <v>0</v>
      </c>
      <c r="W388" s="66">
        <v>0</v>
      </c>
      <c r="X388" s="66">
        <v>0</v>
      </c>
      <c r="Y388" s="66">
        <v>0</v>
      </c>
      <c r="Z388" s="36">
        <v>130</v>
      </c>
      <c r="AA388" s="66" t="s">
        <v>113</v>
      </c>
      <c r="AB388" s="66" t="s">
        <v>113</v>
      </c>
      <c r="AC388" s="67">
        <v>1847</v>
      </c>
      <c r="AD388" s="66" t="s">
        <v>113</v>
      </c>
      <c r="AE388" s="66" t="s">
        <v>113</v>
      </c>
      <c r="AF388" s="66" t="s">
        <v>113</v>
      </c>
      <c r="AG388" s="66" t="s">
        <v>113</v>
      </c>
      <c r="AH388" s="66" t="s">
        <v>113</v>
      </c>
      <c r="AI388" s="66" t="s">
        <v>113</v>
      </c>
      <c r="AJ388" s="66" t="s">
        <v>113</v>
      </c>
      <c r="AK388" s="66" t="s">
        <v>113</v>
      </c>
      <c r="AL388" s="66" t="s">
        <v>113</v>
      </c>
      <c r="AM388" s="66"/>
      <c r="AN388" s="66" t="s">
        <v>113</v>
      </c>
      <c r="AO388" s="66" t="s">
        <v>174</v>
      </c>
      <c r="AP388" s="67">
        <v>434</v>
      </c>
      <c r="AQ388" s="71" t="s">
        <v>100</v>
      </c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1:61" ht="16.5">
      <c r="A389" s="35">
        <v>440</v>
      </c>
      <c r="B389" s="66" t="s">
        <v>113</v>
      </c>
      <c r="C389" s="74" t="s">
        <v>296</v>
      </c>
      <c r="D389" s="86">
        <f>IFERROR(VLOOKUP(C389, $C$2:D388, 2, FALSE), MAX($D$2:D388)+1)</f>
        <v>30</v>
      </c>
      <c r="E389" s="36">
        <v>74.050000000000011</v>
      </c>
      <c r="F389" s="67">
        <v>0</v>
      </c>
      <c r="G389" s="36">
        <v>20.68</v>
      </c>
      <c r="H389" s="36">
        <v>0</v>
      </c>
      <c r="I389" s="67">
        <v>0</v>
      </c>
      <c r="J389" s="36">
        <v>0</v>
      </c>
      <c r="K389" s="36">
        <v>0</v>
      </c>
      <c r="L389" s="67">
        <v>2.1999999999999997</v>
      </c>
      <c r="M389" s="67">
        <v>3.0700000000000003</v>
      </c>
      <c r="N389" s="36">
        <v>0</v>
      </c>
      <c r="O389" s="67">
        <v>1</v>
      </c>
      <c r="P389" s="72" t="s">
        <v>173</v>
      </c>
      <c r="Q389" s="66">
        <v>0</v>
      </c>
      <c r="R389" s="66">
        <v>0</v>
      </c>
      <c r="S389" s="66">
        <v>0</v>
      </c>
      <c r="T389" s="66">
        <v>0</v>
      </c>
      <c r="U389" s="66">
        <v>0</v>
      </c>
      <c r="V389" s="67">
        <v>0</v>
      </c>
      <c r="W389" s="66">
        <v>0</v>
      </c>
      <c r="X389" s="66">
        <v>0</v>
      </c>
      <c r="Y389" s="66">
        <v>0</v>
      </c>
      <c r="Z389" s="36">
        <v>140</v>
      </c>
      <c r="AA389" s="66" t="s">
        <v>113</v>
      </c>
      <c r="AB389" s="66" t="s">
        <v>113</v>
      </c>
      <c r="AC389" s="67">
        <v>1049</v>
      </c>
      <c r="AD389" s="66" t="s">
        <v>113</v>
      </c>
      <c r="AE389" s="66" t="s">
        <v>113</v>
      </c>
      <c r="AF389" s="66" t="s">
        <v>113</v>
      </c>
      <c r="AG389" s="66" t="s">
        <v>113</v>
      </c>
      <c r="AH389" s="66" t="s">
        <v>113</v>
      </c>
      <c r="AI389" s="66" t="s">
        <v>113</v>
      </c>
      <c r="AJ389" s="66" t="s">
        <v>113</v>
      </c>
      <c r="AK389" s="66" t="s">
        <v>113</v>
      </c>
      <c r="AL389" s="66" t="s">
        <v>113</v>
      </c>
      <c r="AM389" s="66"/>
      <c r="AN389" s="66" t="s">
        <v>113</v>
      </c>
      <c r="AO389" s="66" t="s">
        <v>174</v>
      </c>
      <c r="AP389" s="67">
        <v>440</v>
      </c>
      <c r="AQ389" s="71" t="s">
        <v>100</v>
      </c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1:61" ht="16.5">
      <c r="A390" s="35">
        <v>441</v>
      </c>
      <c r="B390" s="66" t="s">
        <v>113</v>
      </c>
      <c r="C390" s="74" t="s">
        <v>296</v>
      </c>
      <c r="D390" s="86">
        <f>IFERROR(VLOOKUP(C390, $C$2:D389, 2, FALSE), MAX($D$2:D389)+1)</f>
        <v>30</v>
      </c>
      <c r="E390" s="36">
        <v>71.91</v>
      </c>
      <c r="F390" s="67">
        <v>0</v>
      </c>
      <c r="G390" s="36">
        <v>20.75</v>
      </c>
      <c r="H390" s="36">
        <v>0</v>
      </c>
      <c r="I390" s="67">
        <v>0</v>
      </c>
      <c r="J390" s="36">
        <v>0</v>
      </c>
      <c r="K390" s="36">
        <v>0</v>
      </c>
      <c r="L390" s="67">
        <v>2.21</v>
      </c>
      <c r="M390" s="67">
        <v>5.1400000000000006</v>
      </c>
      <c r="N390" s="36">
        <v>0</v>
      </c>
      <c r="O390" s="67">
        <v>1</v>
      </c>
      <c r="P390" s="72" t="s">
        <v>173</v>
      </c>
      <c r="Q390" s="66">
        <v>0</v>
      </c>
      <c r="R390" s="66">
        <v>0</v>
      </c>
      <c r="S390" s="66">
        <v>0</v>
      </c>
      <c r="T390" s="66">
        <v>0</v>
      </c>
      <c r="U390" s="66">
        <v>0</v>
      </c>
      <c r="V390" s="67">
        <v>0</v>
      </c>
      <c r="W390" s="66">
        <v>0</v>
      </c>
      <c r="X390" s="66">
        <v>0</v>
      </c>
      <c r="Y390" s="66">
        <v>0</v>
      </c>
      <c r="Z390" s="36">
        <v>145</v>
      </c>
      <c r="AA390" s="66" t="s">
        <v>113</v>
      </c>
      <c r="AB390" s="66" t="s">
        <v>113</v>
      </c>
      <c r="AC390" s="67">
        <v>1130</v>
      </c>
      <c r="AD390" s="66" t="s">
        <v>113</v>
      </c>
      <c r="AE390" s="66" t="s">
        <v>113</v>
      </c>
      <c r="AF390" s="66" t="s">
        <v>113</v>
      </c>
      <c r="AG390" s="66" t="s">
        <v>113</v>
      </c>
      <c r="AH390" s="66" t="s">
        <v>113</v>
      </c>
      <c r="AI390" s="66" t="s">
        <v>113</v>
      </c>
      <c r="AJ390" s="66" t="s">
        <v>113</v>
      </c>
      <c r="AK390" s="66" t="s">
        <v>113</v>
      </c>
      <c r="AL390" s="66" t="s">
        <v>113</v>
      </c>
      <c r="AM390" s="66"/>
      <c r="AN390" s="66" t="s">
        <v>113</v>
      </c>
      <c r="AO390" s="66" t="s">
        <v>174</v>
      </c>
      <c r="AP390" s="67">
        <v>441</v>
      </c>
      <c r="AQ390" s="71" t="s">
        <v>100</v>
      </c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1:61" ht="16.5">
      <c r="A391" s="35">
        <v>442</v>
      </c>
      <c r="B391" s="66" t="s">
        <v>113</v>
      </c>
      <c r="C391" s="74" t="s">
        <v>296</v>
      </c>
      <c r="D391" s="86">
        <f>IFERROR(VLOOKUP(C391, $C$2:D390, 2, FALSE), MAX($D$2:D390)+1)</f>
        <v>30</v>
      </c>
      <c r="E391" s="36">
        <v>69.75</v>
      </c>
      <c r="F391" s="67">
        <v>0</v>
      </c>
      <c r="G391" s="36">
        <v>20.82</v>
      </c>
      <c r="H391" s="36">
        <v>0</v>
      </c>
      <c r="I391" s="67">
        <v>0</v>
      </c>
      <c r="J391" s="36">
        <v>0</v>
      </c>
      <c r="K391" s="36">
        <v>0</v>
      </c>
      <c r="L391" s="67">
        <v>2.21</v>
      </c>
      <c r="M391" s="67">
        <v>7.22</v>
      </c>
      <c r="N391" s="36">
        <v>0</v>
      </c>
      <c r="O391" s="67">
        <v>1</v>
      </c>
      <c r="P391" s="72" t="s">
        <v>173</v>
      </c>
      <c r="Q391" s="66">
        <v>0</v>
      </c>
      <c r="R391" s="66">
        <v>0</v>
      </c>
      <c r="S391" s="66">
        <v>0</v>
      </c>
      <c r="T391" s="66">
        <v>0</v>
      </c>
      <c r="U391" s="66">
        <v>0</v>
      </c>
      <c r="V391" s="67">
        <v>0</v>
      </c>
      <c r="W391" s="66">
        <v>0</v>
      </c>
      <c r="X391" s="66">
        <v>0</v>
      </c>
      <c r="Y391" s="66">
        <v>0</v>
      </c>
      <c r="Z391" s="36">
        <v>157</v>
      </c>
      <c r="AA391" s="66" t="s">
        <v>113</v>
      </c>
      <c r="AB391" s="66" t="s">
        <v>113</v>
      </c>
      <c r="AC391" s="67">
        <v>1239</v>
      </c>
      <c r="AD391" s="66" t="s">
        <v>113</v>
      </c>
      <c r="AE391" s="66" t="s">
        <v>113</v>
      </c>
      <c r="AF391" s="66" t="s">
        <v>113</v>
      </c>
      <c r="AG391" s="66" t="s">
        <v>113</v>
      </c>
      <c r="AH391" s="66" t="s">
        <v>113</v>
      </c>
      <c r="AI391" s="66" t="s">
        <v>113</v>
      </c>
      <c r="AJ391" s="66" t="s">
        <v>113</v>
      </c>
      <c r="AK391" s="66" t="s">
        <v>113</v>
      </c>
      <c r="AL391" s="66" t="s">
        <v>113</v>
      </c>
      <c r="AM391" s="66"/>
      <c r="AN391" s="66" t="s">
        <v>113</v>
      </c>
      <c r="AO391" s="66" t="s">
        <v>174</v>
      </c>
      <c r="AP391" s="67">
        <v>442</v>
      </c>
      <c r="AQ391" s="71" t="s">
        <v>100</v>
      </c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1:61" ht="16.5">
      <c r="A392" s="35">
        <v>443</v>
      </c>
      <c r="B392" s="66" t="s">
        <v>113</v>
      </c>
      <c r="C392" s="74" t="s">
        <v>296</v>
      </c>
      <c r="D392" s="86">
        <f>IFERROR(VLOOKUP(C392, $C$2:D391, 2, FALSE), MAX($D$2:D391)+1)</f>
        <v>30</v>
      </c>
      <c r="E392" s="36">
        <v>71.8</v>
      </c>
      <c r="F392" s="67">
        <v>0</v>
      </c>
      <c r="G392" s="36">
        <v>20.72</v>
      </c>
      <c r="H392" s="36">
        <v>0</v>
      </c>
      <c r="I392" s="67">
        <v>0</v>
      </c>
      <c r="J392" s="36">
        <v>0</v>
      </c>
      <c r="K392" s="36">
        <v>0</v>
      </c>
      <c r="L392" s="67">
        <v>4.41</v>
      </c>
      <c r="M392" s="67">
        <v>3.08</v>
      </c>
      <c r="N392" s="36">
        <v>0</v>
      </c>
      <c r="O392" s="67">
        <v>1</v>
      </c>
      <c r="P392" s="72" t="s">
        <v>173</v>
      </c>
      <c r="Q392" s="66">
        <v>0</v>
      </c>
      <c r="R392" s="66">
        <v>0</v>
      </c>
      <c r="S392" s="66">
        <v>0</v>
      </c>
      <c r="T392" s="66">
        <v>0</v>
      </c>
      <c r="U392" s="66">
        <v>0</v>
      </c>
      <c r="V392" s="67">
        <v>0</v>
      </c>
      <c r="W392" s="66">
        <v>0</v>
      </c>
      <c r="X392" s="66">
        <v>0</v>
      </c>
      <c r="Y392" s="66">
        <v>0</v>
      </c>
      <c r="Z392" s="36">
        <v>130</v>
      </c>
      <c r="AA392" s="66" t="s">
        <v>113</v>
      </c>
      <c r="AB392" s="66" t="s">
        <v>113</v>
      </c>
      <c r="AC392" s="67">
        <v>1113</v>
      </c>
      <c r="AD392" s="66" t="s">
        <v>113</v>
      </c>
      <c r="AE392" s="66" t="s">
        <v>113</v>
      </c>
      <c r="AF392" s="66" t="s">
        <v>113</v>
      </c>
      <c r="AG392" s="66" t="s">
        <v>113</v>
      </c>
      <c r="AH392" s="66" t="s">
        <v>113</v>
      </c>
      <c r="AI392" s="66" t="s">
        <v>113</v>
      </c>
      <c r="AJ392" s="66" t="s">
        <v>113</v>
      </c>
      <c r="AK392" s="66" t="s">
        <v>113</v>
      </c>
      <c r="AL392" s="66" t="s">
        <v>113</v>
      </c>
      <c r="AM392" s="66"/>
      <c r="AN392" s="66" t="s">
        <v>113</v>
      </c>
      <c r="AO392" s="66" t="s">
        <v>174</v>
      </c>
      <c r="AP392" s="67">
        <v>443</v>
      </c>
      <c r="AQ392" s="71" t="s">
        <v>100</v>
      </c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1:61" ht="16.5">
      <c r="A393" s="35">
        <v>444</v>
      </c>
      <c r="B393" s="66" t="s">
        <v>113</v>
      </c>
      <c r="C393" s="74" t="s">
        <v>296</v>
      </c>
      <c r="D393" s="86">
        <f>IFERROR(VLOOKUP(C393, $C$2:D392, 2, FALSE), MAX($D$2:D392)+1)</f>
        <v>30</v>
      </c>
      <c r="E393" s="36">
        <v>69.64</v>
      </c>
      <c r="F393" s="67">
        <v>0</v>
      </c>
      <c r="G393" s="36">
        <v>20.79</v>
      </c>
      <c r="H393" s="36">
        <v>0</v>
      </c>
      <c r="I393" s="67">
        <v>0</v>
      </c>
      <c r="J393" s="36">
        <v>0</v>
      </c>
      <c r="K393" s="36">
        <v>0</v>
      </c>
      <c r="L393" s="67">
        <v>4.42</v>
      </c>
      <c r="M393" s="67">
        <v>5.1499999999999995</v>
      </c>
      <c r="N393" s="36">
        <v>0</v>
      </c>
      <c r="O393" s="67">
        <v>1</v>
      </c>
      <c r="P393" s="72" t="s">
        <v>173</v>
      </c>
      <c r="Q393" s="66">
        <v>0</v>
      </c>
      <c r="R393" s="66">
        <v>0</v>
      </c>
      <c r="S393" s="66">
        <v>0</v>
      </c>
      <c r="T393" s="66">
        <v>0</v>
      </c>
      <c r="U393" s="66">
        <v>0</v>
      </c>
      <c r="V393" s="67">
        <v>0</v>
      </c>
      <c r="W393" s="66">
        <v>0</v>
      </c>
      <c r="X393" s="66">
        <v>0</v>
      </c>
      <c r="Y393" s="66">
        <v>0</v>
      </c>
      <c r="Z393" s="36">
        <v>142</v>
      </c>
      <c r="AA393" s="66" t="s">
        <v>113</v>
      </c>
      <c r="AB393" s="66" t="s">
        <v>113</v>
      </c>
      <c r="AC393" s="67">
        <v>1210</v>
      </c>
      <c r="AD393" s="66" t="s">
        <v>113</v>
      </c>
      <c r="AE393" s="66" t="s">
        <v>113</v>
      </c>
      <c r="AF393" s="66" t="s">
        <v>113</v>
      </c>
      <c r="AG393" s="66" t="s">
        <v>113</v>
      </c>
      <c r="AH393" s="66" t="s">
        <v>113</v>
      </c>
      <c r="AI393" s="66" t="s">
        <v>113</v>
      </c>
      <c r="AJ393" s="66" t="s">
        <v>113</v>
      </c>
      <c r="AK393" s="66" t="s">
        <v>113</v>
      </c>
      <c r="AL393" s="66" t="s">
        <v>113</v>
      </c>
      <c r="AM393" s="66"/>
      <c r="AN393" s="66" t="s">
        <v>113</v>
      </c>
      <c r="AO393" s="66" t="s">
        <v>174</v>
      </c>
      <c r="AP393" s="67">
        <v>444</v>
      </c>
      <c r="AQ393" s="71" t="s">
        <v>100</v>
      </c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1:61" ht="16.5">
      <c r="A394" s="35">
        <v>445</v>
      </c>
      <c r="B394" s="66" t="s">
        <v>113</v>
      </c>
      <c r="C394" s="74" t="s">
        <v>296</v>
      </c>
      <c r="D394" s="86">
        <f>IFERROR(VLOOKUP(C394, $C$2:D393, 2, FALSE), MAX($D$2:D393)+1)</f>
        <v>30</v>
      </c>
      <c r="E394" s="36">
        <v>67.47</v>
      </c>
      <c r="F394" s="67">
        <v>0</v>
      </c>
      <c r="G394" s="36">
        <v>20.86</v>
      </c>
      <c r="H394" s="36">
        <v>0</v>
      </c>
      <c r="I394" s="67">
        <v>0</v>
      </c>
      <c r="J394" s="36">
        <v>0</v>
      </c>
      <c r="K394" s="36">
        <v>0</v>
      </c>
      <c r="L394" s="67">
        <v>4.4400000000000004</v>
      </c>
      <c r="M394" s="67">
        <v>7.23</v>
      </c>
      <c r="N394" s="36">
        <v>0</v>
      </c>
      <c r="O394" s="67">
        <v>1</v>
      </c>
      <c r="P394" s="72" t="s">
        <v>173</v>
      </c>
      <c r="Q394" s="66">
        <v>0</v>
      </c>
      <c r="R394" s="66">
        <v>0</v>
      </c>
      <c r="S394" s="66">
        <v>0</v>
      </c>
      <c r="T394" s="66">
        <v>0</v>
      </c>
      <c r="U394" s="66">
        <v>0</v>
      </c>
      <c r="V394" s="67">
        <v>0</v>
      </c>
      <c r="W394" s="66">
        <v>0</v>
      </c>
      <c r="X394" s="66">
        <v>0</v>
      </c>
      <c r="Y394" s="66">
        <v>0</v>
      </c>
      <c r="Z394" s="36">
        <v>149</v>
      </c>
      <c r="AA394" s="66" t="s">
        <v>113</v>
      </c>
      <c r="AB394" s="66" t="s">
        <v>113</v>
      </c>
      <c r="AC394" s="67">
        <v>1287</v>
      </c>
      <c r="AD394" s="66" t="s">
        <v>113</v>
      </c>
      <c r="AE394" s="66" t="s">
        <v>113</v>
      </c>
      <c r="AF394" s="66" t="s">
        <v>113</v>
      </c>
      <c r="AG394" s="66" t="s">
        <v>113</v>
      </c>
      <c r="AH394" s="66" t="s">
        <v>113</v>
      </c>
      <c r="AI394" s="66" t="s">
        <v>113</v>
      </c>
      <c r="AJ394" s="66" t="s">
        <v>113</v>
      </c>
      <c r="AK394" s="66" t="s">
        <v>113</v>
      </c>
      <c r="AL394" s="66" t="s">
        <v>113</v>
      </c>
      <c r="AM394" s="66"/>
      <c r="AN394" s="66" t="s">
        <v>113</v>
      </c>
      <c r="AO394" s="66" t="s">
        <v>174</v>
      </c>
      <c r="AP394" s="67">
        <v>445</v>
      </c>
      <c r="AQ394" s="71" t="s">
        <v>100</v>
      </c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1:61" ht="16.5">
      <c r="A395" s="49">
        <v>375</v>
      </c>
      <c r="B395" s="13" t="s">
        <v>113</v>
      </c>
      <c r="C395" s="74" t="s">
        <v>297</v>
      </c>
      <c r="D395" s="86">
        <f>IFERROR(VLOOKUP(C395, $C$2:D394, 2, FALSE), MAX($D$2:D394)+1)</f>
        <v>31</v>
      </c>
      <c r="E395" s="50">
        <v>88.06</v>
      </c>
      <c r="F395" s="14">
        <v>0</v>
      </c>
      <c r="G395" s="50">
        <v>3.47</v>
      </c>
      <c r="H395" s="50">
        <v>6.59</v>
      </c>
      <c r="I395" s="14">
        <v>0</v>
      </c>
      <c r="J395" s="50">
        <v>0</v>
      </c>
      <c r="K395" s="50">
        <v>0</v>
      </c>
      <c r="L395" s="14">
        <v>0</v>
      </c>
      <c r="M395" s="14">
        <v>1.8900000000000001</v>
      </c>
      <c r="N395" s="50">
        <v>0</v>
      </c>
      <c r="O395" s="14">
        <v>1</v>
      </c>
      <c r="P395" s="14">
        <v>1</v>
      </c>
      <c r="Q395" s="13" t="s">
        <v>113</v>
      </c>
      <c r="R395" s="13" t="s">
        <v>113</v>
      </c>
      <c r="S395" s="13" t="s">
        <v>113</v>
      </c>
      <c r="T395" s="13" t="s">
        <v>113</v>
      </c>
      <c r="U395" s="13" t="s">
        <v>113</v>
      </c>
      <c r="V395" s="13">
        <v>2</v>
      </c>
      <c r="W395" s="13" t="s">
        <v>113</v>
      </c>
      <c r="X395" s="13" t="s">
        <v>113</v>
      </c>
      <c r="Y395" s="13" t="s">
        <v>113</v>
      </c>
      <c r="Z395" s="50">
        <v>79.5</v>
      </c>
      <c r="AA395" s="13" t="s">
        <v>113</v>
      </c>
      <c r="AB395" s="13" t="s">
        <v>113</v>
      </c>
      <c r="AC395" s="14">
        <v>897</v>
      </c>
      <c r="AD395" s="13" t="s">
        <v>113</v>
      </c>
      <c r="AE395" s="13" t="s">
        <v>113</v>
      </c>
      <c r="AF395" s="13" t="s">
        <v>113</v>
      </c>
      <c r="AG395" s="13" t="s">
        <v>113</v>
      </c>
      <c r="AH395" s="13" t="s">
        <v>113</v>
      </c>
      <c r="AI395" s="13" t="s">
        <v>113</v>
      </c>
      <c r="AJ395" s="13" t="s">
        <v>113</v>
      </c>
      <c r="AK395" s="13" t="s">
        <v>113</v>
      </c>
      <c r="AL395" s="13" t="s">
        <v>113</v>
      </c>
      <c r="AM395" s="13"/>
      <c r="AN395" s="13" t="s">
        <v>113</v>
      </c>
      <c r="AO395" s="13" t="s">
        <v>174</v>
      </c>
      <c r="AP395" s="14">
        <v>375</v>
      </c>
      <c r="AQ395" s="69" t="s">
        <v>100</v>
      </c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 spans="1:61" ht="16.5">
      <c r="A396" s="49">
        <v>412</v>
      </c>
      <c r="B396" s="13" t="s">
        <v>113</v>
      </c>
      <c r="C396" s="74" t="s">
        <v>298</v>
      </c>
      <c r="D396" s="86">
        <f>IFERROR(VLOOKUP(C396, $C$2:D395, 2, FALSE), MAX($D$2:D395)+1)</f>
        <v>32</v>
      </c>
      <c r="E396" s="50">
        <v>58.430000000000007</v>
      </c>
      <c r="F396" s="14">
        <v>10.91</v>
      </c>
      <c r="G396" s="50">
        <v>30.659999999999997</v>
      </c>
      <c r="H396" s="50">
        <v>0</v>
      </c>
      <c r="I396" s="14">
        <v>0</v>
      </c>
      <c r="J396" s="50">
        <v>0</v>
      </c>
      <c r="K396" s="50">
        <v>0</v>
      </c>
      <c r="L396" s="14">
        <v>0</v>
      </c>
      <c r="M396" s="14">
        <v>0</v>
      </c>
      <c r="N396" s="50">
        <v>0</v>
      </c>
      <c r="O396" s="14">
        <v>1</v>
      </c>
      <c r="P396" s="14">
        <v>1</v>
      </c>
      <c r="Q396" s="13" t="s">
        <v>113</v>
      </c>
      <c r="R396" s="13" t="s">
        <v>113</v>
      </c>
      <c r="S396" s="13" t="s">
        <v>113</v>
      </c>
      <c r="T396" s="13" t="s">
        <v>113</v>
      </c>
      <c r="U396" s="13" t="s">
        <v>113</v>
      </c>
      <c r="V396" s="13">
        <v>1</v>
      </c>
      <c r="W396" s="13" t="s">
        <v>113</v>
      </c>
      <c r="X396" s="13" t="s">
        <v>113</v>
      </c>
      <c r="Y396" s="13" t="s">
        <v>113</v>
      </c>
      <c r="Z396" s="50">
        <v>100</v>
      </c>
      <c r="AA396" s="13" t="s">
        <v>113</v>
      </c>
      <c r="AB396" s="13" t="s">
        <v>113</v>
      </c>
      <c r="AC396" s="14">
        <v>1710</v>
      </c>
      <c r="AD396" s="13" t="s">
        <v>113</v>
      </c>
      <c r="AE396" s="13" t="s">
        <v>113</v>
      </c>
      <c r="AF396" s="13" t="s">
        <v>113</v>
      </c>
      <c r="AG396" s="13" t="s">
        <v>113</v>
      </c>
      <c r="AH396" s="13" t="s">
        <v>113</v>
      </c>
      <c r="AI396" s="13" t="s">
        <v>113</v>
      </c>
      <c r="AJ396" s="13" t="s">
        <v>113</v>
      </c>
      <c r="AK396" s="13" t="s">
        <v>113</v>
      </c>
      <c r="AL396" s="13" t="s">
        <v>113</v>
      </c>
      <c r="AM396" s="13"/>
      <c r="AN396" s="13" t="s">
        <v>113</v>
      </c>
      <c r="AO396" s="13" t="s">
        <v>174</v>
      </c>
      <c r="AP396" s="14">
        <v>412</v>
      </c>
      <c r="AQ396" s="69" t="s">
        <v>100</v>
      </c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</row>
    <row r="397" spans="1:61" ht="16.5">
      <c r="A397" s="49">
        <v>451</v>
      </c>
      <c r="B397" s="13" t="s">
        <v>113</v>
      </c>
      <c r="C397" s="74" t="s">
        <v>280</v>
      </c>
      <c r="D397" s="86">
        <f>IFERROR(VLOOKUP(C397, $C$2:D396, 2, FALSE), MAX($D$2:D396)+1)</f>
        <v>33</v>
      </c>
      <c r="E397" s="50">
        <v>82.96</v>
      </c>
      <c r="F397" s="14">
        <v>3.7699999999999996</v>
      </c>
      <c r="G397" s="50">
        <v>8.3699999999999992</v>
      </c>
      <c r="H397" s="50">
        <v>0</v>
      </c>
      <c r="I397" s="14">
        <v>0</v>
      </c>
      <c r="J397" s="50">
        <v>0</v>
      </c>
      <c r="K397" s="50">
        <v>0</v>
      </c>
      <c r="L397" s="14">
        <v>4.9000000000000004</v>
      </c>
      <c r="M397" s="14">
        <v>0</v>
      </c>
      <c r="N397" s="50">
        <v>0</v>
      </c>
      <c r="O397" s="14">
        <v>1</v>
      </c>
      <c r="P397" s="14">
        <v>1</v>
      </c>
      <c r="Q397" s="13" t="s">
        <v>113</v>
      </c>
      <c r="R397" s="13" t="s">
        <v>113</v>
      </c>
      <c r="S397" s="13" t="s">
        <v>113</v>
      </c>
      <c r="T397" s="13" t="s">
        <v>113</v>
      </c>
      <c r="U397" s="13" t="s">
        <v>113</v>
      </c>
      <c r="V397" s="13">
        <v>1</v>
      </c>
      <c r="W397" s="13" t="s">
        <v>113</v>
      </c>
      <c r="X397" s="13" t="s">
        <v>113</v>
      </c>
      <c r="Y397" s="13" t="s">
        <v>113</v>
      </c>
      <c r="Z397" s="50">
        <v>58</v>
      </c>
      <c r="AA397" s="13" t="s">
        <v>113</v>
      </c>
      <c r="AB397" s="13" t="s">
        <v>113</v>
      </c>
      <c r="AC397" s="14">
        <v>625.4</v>
      </c>
      <c r="AD397" s="13" t="s">
        <v>113</v>
      </c>
      <c r="AE397" s="13" t="s">
        <v>113</v>
      </c>
      <c r="AF397" s="13" t="s">
        <v>113</v>
      </c>
      <c r="AG397" s="13" t="s">
        <v>113</v>
      </c>
      <c r="AH397" s="13" t="s">
        <v>113</v>
      </c>
      <c r="AI397" s="13" t="s">
        <v>113</v>
      </c>
      <c r="AJ397" s="13" t="s">
        <v>113</v>
      </c>
      <c r="AK397" s="13" t="s">
        <v>113</v>
      </c>
      <c r="AL397" s="13" t="s">
        <v>113</v>
      </c>
      <c r="AM397" s="13"/>
      <c r="AN397" s="13" t="s">
        <v>113</v>
      </c>
      <c r="AO397" s="13" t="s">
        <v>174</v>
      </c>
      <c r="AP397" s="14">
        <v>451</v>
      </c>
      <c r="AQ397" s="69" t="s">
        <v>100</v>
      </c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 spans="1:61" ht="16.5">
      <c r="A398" s="49">
        <v>479</v>
      </c>
      <c r="B398" s="13" t="s">
        <v>113</v>
      </c>
      <c r="C398" s="74" t="s">
        <v>299</v>
      </c>
      <c r="D398" s="86">
        <f>IFERROR(VLOOKUP(C398, $C$2:D397, 2, FALSE), MAX($D$2:D397)+1)</f>
        <v>34</v>
      </c>
      <c r="E398" s="50">
        <v>67.33</v>
      </c>
      <c r="F398" s="14">
        <v>0</v>
      </c>
      <c r="G398" s="50">
        <v>4.8500000000000005</v>
      </c>
      <c r="H398" s="50">
        <v>0</v>
      </c>
      <c r="I398" s="14">
        <v>0</v>
      </c>
      <c r="J398" s="50">
        <v>1.7500000000000002</v>
      </c>
      <c r="K398" s="50">
        <v>23.810000000000002</v>
      </c>
      <c r="L398" s="14">
        <v>0</v>
      </c>
      <c r="M398" s="14">
        <v>2.2599999999999998</v>
      </c>
      <c r="N398" s="50">
        <v>0</v>
      </c>
      <c r="O398" s="14">
        <v>1</v>
      </c>
      <c r="P398" s="14">
        <v>1</v>
      </c>
      <c r="Q398" s="13" t="s">
        <v>113</v>
      </c>
      <c r="R398" s="13" t="s">
        <v>113</v>
      </c>
      <c r="S398" s="13" t="s">
        <v>113</v>
      </c>
      <c r="T398" s="13" t="s">
        <v>113</v>
      </c>
      <c r="U398" s="13" t="s">
        <v>113</v>
      </c>
      <c r="V398" s="14">
        <v>1</v>
      </c>
      <c r="W398" s="13" t="s">
        <v>113</v>
      </c>
      <c r="X398" s="13" t="s">
        <v>113</v>
      </c>
      <c r="Y398" s="13" t="s">
        <v>113</v>
      </c>
      <c r="Z398" s="50">
        <v>81</v>
      </c>
      <c r="AA398" s="13" t="s">
        <v>113</v>
      </c>
      <c r="AB398" s="13" t="s">
        <v>113</v>
      </c>
      <c r="AC398" s="14">
        <v>588</v>
      </c>
      <c r="AD398" s="13" t="s">
        <v>113</v>
      </c>
      <c r="AE398" s="13" t="s">
        <v>113</v>
      </c>
      <c r="AF398" s="13" t="s">
        <v>113</v>
      </c>
      <c r="AG398" s="13" t="s">
        <v>113</v>
      </c>
      <c r="AH398" s="13" t="s">
        <v>113</v>
      </c>
      <c r="AI398" s="13" t="s">
        <v>113</v>
      </c>
      <c r="AJ398" s="13" t="s">
        <v>113</v>
      </c>
      <c r="AK398" s="13" t="s">
        <v>113</v>
      </c>
      <c r="AL398" s="13" t="s">
        <v>113</v>
      </c>
      <c r="AM398" s="13"/>
      <c r="AN398" s="13" t="s">
        <v>113</v>
      </c>
      <c r="AO398" s="13" t="s">
        <v>174</v>
      </c>
      <c r="AP398" s="14">
        <v>479</v>
      </c>
      <c r="AQ398" s="69" t="s">
        <v>100</v>
      </c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</row>
    <row r="399" spans="1:61" ht="16.5">
      <c r="A399" s="35">
        <v>484</v>
      </c>
      <c r="B399" s="66" t="s">
        <v>113</v>
      </c>
      <c r="C399" s="74" t="s">
        <v>300</v>
      </c>
      <c r="D399" s="86">
        <f>IFERROR(VLOOKUP(C399, $C$2:D398, 2, FALSE), MAX($D$2:D398)+1)</f>
        <v>35</v>
      </c>
      <c r="E399" s="36">
        <v>19</v>
      </c>
      <c r="F399" s="67">
        <v>0</v>
      </c>
      <c r="G399" s="36">
        <v>21</v>
      </c>
      <c r="H399" s="36">
        <v>20</v>
      </c>
      <c r="I399" s="67">
        <v>0</v>
      </c>
      <c r="J399" s="36">
        <v>21</v>
      </c>
      <c r="K399" s="36">
        <v>19</v>
      </c>
      <c r="L399" s="67">
        <v>0</v>
      </c>
      <c r="M399" s="67">
        <v>0</v>
      </c>
      <c r="N399" s="36">
        <v>0</v>
      </c>
      <c r="O399" s="67">
        <v>1</v>
      </c>
      <c r="P399" s="72" t="s">
        <v>173</v>
      </c>
      <c r="Q399" s="66">
        <v>0</v>
      </c>
      <c r="R399" s="66">
        <v>0</v>
      </c>
      <c r="S399" s="66">
        <v>0</v>
      </c>
      <c r="T399" s="66">
        <v>0</v>
      </c>
      <c r="U399" s="66">
        <v>0</v>
      </c>
      <c r="V399" s="66">
        <v>0</v>
      </c>
      <c r="W399" s="66">
        <v>0</v>
      </c>
      <c r="X399" s="66">
        <v>0</v>
      </c>
      <c r="Y399" s="66">
        <v>0</v>
      </c>
      <c r="Z399" s="36">
        <v>153</v>
      </c>
      <c r="AA399" s="66" t="s">
        <v>113</v>
      </c>
      <c r="AB399" s="66" t="s">
        <v>113</v>
      </c>
      <c r="AC399" s="67">
        <v>1390</v>
      </c>
      <c r="AD399" s="66" t="s">
        <v>113</v>
      </c>
      <c r="AE399" s="66" t="s">
        <v>113</v>
      </c>
      <c r="AF399" s="66" t="s">
        <v>113</v>
      </c>
      <c r="AG399" s="66" t="s">
        <v>113</v>
      </c>
      <c r="AH399" s="66" t="s">
        <v>113</v>
      </c>
      <c r="AI399" s="66" t="s">
        <v>113</v>
      </c>
      <c r="AJ399" s="66" t="s">
        <v>113</v>
      </c>
      <c r="AK399" s="66" t="s">
        <v>113</v>
      </c>
      <c r="AL399" s="66" t="s">
        <v>113</v>
      </c>
      <c r="AM399" s="66"/>
      <c r="AN399" s="66" t="s">
        <v>113</v>
      </c>
      <c r="AO399" s="66" t="s">
        <v>174</v>
      </c>
      <c r="AP399" s="67">
        <v>484</v>
      </c>
      <c r="AQ399" s="71" t="s">
        <v>100</v>
      </c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1:61" ht="16.5">
      <c r="A400" s="49">
        <v>499</v>
      </c>
      <c r="B400" s="13" t="s">
        <v>113</v>
      </c>
      <c r="C400" s="74" t="s">
        <v>301</v>
      </c>
      <c r="D400" s="86">
        <f>IFERROR(VLOOKUP(C400, $C$2:D399, 2, FALSE), MAX($D$2:D399)+1)</f>
        <v>36</v>
      </c>
      <c r="E400" s="50">
        <v>70</v>
      </c>
      <c r="F400" s="14">
        <v>0</v>
      </c>
      <c r="G400" s="50">
        <v>6</v>
      </c>
      <c r="H400" s="50">
        <v>0</v>
      </c>
      <c r="I400" s="14">
        <v>3</v>
      </c>
      <c r="J400" s="50">
        <v>12</v>
      </c>
      <c r="K400" s="50">
        <v>9</v>
      </c>
      <c r="L400" s="14">
        <v>0</v>
      </c>
      <c r="M400" s="50">
        <v>0</v>
      </c>
      <c r="N400" s="50">
        <v>0</v>
      </c>
      <c r="O400" s="14">
        <v>1</v>
      </c>
      <c r="P400" s="14">
        <v>1</v>
      </c>
      <c r="Q400" s="13" t="s">
        <v>113</v>
      </c>
      <c r="R400" s="13" t="s">
        <v>113</v>
      </c>
      <c r="S400" s="13" t="s">
        <v>113</v>
      </c>
      <c r="T400" s="13" t="s">
        <v>113</v>
      </c>
      <c r="U400" s="13" t="s">
        <v>113</v>
      </c>
      <c r="V400" s="14">
        <v>1</v>
      </c>
      <c r="W400" s="13" t="s">
        <v>113</v>
      </c>
      <c r="X400" s="13" t="s">
        <v>113</v>
      </c>
      <c r="Y400" s="13" t="s">
        <v>113</v>
      </c>
      <c r="Z400" s="50">
        <v>71.2</v>
      </c>
      <c r="AA400" s="13" t="s">
        <v>113</v>
      </c>
      <c r="AB400" s="13" t="s">
        <v>113</v>
      </c>
      <c r="AC400" s="14">
        <v>849</v>
      </c>
      <c r="AD400" s="13" t="s">
        <v>113</v>
      </c>
      <c r="AE400" s="13" t="s">
        <v>113</v>
      </c>
      <c r="AF400" s="13" t="s">
        <v>113</v>
      </c>
      <c r="AG400" s="13" t="s">
        <v>113</v>
      </c>
      <c r="AH400" s="13" t="s">
        <v>113</v>
      </c>
      <c r="AI400" s="13" t="s">
        <v>113</v>
      </c>
      <c r="AJ400" s="13" t="s">
        <v>113</v>
      </c>
      <c r="AK400" s="13" t="s">
        <v>113</v>
      </c>
      <c r="AL400" s="13" t="s">
        <v>113</v>
      </c>
      <c r="AM400" s="13"/>
      <c r="AN400" s="13" t="s">
        <v>113</v>
      </c>
      <c r="AO400" s="13" t="s">
        <v>174</v>
      </c>
      <c r="AP400" s="14">
        <v>499</v>
      </c>
      <c r="AQ400" s="69" t="s">
        <v>100</v>
      </c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</row>
    <row r="401" spans="1:43" ht="16.5">
      <c r="A401" s="18">
        <v>46</v>
      </c>
      <c r="C401" s="74" t="s">
        <v>283</v>
      </c>
      <c r="D401" s="86">
        <f>IFERROR(VLOOKUP(C401, $C$2:D400, 2, FALSE), MAX($D$2:D400)+1)</f>
        <v>37</v>
      </c>
      <c r="E401" s="18">
        <v>84.5</v>
      </c>
      <c r="G401" s="18">
        <v>0</v>
      </c>
      <c r="H401" s="18">
        <v>2</v>
      </c>
      <c r="J401" s="18">
        <v>2.5</v>
      </c>
      <c r="K401" s="18">
        <v>10</v>
      </c>
      <c r="N401" s="18">
        <v>1</v>
      </c>
      <c r="Z401" s="18">
        <v>76</v>
      </c>
      <c r="AQ401" s="70" t="s">
        <v>59</v>
      </c>
    </row>
    <row r="402" spans="1:43" ht="16.5">
      <c r="A402" s="18">
        <v>47</v>
      </c>
      <c r="C402" s="74" t="s">
        <v>283</v>
      </c>
      <c r="D402" s="86">
        <f>IFERROR(VLOOKUP(C402, $C$2:D401, 2, FALSE), MAX($D$2:D401)+1)</f>
        <v>37</v>
      </c>
      <c r="E402" s="18">
        <v>82.5</v>
      </c>
      <c r="G402" s="18">
        <v>0</v>
      </c>
      <c r="H402" s="18">
        <v>3</v>
      </c>
      <c r="J402" s="18">
        <v>3</v>
      </c>
      <c r="K402" s="18">
        <v>10.5</v>
      </c>
      <c r="N402" s="18">
        <v>1</v>
      </c>
      <c r="Z402" s="18">
        <v>73</v>
      </c>
      <c r="AQ402" s="70" t="s">
        <v>59</v>
      </c>
    </row>
    <row r="403" spans="1:43" ht="16.5">
      <c r="A403" s="18">
        <v>48</v>
      </c>
      <c r="C403" s="74" t="s">
        <v>284</v>
      </c>
      <c r="D403" s="86">
        <f>IFERROR(VLOOKUP(C403, $C$2:D402, 2, FALSE), MAX($D$2:D402)+1)</f>
        <v>38</v>
      </c>
      <c r="E403" s="18">
        <v>81.3</v>
      </c>
      <c r="G403" s="18">
        <v>6.3</v>
      </c>
      <c r="H403" s="18">
        <v>3.1</v>
      </c>
      <c r="J403" s="18">
        <v>3.1</v>
      </c>
      <c r="K403" s="18">
        <v>3.1</v>
      </c>
      <c r="N403" s="18">
        <v>3.1</v>
      </c>
      <c r="Z403" s="18">
        <v>49</v>
      </c>
      <c r="AQ403" s="70" t="s">
        <v>59</v>
      </c>
    </row>
    <row r="404" spans="1:43" ht="16.5">
      <c r="A404" s="18">
        <v>49</v>
      </c>
      <c r="C404" s="74" t="s">
        <v>284</v>
      </c>
      <c r="D404" s="86">
        <f>IFERROR(VLOOKUP(C404, $C$2:D403, 2, FALSE), MAX($D$2:D403)+1)</f>
        <v>38</v>
      </c>
      <c r="E404" s="18">
        <v>79.400000000000006</v>
      </c>
      <c r="G404" s="18">
        <v>2.9</v>
      </c>
      <c r="H404" s="18">
        <v>1.8</v>
      </c>
      <c r="J404" s="18">
        <v>2.9</v>
      </c>
      <c r="K404" s="18">
        <v>8.8000000000000007</v>
      </c>
      <c r="N404" s="18">
        <v>4.2</v>
      </c>
      <c r="Z404" s="18">
        <v>46</v>
      </c>
      <c r="AQ404" s="70" t="s">
        <v>59</v>
      </c>
    </row>
    <row r="405" spans="1:43" ht="16.5">
      <c r="A405" s="18">
        <v>50</v>
      </c>
      <c r="C405" s="74" t="s">
        <v>285</v>
      </c>
      <c r="D405" s="86">
        <f>IFERROR(VLOOKUP(C405, $C$2:D404, 2, FALSE), MAX($D$2:D404)+1)</f>
        <v>39</v>
      </c>
      <c r="E405" s="18">
        <v>77.8</v>
      </c>
      <c r="G405" s="18">
        <v>2.8</v>
      </c>
      <c r="H405" s="18">
        <v>0</v>
      </c>
      <c r="J405" s="18">
        <v>2.8</v>
      </c>
      <c r="K405" s="18">
        <v>13.8</v>
      </c>
      <c r="N405" s="18">
        <v>2.8</v>
      </c>
      <c r="Z405" s="18">
        <v>47</v>
      </c>
      <c r="AQ405" s="70" t="s">
        <v>59</v>
      </c>
    </row>
    <row r="406" spans="1:43" ht="16.5">
      <c r="A406" s="18">
        <v>64</v>
      </c>
      <c r="C406" s="74" t="s">
        <v>286</v>
      </c>
      <c r="D406" s="86">
        <f>IFERROR(VLOOKUP(C406, $C$2:D405, 2, FALSE), MAX($D$2:D405)+1)</f>
        <v>40</v>
      </c>
      <c r="E406" s="18">
        <v>30</v>
      </c>
      <c r="G406" s="18">
        <v>70</v>
      </c>
      <c r="H406" s="18">
        <v>0</v>
      </c>
      <c r="J406" s="18">
        <v>0</v>
      </c>
      <c r="K406" s="18">
        <v>0</v>
      </c>
      <c r="N406" s="18">
        <v>0</v>
      </c>
      <c r="Z406" s="18">
        <v>74.7</v>
      </c>
      <c r="AQ406" s="70" t="s">
        <v>59</v>
      </c>
    </row>
    <row r="407" spans="1:43" ht="16.5">
      <c r="A407" s="18">
        <v>72</v>
      </c>
      <c r="C407" s="74" t="s">
        <v>286</v>
      </c>
      <c r="D407" s="86">
        <f>IFERROR(VLOOKUP(C407, $C$2:D406, 2, FALSE), MAX($D$2:D406)+1)</f>
        <v>40</v>
      </c>
      <c r="E407" s="18">
        <v>91.53</v>
      </c>
      <c r="G407" s="18">
        <v>8.4700000000000006</v>
      </c>
      <c r="H407" s="18">
        <v>0</v>
      </c>
      <c r="J407" s="18">
        <v>0</v>
      </c>
      <c r="K407" s="18">
        <v>0</v>
      </c>
      <c r="N407" s="18">
        <v>0</v>
      </c>
      <c r="Z407" s="18">
        <v>110.5</v>
      </c>
      <c r="AQ407" s="70" t="s">
        <v>59</v>
      </c>
    </row>
    <row r="408" spans="1:43" ht="16.5">
      <c r="A408" s="18">
        <v>87</v>
      </c>
      <c r="C408" s="74" t="s">
        <v>287</v>
      </c>
      <c r="D408" s="86">
        <f>IFERROR(VLOOKUP(C408, $C$2:D407, 2, FALSE), MAX($D$2:D407)+1)</f>
        <v>41</v>
      </c>
      <c r="E408" s="18">
        <v>91.91</v>
      </c>
      <c r="G408" s="18">
        <v>0</v>
      </c>
      <c r="H408" s="18">
        <v>6.63</v>
      </c>
      <c r="J408" s="18">
        <v>1.46</v>
      </c>
      <c r="K408" s="18">
        <v>0</v>
      </c>
      <c r="N408" s="18">
        <v>0</v>
      </c>
      <c r="Z408" s="18">
        <v>74</v>
      </c>
      <c r="AQ408" s="70" t="s">
        <v>59</v>
      </c>
    </row>
    <row r="409" spans="1:43" ht="16.5">
      <c r="A409" s="18">
        <v>111</v>
      </c>
      <c r="C409" s="74" t="s">
        <v>286</v>
      </c>
      <c r="D409" s="86">
        <f>IFERROR(VLOOKUP(C409, $C$2:D408, 2, FALSE), MAX($D$2:D408)+1)</f>
        <v>40</v>
      </c>
      <c r="E409" s="18">
        <v>72.5</v>
      </c>
      <c r="G409" s="18">
        <v>27.5</v>
      </c>
      <c r="H409" s="18">
        <v>0</v>
      </c>
      <c r="J409" s="18">
        <v>0</v>
      </c>
      <c r="K409" s="18">
        <v>0</v>
      </c>
      <c r="N409" s="18">
        <v>0</v>
      </c>
      <c r="Z409" s="18">
        <v>94.61</v>
      </c>
      <c r="AQ409" s="70" t="s">
        <v>59</v>
      </c>
    </row>
    <row r="410" spans="1:43" ht="16.5">
      <c r="A410" s="18">
        <v>212</v>
      </c>
      <c r="C410" s="74" t="s">
        <v>291</v>
      </c>
      <c r="D410" s="86">
        <f>IFERROR(VLOOKUP(C410, $C$2:D409, 2, FALSE), MAX($D$2:D409)+1)</f>
        <v>42</v>
      </c>
      <c r="E410" s="18">
        <v>87.94</v>
      </c>
      <c r="G410" s="18">
        <v>3.54</v>
      </c>
      <c r="H410" s="18">
        <v>6.47</v>
      </c>
      <c r="J410" s="18">
        <v>0</v>
      </c>
      <c r="K410" s="18">
        <v>0</v>
      </c>
      <c r="N410" s="18">
        <v>2.0499999999999998</v>
      </c>
      <c r="Z410" s="18">
        <v>83</v>
      </c>
      <c r="AQ410" s="70" t="s">
        <v>59</v>
      </c>
    </row>
    <row r="411" spans="1:43" ht="16.5">
      <c r="A411" s="18">
        <v>217</v>
      </c>
      <c r="C411" s="74" t="s">
        <v>284</v>
      </c>
      <c r="D411" s="86">
        <f>IFERROR(VLOOKUP(C411, $C$2:D410, 2, FALSE), MAX($D$2:D410)+1)</f>
        <v>38</v>
      </c>
      <c r="E411" s="18">
        <v>78.2</v>
      </c>
      <c r="G411" s="18">
        <v>2.5</v>
      </c>
      <c r="H411" s="18">
        <v>0.6</v>
      </c>
      <c r="J411" s="18">
        <v>0.3</v>
      </c>
      <c r="K411" s="18">
        <v>16.399999999999999</v>
      </c>
      <c r="N411" s="18">
        <v>2</v>
      </c>
      <c r="Z411" s="18">
        <v>47.3</v>
      </c>
      <c r="AQ411" s="70" t="s">
        <v>59</v>
      </c>
    </row>
    <row r="412" spans="1:43" ht="16.5">
      <c r="A412" s="18">
        <v>218</v>
      </c>
      <c r="C412" s="74" t="s">
        <v>285</v>
      </c>
      <c r="D412" s="86">
        <f>IFERROR(VLOOKUP(C412, $C$2:D411, 2, FALSE), MAX($D$2:D411)+1)</f>
        <v>39</v>
      </c>
      <c r="E412" s="18">
        <v>80.099999999999994</v>
      </c>
      <c r="G412" s="18">
        <v>1.3</v>
      </c>
      <c r="H412" s="18">
        <v>0</v>
      </c>
      <c r="J412" s="18">
        <v>0.3</v>
      </c>
      <c r="K412" s="18">
        <v>14.4</v>
      </c>
      <c r="N412" s="18">
        <v>3.9</v>
      </c>
      <c r="Z412" s="18">
        <v>48.1</v>
      </c>
      <c r="AQ412" s="70" t="s">
        <v>59</v>
      </c>
    </row>
    <row r="413" spans="1:43" ht="16.5">
      <c r="A413" s="18">
        <v>220</v>
      </c>
      <c r="C413" s="74" t="s">
        <v>284</v>
      </c>
      <c r="D413" s="86">
        <f>IFERROR(VLOOKUP(C413, $C$2:D412, 2, FALSE), MAX($D$2:D412)+1)</f>
        <v>38</v>
      </c>
      <c r="E413" s="18">
        <v>81.3</v>
      </c>
      <c r="G413" s="18">
        <v>6.3</v>
      </c>
      <c r="H413" s="18">
        <v>3.1</v>
      </c>
      <c r="J413" s="18">
        <v>3.1</v>
      </c>
      <c r="K413" s="18">
        <v>3.1</v>
      </c>
      <c r="N413" s="18">
        <v>3.1</v>
      </c>
      <c r="Z413" s="18">
        <v>49</v>
      </c>
      <c r="AQ413" s="70" t="s">
        <v>59</v>
      </c>
    </row>
    <row r="414" spans="1:43" ht="16.5">
      <c r="A414" s="18">
        <v>221</v>
      </c>
      <c r="C414" s="74" t="s">
        <v>284</v>
      </c>
      <c r="D414" s="86">
        <f>IFERROR(VLOOKUP(C414, $C$2:D413, 2, FALSE), MAX($D$2:D413)+1)</f>
        <v>38</v>
      </c>
      <c r="E414" s="18">
        <v>79.400000000000006</v>
      </c>
      <c r="G414" s="18">
        <v>2.9</v>
      </c>
      <c r="H414" s="18">
        <v>1.8</v>
      </c>
      <c r="J414" s="18">
        <v>2.9</v>
      </c>
      <c r="K414" s="18">
        <v>8.8000000000000007</v>
      </c>
      <c r="N414" s="18">
        <v>4.0999999999999996</v>
      </c>
      <c r="Z414" s="18">
        <v>46</v>
      </c>
      <c r="AQ414" s="70" t="s">
        <v>59</v>
      </c>
    </row>
    <row r="415" spans="1:43" ht="16.5">
      <c r="A415" s="18">
        <v>222</v>
      </c>
      <c r="C415" s="74" t="s">
        <v>285</v>
      </c>
      <c r="D415" s="86">
        <f>IFERROR(VLOOKUP(C415, $C$2:D414, 2, FALSE), MAX($D$2:D414)+1)</f>
        <v>39</v>
      </c>
      <c r="E415" s="18">
        <v>77.8</v>
      </c>
      <c r="G415" s="18">
        <v>2.8</v>
      </c>
      <c r="H415" s="18">
        <v>0</v>
      </c>
      <c r="J415" s="18">
        <v>2.8</v>
      </c>
      <c r="K415" s="18">
        <v>13.9</v>
      </c>
      <c r="N415" s="18">
        <v>2.8</v>
      </c>
      <c r="Z415" s="18">
        <v>47</v>
      </c>
      <c r="AQ415" s="70" t="s">
        <v>59</v>
      </c>
    </row>
  </sheetData>
  <mergeCells count="15">
    <mergeCell ref="AO1:AO2"/>
    <mergeCell ref="AP1:AP2"/>
    <mergeCell ref="AQ1:AQ2"/>
    <mergeCell ref="T1:V1"/>
    <mergeCell ref="W1:Y1"/>
    <mergeCell ref="Z1:AF1"/>
    <mergeCell ref="AG1:AH1"/>
    <mergeCell ref="AI1:AL1"/>
    <mergeCell ref="AN1:AN2"/>
    <mergeCell ref="P1:S1"/>
    <mergeCell ref="A1:A2"/>
    <mergeCell ref="B1:B2"/>
    <mergeCell ref="C1:C2"/>
    <mergeCell ref="D1:D2"/>
    <mergeCell ref="E1:N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4270-2E0C-46BC-A090-AB03B51BAF37}">
  <dimension ref="A1:BI211"/>
  <sheetViews>
    <sheetView zoomScale="70" zoomScaleNormal="70" workbookViewId="0">
      <pane ySplit="2" topLeftCell="A168" activePane="bottomLeft" state="frozen"/>
      <selection pane="bottomLeft" activeCell="G219" sqref="G219"/>
    </sheetView>
  </sheetViews>
  <sheetFormatPr defaultRowHeight="14.25"/>
  <cols>
    <col min="3" max="3" width="18.375" customWidth="1"/>
    <col min="4" max="4" width="11.5" style="12" customWidth="1"/>
  </cols>
  <sheetData>
    <row r="1" spans="1:61" ht="39.950000000000003" customHeight="1">
      <c r="A1" s="169" t="s">
        <v>0</v>
      </c>
      <c r="B1" s="179" t="s">
        <v>1</v>
      </c>
      <c r="C1" s="167" t="s">
        <v>2</v>
      </c>
      <c r="D1" s="167" t="s">
        <v>2</v>
      </c>
      <c r="E1" s="174" t="s">
        <v>3</v>
      </c>
      <c r="F1" s="175"/>
      <c r="G1" s="175"/>
      <c r="H1" s="175"/>
      <c r="I1" s="175"/>
      <c r="J1" s="175"/>
      <c r="K1" s="175"/>
      <c r="L1" s="175"/>
      <c r="M1" s="175"/>
      <c r="N1" s="176"/>
      <c r="O1" s="2" t="s">
        <v>4</v>
      </c>
      <c r="P1" s="172" t="s">
        <v>5</v>
      </c>
      <c r="Q1" s="170"/>
      <c r="R1" s="170"/>
      <c r="S1" s="173"/>
      <c r="T1" s="174" t="s">
        <v>6</v>
      </c>
      <c r="U1" s="175"/>
      <c r="V1" s="176"/>
      <c r="W1" s="174" t="s">
        <v>7</v>
      </c>
      <c r="X1" s="175"/>
      <c r="Y1" s="176"/>
      <c r="Z1" s="172" t="s">
        <v>8</v>
      </c>
      <c r="AA1" s="170"/>
      <c r="AB1" s="170"/>
      <c r="AC1" s="170"/>
      <c r="AD1" s="170"/>
      <c r="AE1" s="170"/>
      <c r="AF1" s="173"/>
      <c r="AG1" s="172" t="s">
        <v>9</v>
      </c>
      <c r="AH1" s="173"/>
      <c r="AI1" s="174" t="s">
        <v>10</v>
      </c>
      <c r="AJ1" s="175"/>
      <c r="AK1" s="175"/>
      <c r="AL1" s="176"/>
      <c r="AM1" s="2" t="s">
        <v>11</v>
      </c>
      <c r="AN1" s="177" t="s">
        <v>12</v>
      </c>
      <c r="AO1" s="167" t="s">
        <v>13</v>
      </c>
      <c r="AP1" s="167" t="s">
        <v>14</v>
      </c>
      <c r="AQ1" s="167" t="s">
        <v>15</v>
      </c>
    </row>
    <row r="2" spans="1:61" s="5" customFormat="1" ht="39.950000000000003" customHeight="1">
      <c r="A2" s="170"/>
      <c r="B2" s="173"/>
      <c r="C2" s="168"/>
      <c r="D2" s="168"/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1" t="s">
        <v>37</v>
      </c>
      <c r="AA2" s="1" t="s">
        <v>38</v>
      </c>
      <c r="AB2" s="2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1" t="s">
        <v>44</v>
      </c>
      <c r="AH2" s="2" t="s">
        <v>45</v>
      </c>
      <c r="AI2" s="2" t="s">
        <v>46</v>
      </c>
      <c r="AJ2" s="2" t="s">
        <v>47</v>
      </c>
      <c r="AK2" s="2" t="s">
        <v>48</v>
      </c>
      <c r="AL2" s="2" t="s">
        <v>49</v>
      </c>
      <c r="AM2" s="2"/>
      <c r="AN2" s="178"/>
      <c r="AO2" s="168"/>
      <c r="AP2" s="168"/>
      <c r="AQ2" s="168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 spans="1:61" s="6" customFormat="1" ht="16.5">
      <c r="A3" s="10">
        <v>110</v>
      </c>
      <c r="B3" s="10"/>
      <c r="C3" s="74" t="s">
        <v>71</v>
      </c>
      <c r="D3" s="86">
        <f>IFERROR(VLOOKUP(C3, $C$2:D2, 2, FALSE), MAX($D$2:D2)+1)</f>
        <v>1</v>
      </c>
      <c r="E3" s="10">
        <v>96.222499999999997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3.66</v>
      </c>
      <c r="L3" s="10">
        <v>0</v>
      </c>
      <c r="M3" s="10">
        <v>0</v>
      </c>
      <c r="N3" s="10">
        <v>0</v>
      </c>
      <c r="O3" s="10" t="s">
        <v>81</v>
      </c>
      <c r="P3" s="10">
        <v>2</v>
      </c>
      <c r="Q3" s="10">
        <v>880</v>
      </c>
      <c r="R3" s="10" t="s">
        <v>81</v>
      </c>
      <c r="S3" s="10" t="s">
        <v>81</v>
      </c>
      <c r="T3" s="10">
        <v>750</v>
      </c>
      <c r="U3" s="10">
        <v>2</v>
      </c>
      <c r="V3" s="10">
        <v>2</v>
      </c>
      <c r="W3" s="10">
        <v>0</v>
      </c>
      <c r="X3" s="10">
        <v>0</v>
      </c>
      <c r="Y3" s="10">
        <v>0</v>
      </c>
      <c r="Z3" s="10"/>
      <c r="AA3" s="10"/>
      <c r="AB3" s="10">
        <v>503</v>
      </c>
      <c r="AC3" s="10">
        <v>387</v>
      </c>
      <c r="AD3" s="10">
        <v>27</v>
      </c>
      <c r="AE3" s="10">
        <v>61</v>
      </c>
      <c r="AF3" s="10"/>
      <c r="AG3" s="10"/>
      <c r="AH3" s="10"/>
      <c r="AI3" s="10"/>
      <c r="AJ3" s="10"/>
      <c r="AK3" s="10">
        <v>1200</v>
      </c>
      <c r="AL3" s="10"/>
      <c r="AM3" s="10"/>
      <c r="AN3" s="11"/>
      <c r="AO3" s="11" t="s">
        <v>82</v>
      </c>
      <c r="AP3" s="10">
        <v>27</v>
      </c>
      <c r="AQ3" s="10" t="s">
        <v>83</v>
      </c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s="6" customFormat="1" ht="16.5">
      <c r="A4" s="10">
        <v>111</v>
      </c>
      <c r="B4" s="10"/>
      <c r="C4" s="74" t="s">
        <v>71</v>
      </c>
      <c r="D4" s="86">
        <f>IFERROR(VLOOKUP(C4, $C$2:D3, 2, FALSE), MAX($D$2:D3)+1)</f>
        <v>1</v>
      </c>
      <c r="E4" s="10">
        <v>96.298599999999993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3.57</v>
      </c>
      <c r="L4" s="10">
        <v>0</v>
      </c>
      <c r="M4" s="10">
        <v>0</v>
      </c>
      <c r="N4" s="10">
        <v>0</v>
      </c>
      <c r="O4" s="10" t="s">
        <v>81</v>
      </c>
      <c r="P4" s="10">
        <v>2</v>
      </c>
      <c r="Q4" s="10">
        <v>880</v>
      </c>
      <c r="R4" s="10" t="s">
        <v>81</v>
      </c>
      <c r="S4" s="10" t="s">
        <v>81</v>
      </c>
      <c r="T4" s="10">
        <v>800</v>
      </c>
      <c r="U4" s="10">
        <v>2</v>
      </c>
      <c r="V4" s="10">
        <v>2</v>
      </c>
      <c r="W4" s="10">
        <v>0</v>
      </c>
      <c r="X4" s="10">
        <v>0</v>
      </c>
      <c r="Y4" s="10">
        <v>0</v>
      </c>
      <c r="Z4" s="10"/>
      <c r="AA4" s="10"/>
      <c r="AB4" s="10">
        <v>506</v>
      </c>
      <c r="AC4" s="10">
        <v>372</v>
      </c>
      <c r="AD4" s="10">
        <v>27</v>
      </c>
      <c r="AE4" s="10">
        <v>63</v>
      </c>
      <c r="AF4" s="10"/>
      <c r="AG4" s="10"/>
      <c r="AH4" s="10"/>
      <c r="AI4" s="10"/>
      <c r="AJ4" s="10"/>
      <c r="AK4" s="10">
        <v>1340</v>
      </c>
      <c r="AL4" s="10"/>
      <c r="AM4" s="10"/>
      <c r="AN4" s="11"/>
      <c r="AO4" s="11" t="s">
        <v>82</v>
      </c>
      <c r="AP4" s="10">
        <v>27</v>
      </c>
      <c r="AQ4" s="10" t="s">
        <v>83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s="6" customFormat="1" ht="16.5">
      <c r="A5" s="10">
        <v>112</v>
      </c>
      <c r="B5" s="10"/>
      <c r="C5" s="74" t="s">
        <v>71</v>
      </c>
      <c r="D5" s="86">
        <f>IFERROR(VLOOKUP(C5, $C$2:D4, 2, FALSE), MAX($D$2:D4)+1)</f>
        <v>1</v>
      </c>
      <c r="E5" s="10">
        <v>96.221699999999998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3.66</v>
      </c>
      <c r="L5" s="10">
        <v>0</v>
      </c>
      <c r="M5" s="10">
        <v>0</v>
      </c>
      <c r="N5" s="10">
        <v>0</v>
      </c>
      <c r="O5" s="10" t="s">
        <v>81</v>
      </c>
      <c r="P5" s="10">
        <v>2</v>
      </c>
      <c r="Q5" s="10">
        <v>880</v>
      </c>
      <c r="R5" s="10" t="s">
        <v>81</v>
      </c>
      <c r="S5" s="10" t="s">
        <v>81</v>
      </c>
      <c r="T5" s="10">
        <v>830</v>
      </c>
      <c r="U5" s="10">
        <v>2</v>
      </c>
      <c r="V5" s="10">
        <v>2</v>
      </c>
      <c r="W5" s="10">
        <v>0</v>
      </c>
      <c r="X5" s="10">
        <v>0</v>
      </c>
      <c r="Y5" s="10">
        <v>0</v>
      </c>
      <c r="Z5" s="10"/>
      <c r="AA5" s="10"/>
      <c r="AB5" s="10">
        <v>496</v>
      </c>
      <c r="AC5" s="10">
        <v>347</v>
      </c>
      <c r="AD5" s="10">
        <v>31</v>
      </c>
      <c r="AE5" s="10">
        <v>63</v>
      </c>
      <c r="AF5" s="10"/>
      <c r="AG5" s="10"/>
      <c r="AH5" s="10"/>
      <c r="AI5" s="10"/>
      <c r="AJ5" s="10"/>
      <c r="AK5" s="10">
        <v>1560</v>
      </c>
      <c r="AL5" s="10"/>
      <c r="AM5" s="10"/>
      <c r="AN5" s="11"/>
      <c r="AO5" s="11" t="s">
        <v>82</v>
      </c>
      <c r="AP5" s="10">
        <v>27</v>
      </c>
      <c r="AQ5" s="10" t="s">
        <v>83</v>
      </c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6.5">
      <c r="A6" s="10">
        <v>116</v>
      </c>
      <c r="B6" s="10"/>
      <c r="C6" s="74" t="s">
        <v>96</v>
      </c>
      <c r="D6" s="86">
        <f>IFERROR(VLOOKUP(C6, $C$2:D5, 2, FALSE), MAX($D$2:D5)+1)</f>
        <v>2</v>
      </c>
      <c r="E6" s="10">
        <v>82.8</v>
      </c>
      <c r="F6" s="10">
        <v>6.2</v>
      </c>
      <c r="G6" s="10">
        <v>2.6</v>
      </c>
      <c r="H6" s="10">
        <v>4.2</v>
      </c>
      <c r="I6" s="10">
        <v>0</v>
      </c>
      <c r="J6" s="10">
        <v>0</v>
      </c>
      <c r="K6" s="10">
        <v>2.7</v>
      </c>
      <c r="L6" s="10">
        <v>1.5</v>
      </c>
      <c r="M6" s="10">
        <v>0</v>
      </c>
      <c r="N6" s="10">
        <v>0</v>
      </c>
      <c r="O6" s="10" t="s">
        <v>81</v>
      </c>
      <c r="P6" s="10" t="s">
        <v>81</v>
      </c>
      <c r="Q6" s="10" t="s">
        <v>81</v>
      </c>
      <c r="R6" s="10" t="s">
        <v>81</v>
      </c>
      <c r="S6" s="10" t="s">
        <v>81</v>
      </c>
      <c r="T6" s="10">
        <v>910</v>
      </c>
      <c r="U6" s="10">
        <v>1</v>
      </c>
      <c r="V6" s="10">
        <v>2</v>
      </c>
      <c r="W6" s="10">
        <v>590</v>
      </c>
      <c r="X6" s="10">
        <v>4</v>
      </c>
      <c r="Y6" s="10">
        <v>2</v>
      </c>
      <c r="Z6" s="10"/>
      <c r="AA6" s="10"/>
      <c r="AB6" s="10">
        <v>1331</v>
      </c>
      <c r="AC6" s="10">
        <v>1258</v>
      </c>
      <c r="AD6" s="10">
        <v>9.8000000000000007</v>
      </c>
      <c r="AE6" s="10">
        <v>39.5</v>
      </c>
      <c r="AF6" s="10"/>
      <c r="AG6" s="10"/>
      <c r="AH6" s="10"/>
      <c r="AI6" s="10"/>
      <c r="AJ6" s="10"/>
      <c r="AK6" s="10"/>
      <c r="AL6" s="10">
        <v>29.2</v>
      </c>
      <c r="AM6" s="10"/>
      <c r="AN6" s="11"/>
      <c r="AO6" s="11" t="s">
        <v>99</v>
      </c>
      <c r="AP6" s="10">
        <v>29</v>
      </c>
      <c r="AQ6" s="10" t="s">
        <v>83</v>
      </c>
    </row>
    <row r="7" spans="1:61" ht="16.5">
      <c r="A7" s="10">
        <v>117</v>
      </c>
      <c r="B7" s="10"/>
      <c r="C7" s="74" t="s">
        <v>96</v>
      </c>
      <c r="D7" s="86">
        <f>IFERROR(VLOOKUP(C7, $C$2:D6, 2, FALSE), MAX($D$2:D6)+1)</f>
        <v>2</v>
      </c>
      <c r="E7" s="10">
        <v>82.8</v>
      </c>
      <c r="F7" s="10">
        <v>6.2</v>
      </c>
      <c r="G7" s="10">
        <v>2.6</v>
      </c>
      <c r="H7" s="10">
        <v>4.2</v>
      </c>
      <c r="I7" s="10">
        <v>0</v>
      </c>
      <c r="J7" s="10">
        <v>0</v>
      </c>
      <c r="K7" s="10">
        <v>2.7</v>
      </c>
      <c r="L7" s="10">
        <v>1.5</v>
      </c>
      <c r="M7" s="10">
        <v>0</v>
      </c>
      <c r="N7" s="10">
        <v>0</v>
      </c>
      <c r="O7" s="10" t="s">
        <v>81</v>
      </c>
      <c r="P7" s="10" t="s">
        <v>81</v>
      </c>
      <c r="Q7" s="10" t="s">
        <v>81</v>
      </c>
      <c r="R7" s="10" t="s">
        <v>81</v>
      </c>
      <c r="S7" s="10" t="s">
        <v>81</v>
      </c>
      <c r="T7" s="10">
        <v>910</v>
      </c>
      <c r="U7" s="10">
        <v>1</v>
      </c>
      <c r="V7" s="10" t="s">
        <v>81</v>
      </c>
      <c r="W7" s="10">
        <v>590</v>
      </c>
      <c r="X7" s="10">
        <v>4</v>
      </c>
      <c r="Y7" s="10">
        <v>2</v>
      </c>
      <c r="Z7" s="10"/>
      <c r="AA7" s="10"/>
      <c r="AB7" s="10">
        <v>1188</v>
      </c>
      <c r="AC7" s="10">
        <v>1113</v>
      </c>
      <c r="AD7" s="10">
        <v>13</v>
      </c>
      <c r="AE7" s="10">
        <v>41</v>
      </c>
      <c r="AF7" s="10"/>
      <c r="AG7" s="10"/>
      <c r="AH7" s="10"/>
      <c r="AI7" s="10"/>
      <c r="AJ7" s="10"/>
      <c r="AK7" s="10"/>
      <c r="AL7" s="10">
        <v>39</v>
      </c>
      <c r="AM7" s="10"/>
      <c r="AN7" s="11"/>
      <c r="AO7" s="11" t="s">
        <v>99</v>
      </c>
      <c r="AP7" s="10">
        <v>29</v>
      </c>
      <c r="AQ7" s="10" t="s">
        <v>83</v>
      </c>
    </row>
    <row r="8" spans="1:61" ht="16.5">
      <c r="A8" s="10">
        <v>118</v>
      </c>
      <c r="B8" s="10"/>
      <c r="C8" s="74" t="s">
        <v>96</v>
      </c>
      <c r="D8" s="86">
        <f>IFERROR(VLOOKUP(C8, $C$2:D7, 2, FALSE), MAX($D$2:D7)+1)</f>
        <v>2</v>
      </c>
      <c r="E8" s="10">
        <v>82.8</v>
      </c>
      <c r="F8" s="10">
        <v>6.2</v>
      </c>
      <c r="G8" s="10">
        <v>2.6</v>
      </c>
      <c r="H8" s="10">
        <v>4.2</v>
      </c>
      <c r="I8" s="10">
        <v>0</v>
      </c>
      <c r="J8" s="10">
        <v>0</v>
      </c>
      <c r="K8" s="10">
        <v>2.7</v>
      </c>
      <c r="L8" s="10">
        <v>1.5</v>
      </c>
      <c r="M8" s="10">
        <v>0</v>
      </c>
      <c r="N8" s="10">
        <v>0</v>
      </c>
      <c r="O8" s="10" t="s">
        <v>81</v>
      </c>
      <c r="P8" s="10" t="s">
        <v>81</v>
      </c>
      <c r="Q8" s="10" t="s">
        <v>81</v>
      </c>
      <c r="R8" s="10" t="s">
        <v>81</v>
      </c>
      <c r="S8" s="10" t="s">
        <v>81</v>
      </c>
      <c r="T8" s="10">
        <v>910</v>
      </c>
      <c r="U8" s="10">
        <v>1</v>
      </c>
      <c r="V8" s="10">
        <v>3</v>
      </c>
      <c r="W8" s="10">
        <v>590</v>
      </c>
      <c r="X8" s="10">
        <v>4</v>
      </c>
      <c r="Y8" s="10">
        <v>2</v>
      </c>
      <c r="Z8" s="10"/>
      <c r="AA8" s="10"/>
      <c r="AB8" s="10">
        <v>1048</v>
      </c>
      <c r="AC8" s="10">
        <v>1001</v>
      </c>
      <c r="AD8" s="10">
        <v>20.3</v>
      </c>
      <c r="AE8" s="10">
        <v>61</v>
      </c>
      <c r="AF8" s="10"/>
      <c r="AG8" s="10"/>
      <c r="AH8" s="10"/>
      <c r="AI8" s="10"/>
      <c r="AJ8" s="10"/>
      <c r="AK8" s="10"/>
      <c r="AL8" s="10">
        <v>53</v>
      </c>
      <c r="AM8" s="10"/>
      <c r="AN8" s="11"/>
      <c r="AO8" s="11" t="s">
        <v>99</v>
      </c>
      <c r="AP8" s="10">
        <v>29</v>
      </c>
      <c r="AQ8" s="10" t="s">
        <v>83</v>
      </c>
    </row>
    <row r="9" spans="1:61" ht="16.5">
      <c r="A9" s="10">
        <v>90</v>
      </c>
      <c r="B9" s="10"/>
      <c r="C9" s="74" t="s">
        <v>105</v>
      </c>
      <c r="D9" s="86">
        <f>IFERROR(VLOOKUP(C9, $C$2:D8, 2, FALSE), MAX($D$2:D8)+1)</f>
        <v>3</v>
      </c>
      <c r="E9" s="10">
        <v>83.4</v>
      </c>
      <c r="F9" s="10">
        <v>6</v>
      </c>
      <c r="G9" s="10">
        <v>2</v>
      </c>
      <c r="H9" s="10">
        <v>3</v>
      </c>
      <c r="I9" s="10">
        <v>0</v>
      </c>
      <c r="J9" s="10">
        <v>0</v>
      </c>
      <c r="K9" s="10">
        <v>2</v>
      </c>
      <c r="L9" s="10">
        <v>1.5</v>
      </c>
      <c r="M9" s="10">
        <v>0</v>
      </c>
      <c r="N9" s="10">
        <v>2</v>
      </c>
      <c r="O9" s="10" t="s">
        <v>81</v>
      </c>
      <c r="P9" s="10" t="s">
        <v>81</v>
      </c>
      <c r="Q9" s="10" t="s">
        <v>81</v>
      </c>
      <c r="R9" s="10" t="s">
        <v>81</v>
      </c>
      <c r="S9" s="10" t="s">
        <v>81</v>
      </c>
      <c r="T9" s="10">
        <v>850</v>
      </c>
      <c r="U9" s="10">
        <v>1</v>
      </c>
      <c r="V9" s="10">
        <v>2</v>
      </c>
      <c r="W9" s="10">
        <v>600</v>
      </c>
      <c r="X9" s="10">
        <v>4</v>
      </c>
      <c r="Y9" s="10">
        <v>2</v>
      </c>
      <c r="Z9" s="10"/>
      <c r="AA9" s="10"/>
      <c r="AB9" s="10">
        <v>1213</v>
      </c>
      <c r="AC9" s="10">
        <v>1136</v>
      </c>
      <c r="AD9" s="10">
        <v>10</v>
      </c>
      <c r="AE9" s="10">
        <v>37</v>
      </c>
      <c r="AF9" s="10"/>
      <c r="AG9" s="10"/>
      <c r="AH9" s="10"/>
      <c r="AI9" s="10"/>
      <c r="AJ9" s="10"/>
      <c r="AK9" s="10"/>
      <c r="AL9" s="10">
        <v>11.8</v>
      </c>
      <c r="AM9" s="10"/>
      <c r="AN9" s="11"/>
      <c r="AO9" s="11" t="s">
        <v>110</v>
      </c>
      <c r="AP9" s="10">
        <v>22</v>
      </c>
      <c r="AQ9" s="10" t="s">
        <v>83</v>
      </c>
    </row>
    <row r="10" spans="1:61" ht="16.5">
      <c r="A10" s="10">
        <v>91</v>
      </c>
      <c r="B10" s="10"/>
      <c r="C10" s="74" t="s">
        <v>105</v>
      </c>
      <c r="D10" s="86">
        <f>IFERROR(VLOOKUP(C10, $C$2:D9, 2, FALSE), MAX($D$2:D9)+1)</f>
        <v>3</v>
      </c>
      <c r="E10" s="10">
        <v>83.4</v>
      </c>
      <c r="F10" s="10">
        <v>6</v>
      </c>
      <c r="G10" s="10">
        <v>2</v>
      </c>
      <c r="H10" s="10">
        <v>3</v>
      </c>
      <c r="I10" s="10">
        <v>0</v>
      </c>
      <c r="J10" s="10">
        <v>0</v>
      </c>
      <c r="K10" s="10">
        <v>2</v>
      </c>
      <c r="L10" s="10">
        <v>1.5</v>
      </c>
      <c r="M10" s="10">
        <v>0</v>
      </c>
      <c r="N10" s="10">
        <v>2</v>
      </c>
      <c r="O10" s="10" t="s">
        <v>81</v>
      </c>
      <c r="P10" s="10" t="s">
        <v>81</v>
      </c>
      <c r="Q10" s="10" t="s">
        <v>81</v>
      </c>
      <c r="R10" s="10" t="s">
        <v>81</v>
      </c>
      <c r="S10" s="10" t="s">
        <v>81</v>
      </c>
      <c r="T10" s="10">
        <v>900</v>
      </c>
      <c r="U10" s="10">
        <v>1</v>
      </c>
      <c r="V10" s="10">
        <v>2</v>
      </c>
      <c r="W10" s="10">
        <v>600</v>
      </c>
      <c r="X10" s="10">
        <v>4</v>
      </c>
      <c r="Y10" s="10">
        <v>2</v>
      </c>
      <c r="Z10" s="10"/>
      <c r="AA10" s="10"/>
      <c r="AB10" s="10">
        <v>1340</v>
      </c>
      <c r="AC10" s="10">
        <v>1248</v>
      </c>
      <c r="AD10" s="10">
        <v>9</v>
      </c>
      <c r="AE10" s="10">
        <v>33</v>
      </c>
      <c r="AF10" s="10"/>
      <c r="AG10" s="10"/>
      <c r="AH10" s="10"/>
      <c r="AI10" s="10"/>
      <c r="AJ10" s="10"/>
      <c r="AK10" s="10"/>
      <c r="AL10" s="10">
        <v>12.3</v>
      </c>
      <c r="AM10" s="10"/>
      <c r="AN10" s="11"/>
      <c r="AO10" s="11" t="s">
        <v>110</v>
      </c>
      <c r="AP10" s="10">
        <v>22</v>
      </c>
      <c r="AQ10" s="10" t="s">
        <v>83</v>
      </c>
    </row>
    <row r="11" spans="1:61" ht="16.5">
      <c r="A11" s="10">
        <v>92</v>
      </c>
      <c r="B11" s="10"/>
      <c r="C11" s="74" t="s">
        <v>105</v>
      </c>
      <c r="D11" s="86">
        <f>IFERROR(VLOOKUP(C11, $C$2:D10, 2, FALSE), MAX($D$2:D10)+1)</f>
        <v>3</v>
      </c>
      <c r="E11" s="10">
        <v>83.4</v>
      </c>
      <c r="F11" s="10">
        <v>6</v>
      </c>
      <c r="G11" s="10">
        <v>2</v>
      </c>
      <c r="H11" s="10">
        <v>3</v>
      </c>
      <c r="I11" s="10">
        <v>0</v>
      </c>
      <c r="J11" s="10">
        <v>0</v>
      </c>
      <c r="K11" s="10">
        <v>2</v>
      </c>
      <c r="L11" s="10">
        <v>1.5</v>
      </c>
      <c r="M11" s="10">
        <v>0</v>
      </c>
      <c r="N11" s="10">
        <v>2</v>
      </c>
      <c r="O11" s="10" t="s">
        <v>81</v>
      </c>
      <c r="P11" s="10" t="s">
        <v>81</v>
      </c>
      <c r="Q11" s="10" t="s">
        <v>81</v>
      </c>
      <c r="R11" s="10" t="s">
        <v>81</v>
      </c>
      <c r="S11" s="10" t="s">
        <v>81</v>
      </c>
      <c r="T11" s="10">
        <v>920</v>
      </c>
      <c r="U11" s="10">
        <v>1</v>
      </c>
      <c r="V11" s="10">
        <v>2</v>
      </c>
      <c r="W11" s="10">
        <v>600</v>
      </c>
      <c r="X11" s="10">
        <v>4</v>
      </c>
      <c r="Y11" s="10">
        <v>2</v>
      </c>
      <c r="Z11" s="10"/>
      <c r="AA11" s="10"/>
      <c r="AB11" s="10">
        <v>1259</v>
      </c>
      <c r="AC11" s="10">
        <v>1175</v>
      </c>
      <c r="AD11" s="10">
        <v>8</v>
      </c>
      <c r="AE11" s="10">
        <v>31</v>
      </c>
      <c r="AF11" s="10"/>
      <c r="AG11" s="10"/>
      <c r="AH11" s="10"/>
      <c r="AI11" s="10"/>
      <c r="AJ11" s="10"/>
      <c r="AK11" s="10"/>
      <c r="AL11" s="10">
        <v>16.2</v>
      </c>
      <c r="AM11" s="10"/>
      <c r="AN11" s="11"/>
      <c r="AO11" s="11" t="s">
        <v>110</v>
      </c>
      <c r="AP11" s="10">
        <v>22</v>
      </c>
      <c r="AQ11" s="10" t="s">
        <v>83</v>
      </c>
    </row>
    <row r="12" spans="1:61" ht="16.5">
      <c r="A12" s="10">
        <v>93</v>
      </c>
      <c r="B12" s="10"/>
      <c r="C12" s="74" t="s">
        <v>105</v>
      </c>
      <c r="D12" s="86">
        <f>IFERROR(VLOOKUP(C12, $C$2:D11, 2, FALSE), MAX($D$2:D11)+1)</f>
        <v>3</v>
      </c>
      <c r="E12" s="10">
        <v>83.4</v>
      </c>
      <c r="F12" s="10">
        <v>6</v>
      </c>
      <c r="G12" s="10">
        <v>2</v>
      </c>
      <c r="H12" s="10">
        <v>3</v>
      </c>
      <c r="I12" s="10">
        <v>0</v>
      </c>
      <c r="J12" s="10">
        <v>0</v>
      </c>
      <c r="K12" s="10">
        <v>2</v>
      </c>
      <c r="L12" s="10">
        <v>1.5</v>
      </c>
      <c r="M12" s="10">
        <v>0</v>
      </c>
      <c r="N12" s="10">
        <v>2</v>
      </c>
      <c r="O12" s="10" t="s">
        <v>81</v>
      </c>
      <c r="P12" s="10" t="s">
        <v>81</v>
      </c>
      <c r="Q12" s="10" t="s">
        <v>81</v>
      </c>
      <c r="R12" s="10" t="s">
        <v>81</v>
      </c>
      <c r="S12" s="10" t="s">
        <v>81</v>
      </c>
      <c r="T12" s="10">
        <v>920</v>
      </c>
      <c r="U12" s="10">
        <v>1</v>
      </c>
      <c r="V12" s="10" t="s">
        <v>81</v>
      </c>
      <c r="W12" s="10">
        <v>0</v>
      </c>
      <c r="X12" s="10">
        <v>0</v>
      </c>
      <c r="Y12" s="10">
        <v>0</v>
      </c>
      <c r="Z12" s="10"/>
      <c r="AA12" s="10"/>
      <c r="AB12" s="10">
        <v>1018</v>
      </c>
      <c r="AC12" s="10">
        <v>943</v>
      </c>
      <c r="AD12" s="10">
        <v>20</v>
      </c>
      <c r="AE12" s="10">
        <v>55</v>
      </c>
      <c r="AF12" s="10"/>
      <c r="AG12" s="10"/>
      <c r="AH12" s="10"/>
      <c r="AI12" s="10"/>
      <c r="AJ12" s="10"/>
      <c r="AK12" s="10"/>
      <c r="AL12" s="10">
        <v>34.5</v>
      </c>
      <c r="AM12" s="10"/>
      <c r="AN12" s="11"/>
      <c r="AO12" s="11" t="s">
        <v>110</v>
      </c>
      <c r="AP12" s="10">
        <v>22</v>
      </c>
      <c r="AQ12" s="10" t="s">
        <v>83</v>
      </c>
    </row>
    <row r="13" spans="1:61" ht="16.5">
      <c r="A13" s="10">
        <v>94</v>
      </c>
      <c r="B13" s="10"/>
      <c r="C13" s="74" t="s">
        <v>105</v>
      </c>
      <c r="D13" s="86">
        <f>IFERROR(VLOOKUP(C13, $C$2:D12, 2, FALSE), MAX($D$2:D12)+1)</f>
        <v>3</v>
      </c>
      <c r="E13" s="10">
        <v>83.4</v>
      </c>
      <c r="F13" s="10">
        <v>6</v>
      </c>
      <c r="G13" s="10">
        <v>2</v>
      </c>
      <c r="H13" s="10">
        <v>3</v>
      </c>
      <c r="I13" s="10">
        <v>0</v>
      </c>
      <c r="J13" s="10">
        <v>0</v>
      </c>
      <c r="K13" s="10">
        <v>2</v>
      </c>
      <c r="L13" s="10">
        <v>1.5</v>
      </c>
      <c r="M13" s="10">
        <v>0</v>
      </c>
      <c r="N13" s="10">
        <v>2</v>
      </c>
      <c r="O13" s="10" t="s">
        <v>81</v>
      </c>
      <c r="P13" s="10" t="s">
        <v>81</v>
      </c>
      <c r="Q13" s="10" t="s">
        <v>81</v>
      </c>
      <c r="R13" s="10" t="s">
        <v>81</v>
      </c>
      <c r="S13" s="10" t="s">
        <v>81</v>
      </c>
      <c r="T13" s="10">
        <v>970</v>
      </c>
      <c r="U13" s="10">
        <v>1</v>
      </c>
      <c r="V13" s="10">
        <v>2</v>
      </c>
      <c r="W13" s="10">
        <v>600</v>
      </c>
      <c r="X13" s="10">
        <v>4</v>
      </c>
      <c r="Y13" s="10">
        <v>2</v>
      </c>
      <c r="Z13" s="10"/>
      <c r="AA13" s="10"/>
      <c r="AB13" s="10">
        <v>1318</v>
      </c>
      <c r="AC13" s="10">
        <v>1299</v>
      </c>
      <c r="AD13" s="10">
        <v>1</v>
      </c>
      <c r="AE13" s="10">
        <v>3</v>
      </c>
      <c r="AF13" s="10"/>
      <c r="AG13" s="10"/>
      <c r="AH13" s="10"/>
      <c r="AI13" s="10"/>
      <c r="AJ13" s="10"/>
      <c r="AK13" s="10"/>
      <c r="AL13" s="10">
        <v>9.5</v>
      </c>
      <c r="AM13" s="10"/>
      <c r="AN13" s="11"/>
      <c r="AO13" s="11" t="s">
        <v>110</v>
      </c>
      <c r="AP13" s="10">
        <v>22</v>
      </c>
      <c r="AQ13" s="10" t="s">
        <v>83</v>
      </c>
    </row>
    <row r="14" spans="1:61" ht="16.5">
      <c r="A14" s="10">
        <v>95</v>
      </c>
      <c r="B14" s="10"/>
      <c r="C14" s="74" t="s">
        <v>105</v>
      </c>
      <c r="D14" s="86">
        <f>IFERROR(VLOOKUP(C14, $C$2:D13, 2, FALSE), MAX($D$2:D13)+1)</f>
        <v>3</v>
      </c>
      <c r="E14" s="10">
        <v>83.4</v>
      </c>
      <c r="F14" s="10">
        <v>6</v>
      </c>
      <c r="G14" s="10">
        <v>2</v>
      </c>
      <c r="H14" s="10">
        <v>3</v>
      </c>
      <c r="I14" s="10">
        <v>0</v>
      </c>
      <c r="J14" s="10">
        <v>0</v>
      </c>
      <c r="K14" s="10">
        <v>2</v>
      </c>
      <c r="L14" s="10">
        <v>1.5</v>
      </c>
      <c r="M14" s="10">
        <v>0</v>
      </c>
      <c r="N14" s="10">
        <v>2</v>
      </c>
      <c r="O14" s="10" t="s">
        <v>81</v>
      </c>
      <c r="P14" s="10" t="s">
        <v>81</v>
      </c>
      <c r="Q14" s="10" t="s">
        <v>81</v>
      </c>
      <c r="R14" s="10" t="s">
        <v>81</v>
      </c>
      <c r="S14" s="10" t="s">
        <v>81</v>
      </c>
      <c r="T14" s="10">
        <v>970</v>
      </c>
      <c r="U14" s="10">
        <v>1</v>
      </c>
      <c r="V14" s="10" t="s">
        <v>81</v>
      </c>
      <c r="W14" s="10">
        <v>600</v>
      </c>
      <c r="X14" s="10">
        <v>4</v>
      </c>
      <c r="Y14" s="10">
        <v>2</v>
      </c>
      <c r="Z14" s="10"/>
      <c r="AA14" s="10"/>
      <c r="AB14" s="10">
        <v>1064</v>
      </c>
      <c r="AC14" s="10">
        <v>938</v>
      </c>
      <c r="AD14" s="10">
        <v>9</v>
      </c>
      <c r="AE14" s="10">
        <v>19</v>
      </c>
      <c r="AF14" s="10"/>
      <c r="AG14" s="10"/>
      <c r="AH14" s="10"/>
      <c r="AI14" s="10"/>
      <c r="AJ14" s="10"/>
      <c r="AK14" s="10"/>
      <c r="AL14" s="10">
        <v>28.6</v>
      </c>
      <c r="AM14" s="10"/>
      <c r="AN14" s="11"/>
      <c r="AO14" s="11" t="s">
        <v>110</v>
      </c>
      <c r="AP14" s="10">
        <v>22</v>
      </c>
      <c r="AQ14" s="10" t="s">
        <v>83</v>
      </c>
    </row>
    <row r="15" spans="1:61" ht="16.5">
      <c r="A15" s="10">
        <v>96</v>
      </c>
      <c r="B15" s="10"/>
      <c r="C15" s="74" t="s">
        <v>105</v>
      </c>
      <c r="D15" s="86">
        <f>IFERROR(VLOOKUP(C15, $C$2:D14, 2, FALSE), MAX($D$2:D14)+1)</f>
        <v>3</v>
      </c>
      <c r="E15" s="10">
        <v>83.4</v>
      </c>
      <c r="F15" s="10">
        <v>6</v>
      </c>
      <c r="G15" s="10">
        <v>2</v>
      </c>
      <c r="H15" s="10">
        <v>3</v>
      </c>
      <c r="I15" s="10">
        <v>0</v>
      </c>
      <c r="J15" s="10">
        <v>0</v>
      </c>
      <c r="K15" s="10">
        <v>2</v>
      </c>
      <c r="L15" s="10">
        <v>1.5</v>
      </c>
      <c r="M15" s="10">
        <v>0</v>
      </c>
      <c r="N15" s="10">
        <v>2</v>
      </c>
      <c r="O15" s="10" t="s">
        <v>81</v>
      </c>
      <c r="P15" s="10" t="s">
        <v>81</v>
      </c>
      <c r="Q15" s="10" t="s">
        <v>81</v>
      </c>
      <c r="R15" s="10" t="s">
        <v>81</v>
      </c>
      <c r="S15" s="10" t="s">
        <v>81</v>
      </c>
      <c r="T15" s="10">
        <v>970</v>
      </c>
      <c r="U15" s="10">
        <v>1</v>
      </c>
      <c r="V15" s="10" t="s">
        <v>81</v>
      </c>
      <c r="W15" s="10">
        <v>0</v>
      </c>
      <c r="X15" s="10">
        <v>0</v>
      </c>
      <c r="Y15" s="10">
        <v>0</v>
      </c>
      <c r="Z15" s="10"/>
      <c r="AA15" s="10"/>
      <c r="AB15" s="10">
        <v>1059</v>
      </c>
      <c r="AC15" s="10">
        <v>950</v>
      </c>
      <c r="AD15" s="10">
        <v>10</v>
      </c>
      <c r="AE15" s="10">
        <v>19</v>
      </c>
      <c r="AF15" s="10"/>
      <c r="AG15" s="10"/>
      <c r="AH15" s="10"/>
      <c r="AI15" s="10"/>
      <c r="AJ15" s="10"/>
      <c r="AK15" s="10"/>
      <c r="AL15" s="10">
        <v>34.1</v>
      </c>
      <c r="AM15" s="10"/>
      <c r="AN15" s="11"/>
      <c r="AO15" s="11" t="s">
        <v>110</v>
      </c>
      <c r="AP15" s="10">
        <v>22</v>
      </c>
      <c r="AQ15" s="10" t="s">
        <v>83</v>
      </c>
    </row>
    <row r="16" spans="1:61" ht="16.5">
      <c r="A16" s="10">
        <v>7</v>
      </c>
      <c r="B16" s="10"/>
      <c r="C16" s="74" t="s">
        <v>116</v>
      </c>
      <c r="D16" s="86">
        <f>IFERROR(VLOOKUP(C16, $C$2:D15, 2, FALSE), MAX($D$2:D15)+1)</f>
        <v>4</v>
      </c>
      <c r="E16" s="10">
        <v>89.566900000000004</v>
      </c>
      <c r="F16" s="10">
        <v>6.12</v>
      </c>
      <c r="G16" s="10">
        <v>0</v>
      </c>
      <c r="H16" s="10">
        <v>0</v>
      </c>
      <c r="I16" s="10">
        <v>4.0999999999999996</v>
      </c>
      <c r="J16" s="10">
        <v>0</v>
      </c>
      <c r="K16" s="10">
        <v>0</v>
      </c>
      <c r="L16" s="10">
        <v>0</v>
      </c>
      <c r="M16" s="10">
        <v>0.06</v>
      </c>
      <c r="N16" s="10">
        <v>0</v>
      </c>
      <c r="O16" s="10" t="s">
        <v>81</v>
      </c>
      <c r="P16" s="10">
        <v>2</v>
      </c>
      <c r="Q16" s="10">
        <v>930</v>
      </c>
      <c r="R16" s="10">
        <v>20</v>
      </c>
      <c r="S16" s="10" t="s">
        <v>81</v>
      </c>
      <c r="T16" s="10">
        <v>600</v>
      </c>
      <c r="U16" s="10">
        <v>1</v>
      </c>
      <c r="V16" s="10">
        <v>3</v>
      </c>
      <c r="W16" s="10">
        <v>0</v>
      </c>
      <c r="X16" s="10">
        <v>0</v>
      </c>
      <c r="Y16" s="10">
        <v>0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v>51.5</v>
      </c>
      <c r="AK16" s="10"/>
      <c r="AL16" s="10"/>
      <c r="AM16" s="10"/>
      <c r="AN16" s="11"/>
      <c r="AO16" s="11" t="s">
        <v>119</v>
      </c>
      <c r="AP16" s="10">
        <v>3</v>
      </c>
      <c r="AQ16" s="10" t="s">
        <v>83</v>
      </c>
    </row>
    <row r="17" spans="1:61" ht="16.5">
      <c r="A17" s="10">
        <v>8</v>
      </c>
      <c r="B17" s="10"/>
      <c r="C17" s="74" t="s">
        <v>116</v>
      </c>
      <c r="D17" s="86">
        <f>IFERROR(VLOOKUP(C17, $C$2:D16, 2, FALSE), MAX($D$2:D16)+1)</f>
        <v>4</v>
      </c>
      <c r="E17" s="10">
        <v>89.566900000000004</v>
      </c>
      <c r="F17" s="10">
        <v>6.12</v>
      </c>
      <c r="G17" s="10">
        <v>0</v>
      </c>
      <c r="H17" s="10">
        <v>0</v>
      </c>
      <c r="I17" s="10">
        <v>4.0999999999999996</v>
      </c>
      <c r="J17" s="10">
        <v>0</v>
      </c>
      <c r="K17" s="10">
        <v>0</v>
      </c>
      <c r="L17" s="10">
        <v>0</v>
      </c>
      <c r="M17" s="10">
        <v>0.06</v>
      </c>
      <c r="N17" s="10">
        <v>0</v>
      </c>
      <c r="O17" s="10" t="s">
        <v>81</v>
      </c>
      <c r="P17" s="10">
        <v>2</v>
      </c>
      <c r="Q17" s="10">
        <v>950</v>
      </c>
      <c r="R17" s="10">
        <v>20</v>
      </c>
      <c r="S17" s="10" t="s">
        <v>81</v>
      </c>
      <c r="T17" s="10">
        <v>700</v>
      </c>
      <c r="U17" s="10">
        <v>1</v>
      </c>
      <c r="V17" s="10">
        <v>3</v>
      </c>
      <c r="W17" s="10">
        <v>0</v>
      </c>
      <c r="X17" s="10">
        <v>0</v>
      </c>
      <c r="Y17" s="10">
        <v>0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38.5</v>
      </c>
      <c r="AK17" s="10"/>
      <c r="AL17" s="10"/>
      <c r="AM17" s="10"/>
      <c r="AN17" s="11"/>
      <c r="AO17" s="11" t="s">
        <v>119</v>
      </c>
      <c r="AP17" s="10">
        <v>3</v>
      </c>
      <c r="AQ17" s="10" t="s">
        <v>83</v>
      </c>
    </row>
    <row r="18" spans="1:61" ht="16.5">
      <c r="A18" s="10">
        <v>9</v>
      </c>
      <c r="B18" s="10"/>
      <c r="C18" s="74" t="s">
        <v>116</v>
      </c>
      <c r="D18" s="86">
        <f>IFERROR(VLOOKUP(C18, $C$2:D17, 2, FALSE), MAX($D$2:D17)+1)</f>
        <v>4</v>
      </c>
      <c r="E18" s="10">
        <v>89.566900000000004</v>
      </c>
      <c r="F18" s="10">
        <v>6.12</v>
      </c>
      <c r="G18" s="10">
        <v>0</v>
      </c>
      <c r="H18" s="10">
        <v>0</v>
      </c>
      <c r="I18" s="10">
        <v>4.0999999999999996</v>
      </c>
      <c r="J18" s="10">
        <v>0</v>
      </c>
      <c r="K18" s="10">
        <v>0</v>
      </c>
      <c r="L18" s="10">
        <v>0</v>
      </c>
      <c r="M18" s="10">
        <v>0.06</v>
      </c>
      <c r="N18" s="10">
        <v>0</v>
      </c>
      <c r="O18" s="10" t="s">
        <v>81</v>
      </c>
      <c r="P18" s="10">
        <v>2</v>
      </c>
      <c r="Q18" s="10">
        <v>970</v>
      </c>
      <c r="R18" s="10">
        <v>20</v>
      </c>
      <c r="S18" s="10" t="s">
        <v>81</v>
      </c>
      <c r="T18" s="10">
        <v>800</v>
      </c>
      <c r="U18" s="10">
        <v>1</v>
      </c>
      <c r="V18" s="10">
        <v>3</v>
      </c>
      <c r="W18" s="10">
        <v>0</v>
      </c>
      <c r="X18" s="10">
        <v>0</v>
      </c>
      <c r="Y18" s="10">
        <v>0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45</v>
      </c>
      <c r="AK18" s="10"/>
      <c r="AL18" s="10"/>
      <c r="AM18" s="10"/>
      <c r="AN18" s="11"/>
      <c r="AO18" s="11" t="s">
        <v>119</v>
      </c>
      <c r="AP18" s="10">
        <v>3</v>
      </c>
      <c r="AQ18" s="10" t="s">
        <v>83</v>
      </c>
    </row>
    <row r="19" spans="1:61" ht="16.5">
      <c r="A19" s="10">
        <v>10</v>
      </c>
      <c r="B19" s="10"/>
      <c r="C19" s="74" t="s">
        <v>116</v>
      </c>
      <c r="D19" s="86">
        <f>IFERROR(VLOOKUP(C19, $C$2:D18, 2, FALSE), MAX($D$2:D18)+1)</f>
        <v>4</v>
      </c>
      <c r="E19" s="10">
        <v>89.566900000000004</v>
      </c>
      <c r="F19" s="10">
        <v>6.12</v>
      </c>
      <c r="G19" s="10">
        <v>0</v>
      </c>
      <c r="H19" s="10">
        <v>0</v>
      </c>
      <c r="I19" s="10">
        <v>4.0999999999999996</v>
      </c>
      <c r="J19" s="10">
        <v>0</v>
      </c>
      <c r="K19" s="10">
        <v>0</v>
      </c>
      <c r="L19" s="10">
        <v>0</v>
      </c>
      <c r="M19" s="10">
        <v>0.06</v>
      </c>
      <c r="N19" s="10">
        <v>0</v>
      </c>
      <c r="O19" s="10" t="s">
        <v>81</v>
      </c>
      <c r="P19" s="10">
        <v>2</v>
      </c>
      <c r="Q19" s="10">
        <v>930</v>
      </c>
      <c r="R19" s="10">
        <v>50</v>
      </c>
      <c r="S19" s="10" t="s">
        <v>81</v>
      </c>
      <c r="T19" s="10">
        <v>600</v>
      </c>
      <c r="U19" s="10">
        <v>1</v>
      </c>
      <c r="V19" s="10">
        <v>3</v>
      </c>
      <c r="W19" s="10">
        <v>0</v>
      </c>
      <c r="X19" s="10">
        <v>0</v>
      </c>
      <c r="Y19" s="10">
        <v>0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53</v>
      </c>
      <c r="AK19" s="10"/>
      <c r="AL19" s="10"/>
      <c r="AM19" s="10"/>
      <c r="AN19" s="11"/>
      <c r="AO19" s="11" t="s">
        <v>119</v>
      </c>
      <c r="AP19" s="10">
        <v>3</v>
      </c>
      <c r="AQ19" s="10" t="s">
        <v>83</v>
      </c>
    </row>
    <row r="20" spans="1:61" ht="16.5">
      <c r="A20" s="10">
        <v>11</v>
      </c>
      <c r="B20" s="10"/>
      <c r="C20" s="74" t="s">
        <v>116</v>
      </c>
      <c r="D20" s="86">
        <f>IFERROR(VLOOKUP(C20, $C$2:D19, 2, FALSE), MAX($D$2:D19)+1)</f>
        <v>4</v>
      </c>
      <c r="E20" s="10">
        <v>89.566900000000004</v>
      </c>
      <c r="F20" s="10">
        <v>6.12</v>
      </c>
      <c r="G20" s="10">
        <v>0</v>
      </c>
      <c r="H20" s="10">
        <v>0</v>
      </c>
      <c r="I20" s="10">
        <v>4.0999999999999996</v>
      </c>
      <c r="J20" s="10">
        <v>0</v>
      </c>
      <c r="K20" s="10">
        <v>0</v>
      </c>
      <c r="L20" s="10">
        <v>0</v>
      </c>
      <c r="M20" s="10">
        <v>0.06</v>
      </c>
      <c r="N20" s="10">
        <v>0</v>
      </c>
      <c r="O20" s="10" t="s">
        <v>81</v>
      </c>
      <c r="P20" s="10">
        <v>2</v>
      </c>
      <c r="Q20" s="10">
        <v>950</v>
      </c>
      <c r="R20" s="10">
        <v>50</v>
      </c>
      <c r="S20" s="10" t="s">
        <v>81</v>
      </c>
      <c r="T20" s="10">
        <v>700</v>
      </c>
      <c r="U20" s="10">
        <v>1</v>
      </c>
      <c r="V20" s="10">
        <v>3</v>
      </c>
      <c r="W20" s="10">
        <v>0</v>
      </c>
      <c r="X20" s="10">
        <v>0</v>
      </c>
      <c r="Y20" s="10">
        <v>0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43</v>
      </c>
      <c r="AK20" s="10"/>
      <c r="AL20" s="10"/>
      <c r="AM20" s="10"/>
      <c r="AN20" s="11"/>
      <c r="AO20" s="11" t="s">
        <v>119</v>
      </c>
      <c r="AP20" s="10">
        <v>3</v>
      </c>
      <c r="AQ20" s="10" t="s">
        <v>83</v>
      </c>
    </row>
    <row r="21" spans="1:61" s="15" customFormat="1" ht="16.5">
      <c r="A21" s="37">
        <v>12</v>
      </c>
      <c r="B21" s="39"/>
      <c r="C21" s="74" t="s">
        <v>116</v>
      </c>
      <c r="D21" s="86">
        <f>IFERROR(VLOOKUP(C21, $C$2:D20, 2, FALSE), MAX($D$2:D20)+1)</f>
        <v>4</v>
      </c>
      <c r="E21" s="39">
        <v>89.566900000000004</v>
      </c>
      <c r="F21" s="39">
        <v>6.12</v>
      </c>
      <c r="G21" s="39">
        <v>0</v>
      </c>
      <c r="H21" s="39">
        <v>0</v>
      </c>
      <c r="I21" s="39">
        <v>4.0999999999999996</v>
      </c>
      <c r="J21" s="39">
        <v>0</v>
      </c>
      <c r="K21" s="39">
        <v>0</v>
      </c>
      <c r="L21" s="39">
        <v>0</v>
      </c>
      <c r="M21" s="39">
        <v>0.06</v>
      </c>
      <c r="N21" s="39">
        <v>0</v>
      </c>
      <c r="O21" s="39" t="s">
        <v>81</v>
      </c>
      <c r="P21" s="39">
        <v>2</v>
      </c>
      <c r="Q21" s="39">
        <v>970</v>
      </c>
      <c r="R21" s="39">
        <v>50</v>
      </c>
      <c r="S21" s="39" t="s">
        <v>81</v>
      </c>
      <c r="T21" s="39">
        <v>800</v>
      </c>
      <c r="U21" s="39">
        <v>1</v>
      </c>
      <c r="V21" s="39">
        <v>3</v>
      </c>
      <c r="W21" s="39">
        <v>0</v>
      </c>
      <c r="X21" s="39">
        <v>0</v>
      </c>
      <c r="Y21" s="39">
        <v>0</v>
      </c>
      <c r="Z21" s="39"/>
      <c r="AA21" s="39"/>
      <c r="AB21" s="39">
        <v>900</v>
      </c>
      <c r="AC21" s="39">
        <v>798</v>
      </c>
      <c r="AD21" s="39">
        <v>15.8</v>
      </c>
      <c r="AE21" s="39"/>
      <c r="AF21" s="39"/>
      <c r="AG21" s="39"/>
      <c r="AH21" s="39"/>
      <c r="AI21" s="39"/>
      <c r="AJ21" s="39">
        <v>48.5</v>
      </c>
      <c r="AK21" s="39"/>
      <c r="AL21" s="39"/>
      <c r="AM21" s="39"/>
      <c r="AN21" s="40"/>
      <c r="AO21" s="40" t="s">
        <v>119</v>
      </c>
      <c r="AP21" s="44">
        <v>3</v>
      </c>
      <c r="AQ21" s="41" t="s">
        <v>83</v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17" customFormat="1" ht="16.5">
      <c r="A22" s="37">
        <v>13</v>
      </c>
      <c r="B22" s="44"/>
      <c r="C22" s="74" t="s">
        <v>116</v>
      </c>
      <c r="D22" s="86">
        <f>IFERROR(VLOOKUP(C22, $C$2:D21, 2, FALSE), MAX($D$2:D21)+1)</f>
        <v>4</v>
      </c>
      <c r="E22" s="44">
        <v>89.566900000000004</v>
      </c>
      <c r="F22" s="44">
        <v>6.12</v>
      </c>
      <c r="G22" s="44">
        <v>0</v>
      </c>
      <c r="H22" s="44">
        <v>0</v>
      </c>
      <c r="I22" s="44">
        <v>4.0999999999999996</v>
      </c>
      <c r="J22" s="44">
        <v>0</v>
      </c>
      <c r="K22" s="44">
        <v>0</v>
      </c>
      <c r="L22" s="44">
        <v>0</v>
      </c>
      <c r="M22" s="44">
        <v>0.06</v>
      </c>
      <c r="N22" s="44">
        <v>0</v>
      </c>
      <c r="O22" s="44" t="s">
        <v>81</v>
      </c>
      <c r="P22" s="44">
        <v>2</v>
      </c>
      <c r="Q22" s="44">
        <v>950</v>
      </c>
      <c r="R22" s="44">
        <v>80</v>
      </c>
      <c r="S22" s="44" t="s">
        <v>81</v>
      </c>
      <c r="T22" s="44">
        <v>600</v>
      </c>
      <c r="U22" s="44">
        <v>1</v>
      </c>
      <c r="V22" s="44">
        <v>3</v>
      </c>
      <c r="W22" s="44">
        <v>0</v>
      </c>
      <c r="X22" s="44">
        <v>0</v>
      </c>
      <c r="Y22" s="44">
        <v>0</v>
      </c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>
        <v>60</v>
      </c>
      <c r="AK22" s="44"/>
      <c r="AL22" s="44"/>
      <c r="AM22" s="44"/>
      <c r="AN22" s="45"/>
      <c r="AO22" s="45" t="s">
        <v>119</v>
      </c>
      <c r="AP22" s="44">
        <v>3</v>
      </c>
      <c r="AQ22" s="41" t="s">
        <v>83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17" customFormat="1" ht="16.5">
      <c r="A23" s="37">
        <v>14</v>
      </c>
      <c r="B23" s="44"/>
      <c r="C23" s="74" t="s">
        <v>116</v>
      </c>
      <c r="D23" s="86">
        <f>IFERROR(VLOOKUP(C23, $C$2:D22, 2, FALSE), MAX($D$2:D22)+1)</f>
        <v>4</v>
      </c>
      <c r="E23" s="44">
        <v>89.566900000000004</v>
      </c>
      <c r="F23" s="44">
        <v>6.12</v>
      </c>
      <c r="G23" s="44">
        <v>0</v>
      </c>
      <c r="H23" s="44">
        <v>0</v>
      </c>
      <c r="I23" s="44">
        <v>4.0999999999999996</v>
      </c>
      <c r="J23" s="44">
        <v>0</v>
      </c>
      <c r="K23" s="44">
        <v>0</v>
      </c>
      <c r="L23" s="44">
        <v>0</v>
      </c>
      <c r="M23" s="44">
        <v>0.06</v>
      </c>
      <c r="N23" s="44">
        <v>0</v>
      </c>
      <c r="O23" s="44" t="s">
        <v>81</v>
      </c>
      <c r="P23" s="44">
        <v>2</v>
      </c>
      <c r="Q23" s="44">
        <v>970</v>
      </c>
      <c r="R23" s="44">
        <v>80</v>
      </c>
      <c r="S23" s="44" t="s">
        <v>81</v>
      </c>
      <c r="T23" s="44">
        <v>700</v>
      </c>
      <c r="U23" s="44">
        <v>1</v>
      </c>
      <c r="V23" s="44">
        <v>3</v>
      </c>
      <c r="W23" s="44">
        <v>0</v>
      </c>
      <c r="X23" s="44">
        <v>0</v>
      </c>
      <c r="Y23" s="44">
        <v>0</v>
      </c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>
        <v>46</v>
      </c>
      <c r="AK23" s="44"/>
      <c r="AL23" s="44"/>
      <c r="AM23" s="44"/>
      <c r="AN23" s="45"/>
      <c r="AO23" s="45" t="s">
        <v>119</v>
      </c>
      <c r="AP23" s="44">
        <v>3</v>
      </c>
      <c r="AQ23" s="41" t="s">
        <v>83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17" customFormat="1" ht="16.5">
      <c r="A24" s="37">
        <v>15</v>
      </c>
      <c r="B24" s="44"/>
      <c r="C24" s="74" t="s">
        <v>116</v>
      </c>
      <c r="D24" s="86">
        <f>IFERROR(VLOOKUP(C24, $C$2:D23, 2, FALSE), MAX($D$2:D23)+1)</f>
        <v>4</v>
      </c>
      <c r="E24" s="44">
        <v>89.566900000000004</v>
      </c>
      <c r="F24" s="44">
        <v>6.12</v>
      </c>
      <c r="G24" s="44">
        <v>0</v>
      </c>
      <c r="H24" s="44">
        <v>0</v>
      </c>
      <c r="I24" s="44">
        <v>4.0999999999999996</v>
      </c>
      <c r="J24" s="44">
        <v>0</v>
      </c>
      <c r="K24" s="44">
        <v>0</v>
      </c>
      <c r="L24" s="44">
        <v>0</v>
      </c>
      <c r="M24" s="44">
        <v>0.06</v>
      </c>
      <c r="N24" s="44">
        <v>0</v>
      </c>
      <c r="O24" s="44" t="s">
        <v>81</v>
      </c>
      <c r="P24" s="44">
        <v>2</v>
      </c>
      <c r="Q24" s="44">
        <v>930</v>
      </c>
      <c r="R24" s="44">
        <v>80</v>
      </c>
      <c r="S24" s="44" t="s">
        <v>81</v>
      </c>
      <c r="T24" s="44">
        <v>800</v>
      </c>
      <c r="U24" s="44">
        <v>1</v>
      </c>
      <c r="V24" s="44">
        <v>3</v>
      </c>
      <c r="W24" s="44">
        <v>0</v>
      </c>
      <c r="X24" s="44">
        <v>0</v>
      </c>
      <c r="Y24" s="44">
        <v>0</v>
      </c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>
        <v>45.5</v>
      </c>
      <c r="AK24" s="44"/>
      <c r="AL24" s="44"/>
      <c r="AM24" s="44"/>
      <c r="AN24" s="45"/>
      <c r="AO24" s="45" t="s">
        <v>119</v>
      </c>
      <c r="AP24" s="44">
        <v>3</v>
      </c>
      <c r="AQ24" s="41" t="s">
        <v>83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17" customFormat="1" ht="16.5">
      <c r="A25" s="37">
        <v>16</v>
      </c>
      <c r="B25" s="44"/>
      <c r="C25" s="74" t="s">
        <v>116</v>
      </c>
      <c r="D25" s="86">
        <f>IFERROR(VLOOKUP(C25, $C$2:D24, 2, FALSE), MAX($D$2:D24)+1)</f>
        <v>4</v>
      </c>
      <c r="E25" s="44">
        <v>89.566900000000004</v>
      </c>
      <c r="F25" s="44">
        <v>6.12</v>
      </c>
      <c r="G25" s="44">
        <v>0</v>
      </c>
      <c r="H25" s="44">
        <v>0</v>
      </c>
      <c r="I25" s="44">
        <v>4.0999999999999996</v>
      </c>
      <c r="J25" s="44">
        <v>0</v>
      </c>
      <c r="K25" s="44">
        <v>0</v>
      </c>
      <c r="L25" s="44">
        <v>0</v>
      </c>
      <c r="M25" s="44">
        <v>0.06</v>
      </c>
      <c r="N25" s="44">
        <v>0</v>
      </c>
      <c r="O25" s="44" t="s">
        <v>81</v>
      </c>
      <c r="P25" s="44">
        <v>2</v>
      </c>
      <c r="Q25" s="44">
        <v>970</v>
      </c>
      <c r="R25" s="44">
        <v>20</v>
      </c>
      <c r="S25" s="44" t="s">
        <v>81</v>
      </c>
      <c r="T25" s="44">
        <v>600</v>
      </c>
      <c r="U25" s="44">
        <v>2</v>
      </c>
      <c r="V25" s="44">
        <v>3</v>
      </c>
      <c r="W25" s="44">
        <v>0</v>
      </c>
      <c r="X25" s="44">
        <v>0</v>
      </c>
      <c r="Y25" s="44">
        <v>0</v>
      </c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>
        <v>49.5</v>
      </c>
      <c r="AK25" s="44"/>
      <c r="AL25" s="44"/>
      <c r="AM25" s="44"/>
      <c r="AN25" s="45"/>
      <c r="AO25" s="45" t="s">
        <v>119</v>
      </c>
      <c r="AP25" s="44">
        <v>3</v>
      </c>
      <c r="AQ25" s="41" t="s">
        <v>83</v>
      </c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17" customFormat="1" ht="16.5">
      <c r="A26" s="37">
        <v>17</v>
      </c>
      <c r="B26" s="44"/>
      <c r="C26" s="74" t="s">
        <v>116</v>
      </c>
      <c r="D26" s="86">
        <f>IFERROR(VLOOKUP(C26, $C$2:D25, 2, FALSE), MAX($D$2:D25)+1)</f>
        <v>4</v>
      </c>
      <c r="E26" s="44">
        <v>89.566900000000004</v>
      </c>
      <c r="F26" s="44">
        <v>6.12</v>
      </c>
      <c r="G26" s="44">
        <v>0</v>
      </c>
      <c r="H26" s="44">
        <v>0</v>
      </c>
      <c r="I26" s="44">
        <v>4.0999999999999996</v>
      </c>
      <c r="J26" s="44">
        <v>0</v>
      </c>
      <c r="K26" s="44">
        <v>0</v>
      </c>
      <c r="L26" s="44">
        <v>0</v>
      </c>
      <c r="M26" s="44">
        <v>0.06</v>
      </c>
      <c r="N26" s="44">
        <v>0</v>
      </c>
      <c r="O26" s="44" t="s">
        <v>81</v>
      </c>
      <c r="P26" s="44">
        <v>2</v>
      </c>
      <c r="Q26" s="75">
        <v>930</v>
      </c>
      <c r="R26" s="44">
        <v>20</v>
      </c>
      <c r="S26" s="44" t="s">
        <v>81</v>
      </c>
      <c r="T26" s="44">
        <v>700</v>
      </c>
      <c r="U26" s="44">
        <v>2</v>
      </c>
      <c r="V26" s="44">
        <v>3</v>
      </c>
      <c r="W26" s="44">
        <v>0</v>
      </c>
      <c r="X26" s="44">
        <v>0</v>
      </c>
      <c r="Y26" s="44">
        <v>0</v>
      </c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>
        <v>36.5</v>
      </c>
      <c r="AK26" s="44"/>
      <c r="AL26" s="44"/>
      <c r="AM26" s="44"/>
      <c r="AN26" s="45"/>
      <c r="AO26" s="45" t="s">
        <v>119</v>
      </c>
      <c r="AP26" s="44">
        <v>3</v>
      </c>
      <c r="AQ26" s="41" t="s">
        <v>83</v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ht="16.5">
      <c r="A27" s="37">
        <v>18</v>
      </c>
      <c r="B27" s="44"/>
      <c r="C27" s="74" t="s">
        <v>116</v>
      </c>
      <c r="D27" s="86">
        <f>IFERROR(VLOOKUP(C27, $C$2:D26, 2, FALSE), MAX($D$2:D26)+1)</f>
        <v>4</v>
      </c>
      <c r="E27" s="44">
        <v>89.566900000000004</v>
      </c>
      <c r="F27" s="44">
        <v>6.12</v>
      </c>
      <c r="G27" s="44">
        <v>0</v>
      </c>
      <c r="H27" s="44">
        <v>0</v>
      </c>
      <c r="I27" s="44">
        <v>4.0999999999999996</v>
      </c>
      <c r="J27" s="44">
        <v>0</v>
      </c>
      <c r="K27" s="44">
        <v>0</v>
      </c>
      <c r="L27" s="44">
        <v>0</v>
      </c>
      <c r="M27" s="44">
        <v>0.06</v>
      </c>
      <c r="N27" s="44">
        <v>0</v>
      </c>
      <c r="O27" s="44" t="s">
        <v>81</v>
      </c>
      <c r="P27" s="43">
        <v>2</v>
      </c>
      <c r="Q27" s="39">
        <v>950</v>
      </c>
      <c r="R27" s="37">
        <v>20</v>
      </c>
      <c r="S27" s="44" t="s">
        <v>81</v>
      </c>
      <c r="T27" s="44">
        <v>800</v>
      </c>
      <c r="U27" s="44">
        <v>2</v>
      </c>
      <c r="V27" s="44">
        <v>3</v>
      </c>
      <c r="W27" s="44">
        <v>0</v>
      </c>
      <c r="X27" s="44">
        <v>0</v>
      </c>
      <c r="Y27" s="44">
        <v>0</v>
      </c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>
        <v>37.5</v>
      </c>
      <c r="AK27" s="44"/>
      <c r="AL27" s="44"/>
      <c r="AM27" s="44"/>
      <c r="AN27" s="45"/>
      <c r="AO27" s="45" t="s">
        <v>119</v>
      </c>
      <c r="AP27" s="44">
        <v>3</v>
      </c>
      <c r="AQ27" s="41" t="s">
        <v>83</v>
      </c>
    </row>
    <row r="28" spans="1:61" ht="16.5">
      <c r="A28" s="37">
        <v>19</v>
      </c>
      <c r="B28" s="44"/>
      <c r="C28" s="74" t="s">
        <v>116</v>
      </c>
      <c r="D28" s="86">
        <f>IFERROR(VLOOKUP(C28, $C$2:D27, 2, FALSE), MAX($D$2:D27)+1)</f>
        <v>4</v>
      </c>
      <c r="E28" s="44">
        <v>89.566900000000004</v>
      </c>
      <c r="F28" s="44">
        <v>6.12</v>
      </c>
      <c r="G28" s="44">
        <v>0</v>
      </c>
      <c r="H28" s="44">
        <v>0</v>
      </c>
      <c r="I28" s="44">
        <v>4.0999999999999996</v>
      </c>
      <c r="J28" s="44">
        <v>0</v>
      </c>
      <c r="K28" s="44">
        <v>0</v>
      </c>
      <c r="L28" s="44">
        <v>0</v>
      </c>
      <c r="M28" s="44">
        <v>0.06</v>
      </c>
      <c r="N28" s="44">
        <v>0</v>
      </c>
      <c r="O28" s="44" t="s">
        <v>81</v>
      </c>
      <c r="P28" s="43">
        <v>2</v>
      </c>
      <c r="Q28" s="39">
        <v>950</v>
      </c>
      <c r="R28" s="37">
        <v>50</v>
      </c>
      <c r="S28" s="44" t="s">
        <v>81</v>
      </c>
      <c r="T28" s="44">
        <v>600</v>
      </c>
      <c r="U28" s="44">
        <v>2</v>
      </c>
      <c r="V28" s="44">
        <v>3</v>
      </c>
      <c r="W28" s="44">
        <v>0</v>
      </c>
      <c r="X28" s="44">
        <v>0</v>
      </c>
      <c r="Y28" s="44">
        <v>0</v>
      </c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>
        <v>51</v>
      </c>
      <c r="AK28" s="44"/>
      <c r="AL28" s="44"/>
      <c r="AM28" s="44"/>
      <c r="AN28" s="45"/>
      <c r="AO28" s="45" t="s">
        <v>119</v>
      </c>
      <c r="AP28" s="44">
        <v>3</v>
      </c>
      <c r="AQ28" s="41" t="s">
        <v>83</v>
      </c>
    </row>
    <row r="29" spans="1:61" ht="16.5">
      <c r="A29" s="37">
        <v>20</v>
      </c>
      <c r="B29" s="44"/>
      <c r="C29" s="74" t="s">
        <v>116</v>
      </c>
      <c r="D29" s="86">
        <f>IFERROR(VLOOKUP(C29, $C$2:D28, 2, FALSE), MAX($D$2:D28)+1)</f>
        <v>4</v>
      </c>
      <c r="E29" s="44">
        <v>89.566900000000004</v>
      </c>
      <c r="F29" s="44">
        <v>6.12</v>
      </c>
      <c r="G29" s="44">
        <v>0</v>
      </c>
      <c r="H29" s="44">
        <v>0</v>
      </c>
      <c r="I29" s="44">
        <v>4.0999999999999996</v>
      </c>
      <c r="J29" s="44">
        <v>0</v>
      </c>
      <c r="K29" s="44">
        <v>0</v>
      </c>
      <c r="L29" s="44">
        <v>0</v>
      </c>
      <c r="M29" s="44">
        <v>0.06</v>
      </c>
      <c r="N29" s="44">
        <v>0</v>
      </c>
      <c r="O29" s="44" t="s">
        <v>81</v>
      </c>
      <c r="P29" s="44">
        <v>2</v>
      </c>
      <c r="Q29" s="56">
        <v>970</v>
      </c>
      <c r="R29" s="44">
        <v>50</v>
      </c>
      <c r="S29" s="44" t="s">
        <v>81</v>
      </c>
      <c r="T29" s="44">
        <v>700</v>
      </c>
      <c r="U29" s="44">
        <v>2</v>
      </c>
      <c r="V29" s="44">
        <v>3</v>
      </c>
      <c r="W29" s="44">
        <v>0</v>
      </c>
      <c r="X29" s="44">
        <v>0</v>
      </c>
      <c r="Y29" s="44">
        <v>0</v>
      </c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>
        <v>43</v>
      </c>
      <c r="AK29" s="44"/>
      <c r="AL29" s="44"/>
      <c r="AM29" s="44"/>
      <c r="AN29" s="45"/>
      <c r="AO29" s="45" t="s">
        <v>119</v>
      </c>
      <c r="AP29" s="44">
        <v>3</v>
      </c>
      <c r="AQ29" s="41" t="s">
        <v>83</v>
      </c>
    </row>
    <row r="30" spans="1:61" ht="16.5">
      <c r="A30" s="37">
        <v>21</v>
      </c>
      <c r="B30" s="44"/>
      <c r="C30" s="74" t="s">
        <v>116</v>
      </c>
      <c r="D30" s="86">
        <f>IFERROR(VLOOKUP(C30, $C$2:D29, 2, FALSE), MAX($D$2:D29)+1)</f>
        <v>4</v>
      </c>
      <c r="E30" s="44">
        <v>89.566900000000004</v>
      </c>
      <c r="F30" s="44">
        <v>6.12</v>
      </c>
      <c r="G30" s="44">
        <v>0</v>
      </c>
      <c r="H30" s="44">
        <v>0</v>
      </c>
      <c r="I30" s="44">
        <v>4.0999999999999996</v>
      </c>
      <c r="J30" s="44">
        <v>0</v>
      </c>
      <c r="K30" s="44">
        <v>0</v>
      </c>
      <c r="L30" s="44">
        <v>0</v>
      </c>
      <c r="M30" s="44">
        <v>0.06</v>
      </c>
      <c r="N30" s="44">
        <v>0</v>
      </c>
      <c r="O30" s="44" t="s">
        <v>81</v>
      </c>
      <c r="P30" s="44">
        <v>2</v>
      </c>
      <c r="Q30" s="44">
        <v>930</v>
      </c>
      <c r="R30" s="44">
        <v>50</v>
      </c>
      <c r="S30" s="44" t="s">
        <v>81</v>
      </c>
      <c r="T30" s="44">
        <v>800</v>
      </c>
      <c r="U30" s="44">
        <v>2</v>
      </c>
      <c r="V30" s="44">
        <v>3</v>
      </c>
      <c r="W30" s="44">
        <v>0</v>
      </c>
      <c r="X30" s="44">
        <v>0</v>
      </c>
      <c r="Y30" s="44">
        <v>0</v>
      </c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>
        <v>41</v>
      </c>
      <c r="AK30" s="44"/>
      <c r="AL30" s="44"/>
      <c r="AM30" s="44"/>
      <c r="AN30" s="45"/>
      <c r="AO30" s="45" t="s">
        <v>119</v>
      </c>
      <c r="AP30" s="44">
        <v>3</v>
      </c>
      <c r="AQ30" s="41" t="s">
        <v>83</v>
      </c>
    </row>
    <row r="31" spans="1:61" ht="16.5">
      <c r="A31" s="37">
        <v>22</v>
      </c>
      <c r="B31" s="44"/>
      <c r="C31" s="74" t="s">
        <v>116</v>
      </c>
      <c r="D31" s="86">
        <f>IFERROR(VLOOKUP(C31, $C$2:D30, 2, FALSE), MAX($D$2:D30)+1)</f>
        <v>4</v>
      </c>
      <c r="E31" s="44">
        <v>89.566900000000004</v>
      </c>
      <c r="F31" s="44">
        <v>6.12</v>
      </c>
      <c r="G31" s="44">
        <v>0</v>
      </c>
      <c r="H31" s="44">
        <v>0</v>
      </c>
      <c r="I31" s="44">
        <v>4.0999999999999996</v>
      </c>
      <c r="J31" s="44">
        <v>0</v>
      </c>
      <c r="K31" s="44">
        <v>0</v>
      </c>
      <c r="L31" s="44">
        <v>0</v>
      </c>
      <c r="M31" s="44">
        <v>0.06</v>
      </c>
      <c r="N31" s="44">
        <v>0</v>
      </c>
      <c r="O31" s="44" t="s">
        <v>81</v>
      </c>
      <c r="P31" s="44">
        <v>2</v>
      </c>
      <c r="Q31" s="44">
        <v>970</v>
      </c>
      <c r="R31" s="44">
        <v>80</v>
      </c>
      <c r="S31" s="44" t="s">
        <v>81</v>
      </c>
      <c r="T31" s="44">
        <v>600</v>
      </c>
      <c r="U31" s="44">
        <v>2</v>
      </c>
      <c r="V31" s="44">
        <v>3</v>
      </c>
      <c r="W31" s="44">
        <v>0</v>
      </c>
      <c r="X31" s="44">
        <v>0</v>
      </c>
      <c r="Y31" s="44">
        <v>0</v>
      </c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>
        <v>55.5</v>
      </c>
      <c r="AK31" s="44"/>
      <c r="AL31" s="44"/>
      <c r="AM31" s="44"/>
      <c r="AN31" s="45"/>
      <c r="AO31" s="45" t="s">
        <v>119</v>
      </c>
      <c r="AP31" s="44">
        <v>3</v>
      </c>
      <c r="AQ31" s="41" t="s">
        <v>83</v>
      </c>
    </row>
    <row r="32" spans="1:61" ht="16.5">
      <c r="A32" s="37">
        <v>23</v>
      </c>
      <c r="B32" s="44"/>
      <c r="C32" s="74" t="s">
        <v>116</v>
      </c>
      <c r="D32" s="86">
        <f>IFERROR(VLOOKUP(C32, $C$2:D31, 2, FALSE), MAX($D$2:D31)+1)</f>
        <v>4</v>
      </c>
      <c r="E32" s="44">
        <v>89.566900000000004</v>
      </c>
      <c r="F32" s="44">
        <v>6.12</v>
      </c>
      <c r="G32" s="44">
        <v>0</v>
      </c>
      <c r="H32" s="44">
        <v>0</v>
      </c>
      <c r="I32" s="44">
        <v>4.0999999999999996</v>
      </c>
      <c r="J32" s="44">
        <v>0</v>
      </c>
      <c r="K32" s="44">
        <v>0</v>
      </c>
      <c r="L32" s="44">
        <v>0</v>
      </c>
      <c r="M32" s="44">
        <v>0.06</v>
      </c>
      <c r="N32" s="44">
        <v>0</v>
      </c>
      <c r="O32" s="44" t="s">
        <v>81</v>
      </c>
      <c r="P32" s="44">
        <v>2</v>
      </c>
      <c r="Q32" s="44">
        <v>930</v>
      </c>
      <c r="R32" s="44">
        <v>80</v>
      </c>
      <c r="S32" s="44" t="s">
        <v>81</v>
      </c>
      <c r="T32" s="44">
        <v>700</v>
      </c>
      <c r="U32" s="44">
        <v>2</v>
      </c>
      <c r="V32" s="44">
        <v>3</v>
      </c>
      <c r="W32" s="44">
        <v>0</v>
      </c>
      <c r="X32" s="44">
        <v>0</v>
      </c>
      <c r="Y32" s="44">
        <v>0</v>
      </c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>
        <v>41.5</v>
      </c>
      <c r="AK32" s="44"/>
      <c r="AL32" s="44"/>
      <c r="AM32" s="44"/>
      <c r="AN32" s="45"/>
      <c r="AO32" s="45" t="s">
        <v>119</v>
      </c>
      <c r="AP32" s="44">
        <v>3</v>
      </c>
      <c r="AQ32" s="41" t="s">
        <v>83</v>
      </c>
    </row>
    <row r="33" spans="1:61" s="25" customFormat="1" ht="16.5">
      <c r="A33" s="42">
        <v>24</v>
      </c>
      <c r="B33" s="39"/>
      <c r="C33" s="74" t="s">
        <v>116</v>
      </c>
      <c r="D33" s="86">
        <f>IFERROR(VLOOKUP(C33, $C$2:D32, 2, FALSE), MAX($D$2:D32)+1)</f>
        <v>4</v>
      </c>
      <c r="E33" s="39">
        <v>89.566900000000004</v>
      </c>
      <c r="F33" s="39">
        <v>6.12</v>
      </c>
      <c r="G33" s="39">
        <v>0</v>
      </c>
      <c r="H33" s="39">
        <v>0</v>
      </c>
      <c r="I33" s="39">
        <v>4.0999999999999996</v>
      </c>
      <c r="J33" s="39">
        <v>0</v>
      </c>
      <c r="K33" s="39">
        <v>0</v>
      </c>
      <c r="L33" s="39">
        <v>0</v>
      </c>
      <c r="M33" s="39">
        <v>0.06</v>
      </c>
      <c r="N33" s="39">
        <v>0</v>
      </c>
      <c r="O33" s="39" t="s">
        <v>81</v>
      </c>
      <c r="P33" s="39">
        <v>2</v>
      </c>
      <c r="Q33" s="39">
        <v>950</v>
      </c>
      <c r="R33" s="39">
        <v>80</v>
      </c>
      <c r="S33" s="39" t="s">
        <v>81</v>
      </c>
      <c r="T33" s="39">
        <v>800</v>
      </c>
      <c r="U33" s="39">
        <v>2</v>
      </c>
      <c r="V33" s="39">
        <v>3</v>
      </c>
      <c r="W33" s="39">
        <v>0</v>
      </c>
      <c r="X33" s="39">
        <v>0</v>
      </c>
      <c r="Y33" s="39">
        <v>0</v>
      </c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>
        <v>36.5</v>
      </c>
      <c r="AK33" s="39"/>
      <c r="AL33" s="39"/>
      <c r="AM33" s="39"/>
      <c r="AN33" s="40"/>
      <c r="AO33" s="40" t="s">
        <v>119</v>
      </c>
      <c r="AP33" s="76">
        <v>3</v>
      </c>
      <c r="AQ33" s="38" t="s">
        <v>83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25" customFormat="1" ht="16.5">
      <c r="A34" s="37">
        <v>66</v>
      </c>
      <c r="B34" s="39"/>
      <c r="C34" s="74" t="s">
        <v>116</v>
      </c>
      <c r="D34" s="86">
        <f>IFERROR(VLOOKUP(C34, $C$2:D33, 2, FALSE), MAX($D$2:D33)+1)</f>
        <v>4</v>
      </c>
      <c r="E34" s="39">
        <v>89.498000000000005</v>
      </c>
      <c r="F34" s="39">
        <v>6.2</v>
      </c>
      <c r="G34" s="39">
        <v>0</v>
      </c>
      <c r="H34" s="39">
        <v>0</v>
      </c>
      <c r="I34" s="39">
        <v>4.2</v>
      </c>
      <c r="J34" s="39">
        <v>0</v>
      </c>
      <c r="K34" s="39">
        <v>0</v>
      </c>
      <c r="L34" s="39">
        <v>0</v>
      </c>
      <c r="M34" s="39">
        <v>1.7999999999999999E-2</v>
      </c>
      <c r="N34" s="39">
        <v>0</v>
      </c>
      <c r="O34" s="39" t="s">
        <v>81</v>
      </c>
      <c r="P34" s="39" t="s">
        <v>81</v>
      </c>
      <c r="Q34" s="39" t="s">
        <v>81</v>
      </c>
      <c r="R34" s="39" t="s">
        <v>81</v>
      </c>
      <c r="S34" s="39" t="s">
        <v>81</v>
      </c>
      <c r="T34" s="39">
        <v>800</v>
      </c>
      <c r="U34" s="39">
        <v>1</v>
      </c>
      <c r="V34" s="39">
        <v>2</v>
      </c>
      <c r="W34" s="39">
        <v>0</v>
      </c>
      <c r="X34" s="39">
        <v>0</v>
      </c>
      <c r="Y34" s="39">
        <v>0</v>
      </c>
      <c r="Z34" s="39"/>
      <c r="AA34" s="39"/>
      <c r="AB34" s="39">
        <v>924</v>
      </c>
      <c r="AC34" s="39">
        <v>813</v>
      </c>
      <c r="AD34" s="39">
        <v>14.5</v>
      </c>
      <c r="AE34" s="39">
        <v>50</v>
      </c>
      <c r="AF34" s="39"/>
      <c r="AG34" s="39"/>
      <c r="AH34" s="39"/>
      <c r="AI34" s="39"/>
      <c r="AJ34" s="39"/>
      <c r="AK34" s="39"/>
      <c r="AL34" s="39">
        <v>50</v>
      </c>
      <c r="AM34" s="39"/>
      <c r="AN34" s="40"/>
      <c r="AO34" s="40" t="s">
        <v>120</v>
      </c>
      <c r="AP34" s="44">
        <v>13</v>
      </c>
      <c r="AQ34" s="41" t="s">
        <v>83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s="25" customFormat="1" ht="16.5">
      <c r="A35" s="37">
        <v>67</v>
      </c>
      <c r="B35" s="39"/>
      <c r="C35" s="74" t="s">
        <v>116</v>
      </c>
      <c r="D35" s="86">
        <f>IFERROR(VLOOKUP(C35, $C$2:D34, 2, FALSE), MAX($D$2:D34)+1)</f>
        <v>4</v>
      </c>
      <c r="E35" s="39">
        <v>89.498000000000005</v>
      </c>
      <c r="F35" s="39">
        <v>6.2</v>
      </c>
      <c r="G35" s="39">
        <v>0</v>
      </c>
      <c r="H35" s="39">
        <v>0</v>
      </c>
      <c r="I35" s="39">
        <v>4.2</v>
      </c>
      <c r="J35" s="39">
        <v>0</v>
      </c>
      <c r="K35" s="39">
        <v>0</v>
      </c>
      <c r="L35" s="39">
        <v>0</v>
      </c>
      <c r="M35" s="39">
        <v>1.7999999999999999E-2</v>
      </c>
      <c r="N35" s="39">
        <v>0</v>
      </c>
      <c r="O35" s="39" t="s">
        <v>81</v>
      </c>
      <c r="P35" s="39" t="s">
        <v>81</v>
      </c>
      <c r="Q35" s="39" t="s">
        <v>81</v>
      </c>
      <c r="R35" s="39" t="s">
        <v>81</v>
      </c>
      <c r="S35" s="39" t="s">
        <v>81</v>
      </c>
      <c r="T35" s="39">
        <v>900</v>
      </c>
      <c r="U35" s="39">
        <v>1</v>
      </c>
      <c r="V35" s="39">
        <v>2</v>
      </c>
      <c r="W35" s="39">
        <v>0</v>
      </c>
      <c r="X35" s="39">
        <v>0</v>
      </c>
      <c r="Y35" s="39">
        <v>0</v>
      </c>
      <c r="Z35" s="39"/>
      <c r="AA35" s="39"/>
      <c r="AB35" s="39">
        <v>930</v>
      </c>
      <c r="AC35" s="39">
        <v>826</v>
      </c>
      <c r="AD35" s="39">
        <v>16</v>
      </c>
      <c r="AE35" s="39">
        <v>53</v>
      </c>
      <c r="AF35" s="39"/>
      <c r="AG35" s="39"/>
      <c r="AH35" s="39"/>
      <c r="AI35" s="39"/>
      <c r="AJ35" s="39"/>
      <c r="AK35" s="39"/>
      <c r="AL35" s="39">
        <v>85</v>
      </c>
      <c r="AM35" s="39"/>
      <c r="AN35" s="40"/>
      <c r="AO35" s="40" t="s">
        <v>120</v>
      </c>
      <c r="AP35" s="44">
        <v>13</v>
      </c>
      <c r="AQ35" s="41" t="s">
        <v>83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s="15" customFormat="1" ht="16.5">
      <c r="A36" s="37">
        <v>68</v>
      </c>
      <c r="B36" s="39"/>
      <c r="C36" s="74" t="s">
        <v>116</v>
      </c>
      <c r="D36" s="86">
        <f>IFERROR(VLOOKUP(C36, $C$2:D35, 2, FALSE), MAX($D$2:D35)+1)</f>
        <v>4</v>
      </c>
      <c r="E36" s="39">
        <v>89.498000000000005</v>
      </c>
      <c r="F36" s="39">
        <v>6.2</v>
      </c>
      <c r="G36" s="39">
        <v>0</v>
      </c>
      <c r="H36" s="39">
        <v>0</v>
      </c>
      <c r="I36" s="39">
        <v>4.2</v>
      </c>
      <c r="J36" s="39">
        <v>0</v>
      </c>
      <c r="K36" s="39">
        <v>0</v>
      </c>
      <c r="L36" s="39">
        <v>0</v>
      </c>
      <c r="M36" s="39">
        <v>1.7999999999999999E-2</v>
      </c>
      <c r="N36" s="39">
        <v>0</v>
      </c>
      <c r="O36" s="39" t="s">
        <v>81</v>
      </c>
      <c r="P36" s="39" t="s">
        <v>81</v>
      </c>
      <c r="Q36" s="39" t="s">
        <v>81</v>
      </c>
      <c r="R36" s="39" t="s">
        <v>81</v>
      </c>
      <c r="S36" s="39" t="s">
        <v>81</v>
      </c>
      <c r="T36" s="39">
        <v>1000</v>
      </c>
      <c r="U36" s="39">
        <v>1</v>
      </c>
      <c r="V36" s="39">
        <v>2</v>
      </c>
      <c r="W36" s="39">
        <v>0</v>
      </c>
      <c r="X36" s="39">
        <v>0</v>
      </c>
      <c r="Y36" s="39">
        <v>0</v>
      </c>
      <c r="Z36" s="39"/>
      <c r="AA36" s="39"/>
      <c r="AB36" s="39">
        <v>975</v>
      </c>
      <c r="AC36" s="39">
        <v>798</v>
      </c>
      <c r="AD36" s="39">
        <v>12</v>
      </c>
      <c r="AE36" s="39">
        <v>34</v>
      </c>
      <c r="AF36" s="39"/>
      <c r="AG36" s="39"/>
      <c r="AH36" s="39"/>
      <c r="AI36" s="39"/>
      <c r="AJ36" s="39"/>
      <c r="AK36" s="39"/>
      <c r="AL36" s="39">
        <v>60</v>
      </c>
      <c r="AM36" s="39"/>
      <c r="AN36" s="40"/>
      <c r="AO36" s="40" t="s">
        <v>120</v>
      </c>
      <c r="AP36" s="44">
        <v>13</v>
      </c>
      <c r="AQ36" s="41" t="s">
        <v>83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15" customFormat="1" ht="16.5">
      <c r="A37" s="37">
        <v>69</v>
      </c>
      <c r="B37" s="39"/>
      <c r="C37" s="74" t="s">
        <v>116</v>
      </c>
      <c r="D37" s="86">
        <f>IFERROR(VLOOKUP(C37, $C$2:D36, 2, FALSE), MAX($D$2:D36)+1)</f>
        <v>4</v>
      </c>
      <c r="E37" s="39">
        <v>89.498000000000005</v>
      </c>
      <c r="F37" s="39">
        <v>6.2</v>
      </c>
      <c r="G37" s="39">
        <v>0</v>
      </c>
      <c r="H37" s="39">
        <v>0</v>
      </c>
      <c r="I37" s="39">
        <v>4.2</v>
      </c>
      <c r="J37" s="39">
        <v>0</v>
      </c>
      <c r="K37" s="39">
        <v>0</v>
      </c>
      <c r="L37" s="39">
        <v>0</v>
      </c>
      <c r="M37" s="39">
        <v>1.7999999999999999E-2</v>
      </c>
      <c r="N37" s="39">
        <v>0</v>
      </c>
      <c r="O37" s="39" t="s">
        <v>81</v>
      </c>
      <c r="P37" s="39" t="s">
        <v>81</v>
      </c>
      <c r="Q37" s="39" t="s">
        <v>81</v>
      </c>
      <c r="R37" s="39" t="s">
        <v>81</v>
      </c>
      <c r="S37" s="39" t="s">
        <v>81</v>
      </c>
      <c r="T37" s="39">
        <v>1000</v>
      </c>
      <c r="U37" s="39">
        <v>1</v>
      </c>
      <c r="V37" s="39" t="s">
        <v>81</v>
      </c>
      <c r="W37" s="39">
        <v>0</v>
      </c>
      <c r="X37" s="39">
        <v>0</v>
      </c>
      <c r="Y37" s="39">
        <v>0</v>
      </c>
      <c r="Z37" s="39"/>
      <c r="AA37" s="39"/>
      <c r="AB37" s="39">
        <v>881</v>
      </c>
      <c r="AC37" s="39">
        <v>743</v>
      </c>
      <c r="AD37" s="39">
        <v>14</v>
      </c>
      <c r="AE37" s="39">
        <v>38</v>
      </c>
      <c r="AF37" s="39"/>
      <c r="AG37" s="39"/>
      <c r="AH37" s="39"/>
      <c r="AI37" s="39"/>
      <c r="AJ37" s="39"/>
      <c r="AK37" s="39"/>
      <c r="AL37" s="39">
        <v>63</v>
      </c>
      <c r="AM37" s="39"/>
      <c r="AN37" s="40"/>
      <c r="AO37" s="40" t="s">
        <v>120</v>
      </c>
      <c r="AP37" s="44">
        <v>13</v>
      </c>
      <c r="AQ37" s="41" t="s">
        <v>83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15" customFormat="1" ht="16.5">
      <c r="A38" s="37">
        <v>138</v>
      </c>
      <c r="B38" s="39"/>
      <c r="C38" s="74" t="s">
        <v>116</v>
      </c>
      <c r="D38" s="86">
        <f>IFERROR(VLOOKUP(C38, $C$2:D37, 2, FALSE), MAX($D$2:D37)+1)</f>
        <v>4</v>
      </c>
      <c r="E38" s="39">
        <v>89.658000000000001</v>
      </c>
      <c r="F38" s="39">
        <v>6.05</v>
      </c>
      <c r="G38" s="39">
        <v>0</v>
      </c>
      <c r="H38" s="39">
        <v>0</v>
      </c>
      <c r="I38" s="39">
        <v>4.04</v>
      </c>
      <c r="J38" s="39">
        <v>0</v>
      </c>
      <c r="K38" s="39">
        <v>0</v>
      </c>
      <c r="L38" s="39">
        <v>0</v>
      </c>
      <c r="M38" s="39">
        <v>0.05</v>
      </c>
      <c r="N38" s="39">
        <v>0</v>
      </c>
      <c r="O38" s="39" t="s">
        <v>81</v>
      </c>
      <c r="P38" s="39" t="s">
        <v>81</v>
      </c>
      <c r="Q38" s="39" t="s">
        <v>81</v>
      </c>
      <c r="R38" s="39" t="s">
        <v>81</v>
      </c>
      <c r="S38" s="39" t="s">
        <v>81</v>
      </c>
      <c r="T38" s="39" t="s">
        <v>81</v>
      </c>
      <c r="U38" s="39" t="s">
        <v>81</v>
      </c>
      <c r="V38" s="39" t="s">
        <v>81</v>
      </c>
      <c r="W38" s="39" t="s">
        <v>81</v>
      </c>
      <c r="X38" s="39" t="s">
        <v>81</v>
      </c>
      <c r="Y38" s="39" t="s">
        <v>81</v>
      </c>
      <c r="Z38" s="39"/>
      <c r="AA38" s="39"/>
      <c r="AB38" s="39">
        <v>932</v>
      </c>
      <c r="AC38" s="39">
        <v>851</v>
      </c>
      <c r="AD38" s="39">
        <v>16.2</v>
      </c>
      <c r="AE38" s="39">
        <v>29.7</v>
      </c>
      <c r="AF38" s="39"/>
      <c r="AG38" s="39"/>
      <c r="AH38" s="39"/>
      <c r="AI38" s="39"/>
      <c r="AJ38" s="39">
        <v>55</v>
      </c>
      <c r="AK38" s="39"/>
      <c r="AL38" s="39"/>
      <c r="AM38" s="39"/>
      <c r="AN38" s="40"/>
      <c r="AO38" s="40" t="s">
        <v>122</v>
      </c>
      <c r="AP38" s="44">
        <v>35</v>
      </c>
      <c r="AQ38" s="41" t="s">
        <v>83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15" customFormat="1" ht="16.5">
      <c r="A39" s="37">
        <v>139</v>
      </c>
      <c r="B39" s="39"/>
      <c r="C39" s="74" t="s">
        <v>116</v>
      </c>
      <c r="D39" s="86">
        <f>IFERROR(VLOOKUP(C39, $C$2:D38, 2, FALSE), MAX($D$2:D38)+1)</f>
        <v>4</v>
      </c>
      <c r="E39" s="39">
        <v>89.658000000000001</v>
      </c>
      <c r="F39" s="39">
        <v>6.05</v>
      </c>
      <c r="G39" s="39">
        <v>0</v>
      </c>
      <c r="H39" s="39">
        <v>0</v>
      </c>
      <c r="I39" s="39">
        <v>4.04</v>
      </c>
      <c r="J39" s="39">
        <v>0</v>
      </c>
      <c r="K39" s="39">
        <v>0</v>
      </c>
      <c r="L39" s="39">
        <v>0</v>
      </c>
      <c r="M39" s="39">
        <v>0.05</v>
      </c>
      <c r="N39" s="39">
        <v>0</v>
      </c>
      <c r="O39" s="39" t="s">
        <v>81</v>
      </c>
      <c r="P39" s="39" t="s">
        <v>81</v>
      </c>
      <c r="Q39" s="39" t="s">
        <v>81</v>
      </c>
      <c r="R39" s="39" t="s">
        <v>81</v>
      </c>
      <c r="S39" s="39" t="s">
        <v>81</v>
      </c>
      <c r="T39" s="39">
        <v>930</v>
      </c>
      <c r="U39" s="39">
        <v>1</v>
      </c>
      <c r="V39" s="39">
        <v>2</v>
      </c>
      <c r="W39" s="39">
        <v>0</v>
      </c>
      <c r="X39" s="39">
        <v>0</v>
      </c>
      <c r="Y39" s="39">
        <v>0</v>
      </c>
      <c r="Z39" s="39"/>
      <c r="AA39" s="39"/>
      <c r="AB39" s="39">
        <v>978</v>
      </c>
      <c r="AC39" s="39">
        <v>903</v>
      </c>
      <c r="AD39" s="39">
        <v>15.5</v>
      </c>
      <c r="AE39" s="39">
        <v>59.8</v>
      </c>
      <c r="AF39" s="39"/>
      <c r="AG39" s="39"/>
      <c r="AH39" s="39"/>
      <c r="AI39" s="39"/>
      <c r="AJ39" s="39">
        <v>50</v>
      </c>
      <c r="AK39" s="39"/>
      <c r="AL39" s="39"/>
      <c r="AM39" s="39"/>
      <c r="AN39" s="40"/>
      <c r="AO39" s="40" t="s">
        <v>122</v>
      </c>
      <c r="AP39" s="44">
        <v>35</v>
      </c>
      <c r="AQ39" s="38" t="s">
        <v>83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s="15" customFormat="1" ht="16.5">
      <c r="A40" s="37">
        <v>77</v>
      </c>
      <c r="B40" s="39"/>
      <c r="C40" s="74" t="s">
        <v>126</v>
      </c>
      <c r="D40" s="86">
        <f>IFERROR(VLOOKUP(C40, $C$2:D39, 2, FALSE), MAX($D$2:D39)+1)</f>
        <v>5</v>
      </c>
      <c r="E40" s="39">
        <v>85</v>
      </c>
      <c r="F40" s="39">
        <v>0</v>
      </c>
      <c r="G40" s="39">
        <v>0</v>
      </c>
      <c r="H40" s="39">
        <v>15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 t="s">
        <v>81</v>
      </c>
      <c r="P40" s="39">
        <v>2</v>
      </c>
      <c r="Q40" s="39" t="s">
        <v>81</v>
      </c>
      <c r="R40" s="39" t="s">
        <v>81</v>
      </c>
      <c r="S40" s="39" t="s">
        <v>81</v>
      </c>
      <c r="T40" s="39">
        <v>900</v>
      </c>
      <c r="U40" s="39">
        <v>1</v>
      </c>
      <c r="V40" s="39" t="s">
        <v>81</v>
      </c>
      <c r="W40" s="39">
        <v>0</v>
      </c>
      <c r="X40" s="39">
        <v>0</v>
      </c>
      <c r="Y40" s="39">
        <v>0</v>
      </c>
      <c r="Z40" s="39"/>
      <c r="AA40" s="39"/>
      <c r="AB40" s="39">
        <v>701</v>
      </c>
      <c r="AC40" s="39">
        <v>440</v>
      </c>
      <c r="AD40" s="39">
        <v>34</v>
      </c>
      <c r="AE40" s="39"/>
      <c r="AF40" s="39"/>
      <c r="AG40" s="39"/>
      <c r="AH40" s="39"/>
      <c r="AI40" s="39"/>
      <c r="AJ40" s="39"/>
      <c r="AK40" s="39"/>
      <c r="AL40" s="39">
        <v>252</v>
      </c>
      <c r="AM40" s="39"/>
      <c r="AN40" s="40"/>
      <c r="AO40" s="40" t="s">
        <v>131</v>
      </c>
      <c r="AP40" s="44">
        <v>16</v>
      </c>
      <c r="AQ40" s="41" t="s">
        <v>83</v>
      </c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ht="16.5">
      <c r="A41" s="37">
        <v>88</v>
      </c>
      <c r="B41" s="44"/>
      <c r="C41" s="74" t="s">
        <v>132</v>
      </c>
      <c r="D41" s="86">
        <f>IFERROR(VLOOKUP(C41, $C$2:D40, 2, FALSE), MAX($D$2:D40)+1)</f>
        <v>6</v>
      </c>
      <c r="E41" s="44">
        <v>90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8.5</v>
      </c>
      <c r="M41" s="44">
        <v>0</v>
      </c>
      <c r="N41" s="44">
        <v>1.5</v>
      </c>
      <c r="O41" s="44" t="s">
        <v>81</v>
      </c>
      <c r="P41" s="44" t="s">
        <v>81</v>
      </c>
      <c r="Q41" s="44" t="s">
        <v>81</v>
      </c>
      <c r="R41" s="44" t="s">
        <v>81</v>
      </c>
      <c r="S41" s="44" t="s">
        <v>81</v>
      </c>
      <c r="T41" s="44">
        <v>780</v>
      </c>
      <c r="U41" s="44">
        <v>0.16666666666666699</v>
      </c>
      <c r="V41" s="44">
        <v>1</v>
      </c>
      <c r="W41" s="44">
        <v>0</v>
      </c>
      <c r="X41" s="44">
        <v>0</v>
      </c>
      <c r="Y41" s="44">
        <v>0</v>
      </c>
      <c r="Z41" s="44"/>
      <c r="AA41" s="44"/>
      <c r="AB41" s="44">
        <v>835.9</v>
      </c>
      <c r="AC41" s="44">
        <v>356.5</v>
      </c>
      <c r="AD41" s="44">
        <v>56</v>
      </c>
      <c r="AE41" s="44"/>
      <c r="AF41" s="44"/>
      <c r="AG41" s="44"/>
      <c r="AH41" s="44"/>
      <c r="AI41" s="44"/>
      <c r="AJ41" s="44"/>
      <c r="AK41" s="44">
        <v>42.11</v>
      </c>
      <c r="AL41" s="44"/>
      <c r="AM41" s="44"/>
      <c r="AN41" s="45"/>
      <c r="AO41" s="45" t="s">
        <v>135</v>
      </c>
      <c r="AP41" s="44">
        <v>21</v>
      </c>
      <c r="AQ41" s="41" t="s">
        <v>83</v>
      </c>
    </row>
    <row r="42" spans="1:61" ht="16.5">
      <c r="A42" s="37">
        <v>89</v>
      </c>
      <c r="B42" s="44"/>
      <c r="C42" s="74" t="s">
        <v>132</v>
      </c>
      <c r="D42" s="86">
        <f>IFERROR(VLOOKUP(C42, $C$2:D41, 2, FALSE), MAX($D$2:D41)+1)</f>
        <v>6</v>
      </c>
      <c r="E42" s="44">
        <v>90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8.5</v>
      </c>
      <c r="M42" s="44">
        <v>0</v>
      </c>
      <c r="N42" s="44">
        <v>1.5</v>
      </c>
      <c r="O42" s="44" t="s">
        <v>81</v>
      </c>
      <c r="P42" s="44" t="s">
        <v>81</v>
      </c>
      <c r="Q42" s="44" t="s">
        <v>81</v>
      </c>
      <c r="R42" s="44" t="s">
        <v>81</v>
      </c>
      <c r="S42" s="44" t="s">
        <v>81</v>
      </c>
      <c r="T42" s="44">
        <v>780</v>
      </c>
      <c r="U42" s="44">
        <v>0.16666666666666699</v>
      </c>
      <c r="V42" s="44">
        <v>1</v>
      </c>
      <c r="W42" s="44">
        <v>0</v>
      </c>
      <c r="X42" s="44">
        <v>0</v>
      </c>
      <c r="Y42" s="44">
        <v>0</v>
      </c>
      <c r="Z42" s="44"/>
      <c r="AA42" s="44"/>
      <c r="AB42" s="44">
        <v>1577.8</v>
      </c>
      <c r="AC42" s="44">
        <v>1019.2</v>
      </c>
      <c r="AD42" s="44">
        <v>38.6</v>
      </c>
      <c r="AE42" s="44"/>
      <c r="AF42" s="44"/>
      <c r="AG42" s="44"/>
      <c r="AH42" s="44"/>
      <c r="AI42" s="44"/>
      <c r="AJ42" s="44"/>
      <c r="AK42" s="44">
        <v>5.75</v>
      </c>
      <c r="AL42" s="44"/>
      <c r="AM42" s="44"/>
      <c r="AN42" s="45"/>
      <c r="AO42" s="45" t="s">
        <v>135</v>
      </c>
      <c r="AP42" s="44">
        <v>21</v>
      </c>
      <c r="AQ42" s="41" t="s">
        <v>83</v>
      </c>
    </row>
    <row r="43" spans="1:61" s="15" customFormat="1" ht="16.5">
      <c r="A43" s="42">
        <v>34</v>
      </c>
      <c r="B43" s="39"/>
      <c r="C43" s="74" t="s">
        <v>144</v>
      </c>
      <c r="D43" s="86">
        <f>IFERROR(VLOOKUP(C43, $C$2:D42, 2, FALSE), MAX($D$2:D42)+1)</f>
        <v>7</v>
      </c>
      <c r="E43" s="39">
        <v>80.885999999999996</v>
      </c>
      <c r="F43" s="78">
        <v>5.0999999999999996</v>
      </c>
      <c r="G43" s="39">
        <v>1.0900000000000001</v>
      </c>
      <c r="H43" s="39">
        <v>4.9400000000000004</v>
      </c>
      <c r="I43" s="39">
        <v>4.97</v>
      </c>
      <c r="J43" s="39">
        <v>0</v>
      </c>
      <c r="K43" s="39">
        <v>0</v>
      </c>
      <c r="L43" s="39">
        <v>2.93</v>
      </c>
      <c r="M43" s="39">
        <v>0</v>
      </c>
      <c r="N43" s="39">
        <v>0</v>
      </c>
      <c r="O43" s="39" t="s">
        <v>81</v>
      </c>
      <c r="P43" s="39" t="s">
        <v>81</v>
      </c>
      <c r="Q43" s="39" t="s">
        <v>81</v>
      </c>
      <c r="R43" s="39" t="s">
        <v>81</v>
      </c>
      <c r="S43" s="39" t="s">
        <v>81</v>
      </c>
      <c r="T43" s="39" t="s">
        <v>81</v>
      </c>
      <c r="U43" s="39" t="s">
        <v>81</v>
      </c>
      <c r="V43" s="39" t="s">
        <v>81</v>
      </c>
      <c r="W43" s="39" t="s">
        <v>81</v>
      </c>
      <c r="X43" s="39" t="s">
        <v>81</v>
      </c>
      <c r="Y43" s="39" t="s">
        <v>81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28.754999999999999</v>
      </c>
      <c r="AK43" s="39"/>
      <c r="AL43" s="39"/>
      <c r="AM43" s="39"/>
      <c r="AN43" s="40"/>
      <c r="AO43" s="40" t="s">
        <v>147</v>
      </c>
      <c r="AP43" s="76">
        <v>7</v>
      </c>
      <c r="AQ43" s="41" t="s">
        <v>83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s="15" customFormat="1" ht="16.5">
      <c r="A44" s="37">
        <v>35</v>
      </c>
      <c r="B44" s="39"/>
      <c r="C44" s="74" t="s">
        <v>144</v>
      </c>
      <c r="D44" s="86">
        <f>IFERROR(VLOOKUP(C44, $C$2:D43, 2, FALSE), MAX($D$2:D43)+1)</f>
        <v>7</v>
      </c>
      <c r="E44" s="39">
        <v>80.885999999999996</v>
      </c>
      <c r="F44" s="78">
        <v>5.0999999999999996</v>
      </c>
      <c r="G44" s="39">
        <v>1.0900000000000001</v>
      </c>
      <c r="H44" s="39">
        <v>4.9400000000000004</v>
      </c>
      <c r="I44" s="39">
        <v>4.97</v>
      </c>
      <c r="J44" s="39">
        <v>0</v>
      </c>
      <c r="K44" s="39">
        <v>0</v>
      </c>
      <c r="L44" s="39">
        <v>2.93</v>
      </c>
      <c r="M44" s="39">
        <v>0</v>
      </c>
      <c r="N44" s="39">
        <v>0</v>
      </c>
      <c r="O44" s="39" t="s">
        <v>81</v>
      </c>
      <c r="P44" s="39" t="s">
        <v>81</v>
      </c>
      <c r="Q44" s="39" t="s">
        <v>81</v>
      </c>
      <c r="R44" s="39" t="s">
        <v>81</v>
      </c>
      <c r="S44" s="39" t="s">
        <v>81</v>
      </c>
      <c r="T44" s="39">
        <v>880</v>
      </c>
      <c r="U44" s="39">
        <v>1.5</v>
      </c>
      <c r="V44" s="39"/>
      <c r="W44" s="39">
        <v>600</v>
      </c>
      <c r="X44" s="39">
        <v>8</v>
      </c>
      <c r="Y44" s="39">
        <v>2</v>
      </c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>
        <v>34.401000000000003</v>
      </c>
      <c r="AK44" s="39"/>
      <c r="AL44" s="39"/>
      <c r="AM44" s="39"/>
      <c r="AN44" s="40"/>
      <c r="AO44" s="40" t="s">
        <v>147</v>
      </c>
      <c r="AP44" s="44">
        <v>7</v>
      </c>
      <c r="AQ44" s="41" t="s">
        <v>83</v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s="15" customFormat="1" ht="16.5">
      <c r="A45" s="37">
        <v>36</v>
      </c>
      <c r="B45" s="39"/>
      <c r="C45" s="74" t="s">
        <v>144</v>
      </c>
      <c r="D45" s="86">
        <f>IFERROR(VLOOKUP(C45, $C$2:D44, 2, FALSE), MAX($D$2:D44)+1)</f>
        <v>7</v>
      </c>
      <c r="E45" s="39">
        <v>80.885999999999996</v>
      </c>
      <c r="F45" s="78">
        <v>5.0999999999999996</v>
      </c>
      <c r="G45" s="39">
        <v>1.0900000000000001</v>
      </c>
      <c r="H45" s="39">
        <v>4.9400000000000004</v>
      </c>
      <c r="I45" s="39">
        <v>4.97</v>
      </c>
      <c r="J45" s="39">
        <v>0</v>
      </c>
      <c r="K45" s="39">
        <v>0</v>
      </c>
      <c r="L45" s="39">
        <v>2.93</v>
      </c>
      <c r="M45" s="39">
        <v>0</v>
      </c>
      <c r="N45" s="39">
        <v>0</v>
      </c>
      <c r="O45" s="39" t="s">
        <v>81</v>
      </c>
      <c r="P45" s="39" t="s">
        <v>81</v>
      </c>
      <c r="Q45" s="39" t="s">
        <v>81</v>
      </c>
      <c r="R45" s="39" t="s">
        <v>81</v>
      </c>
      <c r="S45" s="39" t="s">
        <v>81</v>
      </c>
      <c r="T45" s="39">
        <v>790</v>
      </c>
      <c r="U45" s="39">
        <v>1.5</v>
      </c>
      <c r="V45" s="39">
        <v>2</v>
      </c>
      <c r="W45" s="39">
        <v>600</v>
      </c>
      <c r="X45" s="39">
        <v>8</v>
      </c>
      <c r="Y45" s="39">
        <v>2</v>
      </c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>
        <v>23.588000000000001</v>
      </c>
      <c r="AK45" s="39"/>
      <c r="AL45" s="39"/>
      <c r="AM45" s="39"/>
      <c r="AN45" s="40"/>
      <c r="AO45" s="40" t="s">
        <v>147</v>
      </c>
      <c r="AP45" s="44">
        <v>7</v>
      </c>
      <c r="AQ45" s="38" t="s">
        <v>83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 s="15" customFormat="1" ht="16.5">
      <c r="A46" s="37">
        <v>37</v>
      </c>
      <c r="B46" s="39"/>
      <c r="C46" s="74" t="s">
        <v>144</v>
      </c>
      <c r="D46" s="86">
        <f>IFERROR(VLOOKUP(C46, $C$2:D45, 2, FALSE), MAX($D$2:D45)+1)</f>
        <v>7</v>
      </c>
      <c r="E46" s="39">
        <v>80.885999999999996</v>
      </c>
      <c r="F46" s="78">
        <v>5.0999999999999996</v>
      </c>
      <c r="G46" s="39">
        <v>1.0900000000000001</v>
      </c>
      <c r="H46" s="39">
        <v>4.9400000000000004</v>
      </c>
      <c r="I46" s="39">
        <v>4.97</v>
      </c>
      <c r="J46" s="39">
        <v>0</v>
      </c>
      <c r="K46" s="39">
        <v>0</v>
      </c>
      <c r="L46" s="39">
        <v>2.93</v>
      </c>
      <c r="M46" s="39">
        <v>0</v>
      </c>
      <c r="N46" s="39">
        <v>0</v>
      </c>
      <c r="O46" s="39" t="s">
        <v>81</v>
      </c>
      <c r="P46" s="39" t="s">
        <v>81</v>
      </c>
      <c r="Q46" s="39" t="s">
        <v>81</v>
      </c>
      <c r="R46" s="39" t="s">
        <v>81</v>
      </c>
      <c r="S46" s="39" t="s">
        <v>81</v>
      </c>
      <c r="T46" s="39">
        <v>810</v>
      </c>
      <c r="U46" s="39">
        <v>2</v>
      </c>
      <c r="V46" s="39">
        <v>3</v>
      </c>
      <c r="W46" s="39">
        <v>0</v>
      </c>
      <c r="X46" s="39">
        <v>0</v>
      </c>
      <c r="Y46" s="39">
        <v>0</v>
      </c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>
        <v>37.909999999999997</v>
      </c>
      <c r="AK46" s="39"/>
      <c r="AL46" s="39"/>
      <c r="AM46" s="39"/>
      <c r="AN46" s="40"/>
      <c r="AO46" s="40" t="s">
        <v>147</v>
      </c>
      <c r="AP46" s="44">
        <v>7</v>
      </c>
      <c r="AQ46" s="41" t="s">
        <v>83</v>
      </c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 s="15" customFormat="1" ht="16.5">
      <c r="A47" s="37">
        <v>38</v>
      </c>
      <c r="B47" s="39"/>
      <c r="C47" s="74" t="s">
        <v>144</v>
      </c>
      <c r="D47" s="86">
        <f>IFERROR(VLOOKUP(C47, $C$2:D46, 2, FALSE), MAX($D$2:D46)+1)</f>
        <v>7</v>
      </c>
      <c r="E47" s="39">
        <v>80.885999999999996</v>
      </c>
      <c r="F47" s="78">
        <v>5.0999999999999996</v>
      </c>
      <c r="G47" s="39">
        <v>1.0900000000000001</v>
      </c>
      <c r="H47" s="39">
        <v>4.9400000000000004</v>
      </c>
      <c r="I47" s="39">
        <v>4.97</v>
      </c>
      <c r="J47" s="39">
        <v>0</v>
      </c>
      <c r="K47" s="39">
        <v>0</v>
      </c>
      <c r="L47" s="39">
        <v>2.93</v>
      </c>
      <c r="M47" s="39">
        <v>0</v>
      </c>
      <c r="N47" s="39">
        <v>0</v>
      </c>
      <c r="O47" s="39" t="s">
        <v>81</v>
      </c>
      <c r="P47" s="39" t="s">
        <v>81</v>
      </c>
      <c r="Q47" s="39" t="s">
        <v>81</v>
      </c>
      <c r="R47" s="39" t="s">
        <v>81</v>
      </c>
      <c r="S47" s="39" t="s">
        <v>81</v>
      </c>
      <c r="T47" s="39" t="s">
        <v>81</v>
      </c>
      <c r="U47" s="39" t="s">
        <v>81</v>
      </c>
      <c r="V47" s="39" t="s">
        <v>81</v>
      </c>
      <c r="W47" s="39" t="s">
        <v>81</v>
      </c>
      <c r="X47" s="39" t="s">
        <v>81</v>
      </c>
      <c r="Y47" s="39" t="s">
        <v>81</v>
      </c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>
        <v>48.607999999999997</v>
      </c>
      <c r="AK47" s="39"/>
      <c r="AL47" s="39"/>
      <c r="AM47" s="39"/>
      <c r="AN47" s="40"/>
      <c r="AO47" s="40" t="s">
        <v>147</v>
      </c>
      <c r="AP47" s="44">
        <v>7</v>
      </c>
      <c r="AQ47" s="41" t="s">
        <v>83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15" customFormat="1" ht="16.5">
      <c r="A48" s="37">
        <v>39</v>
      </c>
      <c r="B48" s="39"/>
      <c r="C48" s="74" t="s">
        <v>144</v>
      </c>
      <c r="D48" s="86">
        <f>IFERROR(VLOOKUP(C48, $C$2:D47, 2, FALSE), MAX($D$2:D47)+1)</f>
        <v>7</v>
      </c>
      <c r="E48" s="39">
        <v>80.885999999999996</v>
      </c>
      <c r="F48" s="78">
        <v>5.0999999999999996</v>
      </c>
      <c r="G48" s="39">
        <v>1.0900000000000001</v>
      </c>
      <c r="H48" s="39">
        <v>4.9400000000000004</v>
      </c>
      <c r="I48" s="39">
        <v>4.97</v>
      </c>
      <c r="J48" s="39">
        <v>0</v>
      </c>
      <c r="K48" s="39">
        <v>0</v>
      </c>
      <c r="L48" s="39">
        <v>2.93</v>
      </c>
      <c r="M48" s="39">
        <v>0</v>
      </c>
      <c r="N48" s="39">
        <v>0</v>
      </c>
      <c r="O48" s="39" t="s">
        <v>81</v>
      </c>
      <c r="P48" s="39" t="s">
        <v>81</v>
      </c>
      <c r="Q48" s="39" t="s">
        <v>81</v>
      </c>
      <c r="R48" s="39" t="s">
        <v>81</v>
      </c>
      <c r="S48" s="39" t="s">
        <v>81</v>
      </c>
      <c r="T48" s="39">
        <v>810</v>
      </c>
      <c r="U48" s="39">
        <v>2</v>
      </c>
      <c r="V48" s="39">
        <v>3</v>
      </c>
      <c r="W48" s="39">
        <v>0</v>
      </c>
      <c r="X48" s="39">
        <v>0</v>
      </c>
      <c r="Y48" s="39">
        <v>0</v>
      </c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>
        <v>57.320999999999998</v>
      </c>
      <c r="AK48" s="39"/>
      <c r="AL48" s="39"/>
      <c r="AM48" s="39"/>
      <c r="AN48" s="40"/>
      <c r="AO48" s="40" t="s">
        <v>147</v>
      </c>
      <c r="AP48" s="44">
        <v>7</v>
      </c>
      <c r="AQ48" s="41" t="s">
        <v>83</v>
      </c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15" customFormat="1" ht="16.5">
      <c r="A49" s="37">
        <v>63</v>
      </c>
      <c r="B49" s="39"/>
      <c r="C49" s="74" t="s">
        <v>144</v>
      </c>
      <c r="D49" s="86">
        <f>IFERROR(VLOOKUP(C49, $C$2:D48, 2, FALSE), MAX($D$2:D48)+1)</f>
        <v>7</v>
      </c>
      <c r="E49" s="39">
        <v>81.05</v>
      </c>
      <c r="F49" s="39">
        <v>5.01</v>
      </c>
      <c r="G49" s="39">
        <v>1</v>
      </c>
      <c r="H49" s="39">
        <v>4.97</v>
      </c>
      <c r="I49" s="39">
        <v>4.9800000000000004</v>
      </c>
      <c r="J49" s="39">
        <v>0</v>
      </c>
      <c r="K49" s="39">
        <v>0</v>
      </c>
      <c r="L49" s="39">
        <v>2.99</v>
      </c>
      <c r="M49" s="39">
        <v>0</v>
      </c>
      <c r="N49" s="39">
        <v>0</v>
      </c>
      <c r="O49" s="39" t="s">
        <v>81</v>
      </c>
      <c r="P49" s="39">
        <v>2</v>
      </c>
      <c r="Q49" s="39" t="s">
        <v>81</v>
      </c>
      <c r="R49" s="39" t="s">
        <v>81</v>
      </c>
      <c r="S49" s="39" t="s">
        <v>81</v>
      </c>
      <c r="T49" s="39">
        <v>860</v>
      </c>
      <c r="U49" s="39">
        <v>2</v>
      </c>
      <c r="V49" s="39">
        <v>3</v>
      </c>
      <c r="W49" s="39">
        <v>610</v>
      </c>
      <c r="X49" s="39">
        <v>3</v>
      </c>
      <c r="Y49" s="39">
        <v>2</v>
      </c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>
        <v>15.05</v>
      </c>
      <c r="AL49" s="39"/>
      <c r="AM49" s="39"/>
      <c r="AN49" s="40"/>
      <c r="AO49" s="40" t="s">
        <v>148</v>
      </c>
      <c r="AP49" s="44">
        <v>12</v>
      </c>
      <c r="AQ49" s="41" t="s">
        <v>83</v>
      </c>
      <c r="AR49"/>
      <c r="AS49" s="16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s="15" customFormat="1" ht="16.5">
      <c r="A50" s="42">
        <v>64</v>
      </c>
      <c r="B50" s="39"/>
      <c r="C50" s="74" t="s">
        <v>144</v>
      </c>
      <c r="D50" s="86">
        <f>IFERROR(VLOOKUP(C50, $C$2:D49, 2, FALSE), MAX($D$2:D49)+1)</f>
        <v>7</v>
      </c>
      <c r="E50" s="39">
        <v>81.05</v>
      </c>
      <c r="F50" s="39">
        <v>5.01</v>
      </c>
      <c r="G50" s="39">
        <v>1</v>
      </c>
      <c r="H50" s="39">
        <v>4.97</v>
      </c>
      <c r="I50" s="39">
        <v>4.9800000000000004</v>
      </c>
      <c r="J50" s="39">
        <v>0</v>
      </c>
      <c r="K50" s="39">
        <v>0</v>
      </c>
      <c r="L50" s="39">
        <v>2.99</v>
      </c>
      <c r="M50" s="39">
        <v>0</v>
      </c>
      <c r="N50" s="39">
        <v>0</v>
      </c>
      <c r="O50" s="39" t="s">
        <v>81</v>
      </c>
      <c r="P50" s="39">
        <v>2</v>
      </c>
      <c r="Q50" s="39" t="s">
        <v>81</v>
      </c>
      <c r="R50" s="39" t="s">
        <v>81</v>
      </c>
      <c r="S50" s="39" t="s">
        <v>81</v>
      </c>
      <c r="T50" s="39">
        <v>860</v>
      </c>
      <c r="U50" s="39">
        <v>2</v>
      </c>
      <c r="V50" s="39">
        <v>3</v>
      </c>
      <c r="W50" s="39">
        <v>640</v>
      </c>
      <c r="X50" s="39">
        <v>3</v>
      </c>
      <c r="Y50" s="39">
        <v>2</v>
      </c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>
        <v>19.440000000000001</v>
      </c>
      <c r="AL50" s="39"/>
      <c r="AM50" s="39"/>
      <c r="AN50" s="40"/>
      <c r="AO50" s="40" t="s">
        <v>148</v>
      </c>
      <c r="AP50" s="76">
        <v>12</v>
      </c>
      <c r="AQ50" s="41" t="s">
        <v>83</v>
      </c>
      <c r="AR50"/>
      <c r="AS50" s="16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s="15" customFormat="1" ht="16.5">
      <c r="A51" s="37">
        <v>65</v>
      </c>
      <c r="B51" s="39"/>
      <c r="C51" s="74" t="s">
        <v>144</v>
      </c>
      <c r="D51" s="86">
        <f>IFERROR(VLOOKUP(C51, $C$2:D50, 2, FALSE), MAX($D$2:D50)+1)</f>
        <v>7</v>
      </c>
      <c r="E51" s="39">
        <v>81.05</v>
      </c>
      <c r="F51" s="39">
        <v>5.01</v>
      </c>
      <c r="G51" s="39">
        <v>1</v>
      </c>
      <c r="H51" s="39">
        <v>4.97</v>
      </c>
      <c r="I51" s="39">
        <v>4.9800000000000004</v>
      </c>
      <c r="J51" s="39">
        <v>0</v>
      </c>
      <c r="K51" s="39">
        <v>0</v>
      </c>
      <c r="L51" s="39">
        <v>2.99</v>
      </c>
      <c r="M51" s="39">
        <v>0</v>
      </c>
      <c r="N51" s="39">
        <v>0</v>
      </c>
      <c r="O51" s="39" t="s">
        <v>81</v>
      </c>
      <c r="P51" s="39">
        <v>2</v>
      </c>
      <c r="Q51" s="39" t="s">
        <v>81</v>
      </c>
      <c r="R51" s="39" t="s">
        <v>81</v>
      </c>
      <c r="S51" s="39" t="s">
        <v>81</v>
      </c>
      <c r="T51" s="39">
        <v>860</v>
      </c>
      <c r="U51" s="39">
        <v>2</v>
      </c>
      <c r="V51" s="39">
        <v>3</v>
      </c>
      <c r="W51" s="39">
        <v>670</v>
      </c>
      <c r="X51" s="39">
        <v>3</v>
      </c>
      <c r="Y51" s="39">
        <v>2</v>
      </c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>
        <v>26.93</v>
      </c>
      <c r="AL51" s="39"/>
      <c r="AM51" s="39"/>
      <c r="AN51" s="40"/>
      <c r="AO51" s="40" t="s">
        <v>148</v>
      </c>
      <c r="AP51" s="44">
        <v>12</v>
      </c>
      <c r="AQ51" s="38" t="s">
        <v>83</v>
      </c>
      <c r="AR51"/>
      <c r="AS51" s="16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16.5">
      <c r="A52" s="37">
        <v>4</v>
      </c>
      <c r="B52" s="44"/>
      <c r="C52" s="74" t="s">
        <v>192</v>
      </c>
      <c r="D52" s="86">
        <f>IFERROR(VLOOKUP(C52, $C$2:D51, 2, FALSE), MAX($D$2:D51)+1)</f>
        <v>8</v>
      </c>
      <c r="E52" s="44">
        <v>87.6798</v>
      </c>
      <c r="F52" s="44">
        <v>6.04</v>
      </c>
      <c r="G52" s="44">
        <v>2.0499999999999998</v>
      </c>
      <c r="H52" s="44">
        <v>1.04</v>
      </c>
      <c r="I52" s="44">
        <v>0</v>
      </c>
      <c r="J52" s="44">
        <v>0</v>
      </c>
      <c r="K52" s="44">
        <v>3.05</v>
      </c>
      <c r="L52" s="44">
        <v>0</v>
      </c>
      <c r="M52" s="44">
        <v>0.1</v>
      </c>
      <c r="N52" s="44">
        <v>0</v>
      </c>
      <c r="O52" s="44" t="s">
        <v>81</v>
      </c>
      <c r="P52" s="43" t="s">
        <v>81</v>
      </c>
      <c r="Q52" s="39" t="s">
        <v>81</v>
      </c>
      <c r="R52" s="84" t="s">
        <v>81</v>
      </c>
      <c r="S52" s="37" t="s">
        <v>81</v>
      </c>
      <c r="T52" s="44">
        <v>970</v>
      </c>
      <c r="U52" s="44">
        <v>2</v>
      </c>
      <c r="V52" s="44">
        <v>3</v>
      </c>
      <c r="W52" s="44">
        <v>0</v>
      </c>
      <c r="X52" s="44">
        <v>0</v>
      </c>
      <c r="Y52" s="44">
        <v>0</v>
      </c>
      <c r="Z52" s="44"/>
      <c r="AA52" s="44"/>
      <c r="AB52" s="44">
        <v>793</v>
      </c>
      <c r="AC52" s="44">
        <v>731</v>
      </c>
      <c r="AD52" s="44">
        <v>14.5</v>
      </c>
      <c r="AE52" s="44"/>
      <c r="AF52" s="44"/>
      <c r="AG52" s="44"/>
      <c r="AH52" s="44"/>
      <c r="AI52" s="44"/>
      <c r="AJ52" s="44"/>
      <c r="AK52" s="44">
        <v>103.06</v>
      </c>
      <c r="AL52" s="44"/>
      <c r="AM52" s="44"/>
      <c r="AN52" s="45"/>
      <c r="AO52" s="45" t="s">
        <v>193</v>
      </c>
      <c r="AP52" s="44">
        <v>2</v>
      </c>
      <c r="AQ52" s="41" t="s">
        <v>83</v>
      </c>
    </row>
    <row r="53" spans="1:61" s="17" customFormat="1" ht="16.5">
      <c r="A53" s="37">
        <v>5</v>
      </c>
      <c r="B53" s="44"/>
      <c r="C53" s="74" t="s">
        <v>192</v>
      </c>
      <c r="D53" s="86">
        <f>IFERROR(VLOOKUP(C53, $C$2:D52, 2, FALSE), MAX($D$2:D52)+1)</f>
        <v>8</v>
      </c>
      <c r="E53" s="44">
        <v>87.6798</v>
      </c>
      <c r="F53" s="44">
        <v>6.04</v>
      </c>
      <c r="G53" s="44">
        <v>2.0499999999999998</v>
      </c>
      <c r="H53" s="44">
        <v>1.04</v>
      </c>
      <c r="I53" s="44">
        <v>0</v>
      </c>
      <c r="J53" s="44">
        <v>0</v>
      </c>
      <c r="K53" s="44">
        <v>3.05</v>
      </c>
      <c r="L53" s="44">
        <v>0</v>
      </c>
      <c r="M53" s="44">
        <v>0.1</v>
      </c>
      <c r="N53" s="44">
        <v>0</v>
      </c>
      <c r="O53" s="44" t="s">
        <v>81</v>
      </c>
      <c r="P53" s="43" t="s">
        <v>81</v>
      </c>
      <c r="Q53" s="39" t="s">
        <v>81</v>
      </c>
      <c r="R53" s="84" t="s">
        <v>81</v>
      </c>
      <c r="S53" s="37" t="s">
        <v>81</v>
      </c>
      <c r="T53" s="44">
        <v>970</v>
      </c>
      <c r="U53" s="44">
        <v>2</v>
      </c>
      <c r="V53" s="44">
        <v>2</v>
      </c>
      <c r="W53" s="44">
        <v>0</v>
      </c>
      <c r="X53" s="44">
        <v>0</v>
      </c>
      <c r="Y53" s="44">
        <v>0</v>
      </c>
      <c r="Z53" s="44"/>
      <c r="AA53" s="44"/>
      <c r="AB53" s="44">
        <v>880</v>
      </c>
      <c r="AC53" s="44">
        <v>763</v>
      </c>
      <c r="AD53" s="44">
        <v>12.6</v>
      </c>
      <c r="AE53" s="44"/>
      <c r="AF53" s="44"/>
      <c r="AG53" s="44"/>
      <c r="AH53" s="44"/>
      <c r="AI53" s="44"/>
      <c r="AJ53" s="44"/>
      <c r="AK53" s="44">
        <v>86.63</v>
      </c>
      <c r="AL53" s="44"/>
      <c r="AM53" s="44"/>
      <c r="AN53" s="45"/>
      <c r="AO53" s="45" t="s">
        <v>193</v>
      </c>
      <c r="AP53" s="44">
        <v>2</v>
      </c>
      <c r="AQ53" s="41" t="s">
        <v>83</v>
      </c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17" customFormat="1" ht="16.5">
      <c r="A54" s="37">
        <v>6</v>
      </c>
      <c r="B54" s="44"/>
      <c r="C54" s="74" t="s">
        <v>192</v>
      </c>
      <c r="D54" s="86">
        <f>IFERROR(VLOOKUP(C54, $C$2:D53, 2, FALSE), MAX($D$2:D53)+1)</f>
        <v>8</v>
      </c>
      <c r="E54" s="44">
        <v>87.6798</v>
      </c>
      <c r="F54" s="44">
        <v>6.04</v>
      </c>
      <c r="G54" s="44">
        <v>2.0499999999999998</v>
      </c>
      <c r="H54" s="44">
        <v>1.04</v>
      </c>
      <c r="I54" s="44">
        <v>0</v>
      </c>
      <c r="J54" s="44">
        <v>0</v>
      </c>
      <c r="K54" s="44">
        <v>3.05</v>
      </c>
      <c r="L54" s="44">
        <v>0</v>
      </c>
      <c r="M54" s="44">
        <v>0.1</v>
      </c>
      <c r="N54" s="44">
        <v>0</v>
      </c>
      <c r="O54" s="44" t="s">
        <v>81</v>
      </c>
      <c r="P54" s="43" t="s">
        <v>81</v>
      </c>
      <c r="Q54" s="39" t="s">
        <v>81</v>
      </c>
      <c r="R54" s="84" t="s">
        <v>81</v>
      </c>
      <c r="S54" s="37" t="s">
        <v>81</v>
      </c>
      <c r="T54" s="44">
        <v>970</v>
      </c>
      <c r="U54" s="44">
        <v>2</v>
      </c>
      <c r="V54" s="44">
        <v>1</v>
      </c>
      <c r="W54" s="44">
        <v>600</v>
      </c>
      <c r="X54" s="44">
        <v>5</v>
      </c>
      <c r="Y54" s="44">
        <v>2</v>
      </c>
      <c r="Z54" s="44"/>
      <c r="AA54" s="44"/>
      <c r="AB54" s="44">
        <v>984</v>
      </c>
      <c r="AC54" s="44">
        <v>918</v>
      </c>
      <c r="AD54" s="44">
        <v>10.1</v>
      </c>
      <c r="AE54" s="44"/>
      <c r="AF54" s="44"/>
      <c r="AG54" s="44"/>
      <c r="AH54" s="44"/>
      <c r="AI54" s="44"/>
      <c r="AJ54" s="44"/>
      <c r="AK54" s="44">
        <v>50.98</v>
      </c>
      <c r="AL54" s="44"/>
      <c r="AM54" s="44"/>
      <c r="AN54" s="45"/>
      <c r="AO54" s="45" t="s">
        <v>193</v>
      </c>
      <c r="AP54" s="44">
        <v>2</v>
      </c>
      <c r="AQ54" s="41" t="s">
        <v>83</v>
      </c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16.5">
      <c r="A55" s="37">
        <v>26</v>
      </c>
      <c r="B55" s="44"/>
      <c r="C55" s="74" t="s">
        <v>197</v>
      </c>
      <c r="D55" s="86">
        <f>IFERROR(VLOOKUP(C55, $C$2:D54, 2, FALSE), MAX($D$2:D54)+1)</f>
        <v>9</v>
      </c>
      <c r="E55" s="44">
        <v>90</v>
      </c>
      <c r="F55" s="44">
        <v>5.9</v>
      </c>
      <c r="G55" s="44">
        <v>0</v>
      </c>
      <c r="H55" s="44">
        <v>0</v>
      </c>
      <c r="I55" s="44">
        <v>4.0999999999999996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 t="s">
        <v>81</v>
      </c>
      <c r="P55" s="44" t="s">
        <v>81</v>
      </c>
      <c r="Q55" s="44" t="s">
        <v>81</v>
      </c>
      <c r="R55" s="44" t="s">
        <v>81</v>
      </c>
      <c r="S55" s="44" t="s">
        <v>81</v>
      </c>
      <c r="T55" s="44">
        <v>700</v>
      </c>
      <c r="U55" s="44">
        <v>4</v>
      </c>
      <c r="V55" s="44" t="s">
        <v>81</v>
      </c>
      <c r="W55" s="44">
        <v>0</v>
      </c>
      <c r="X55" s="44">
        <v>0</v>
      </c>
      <c r="Y55" s="44">
        <v>0</v>
      </c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>
        <v>53.3</v>
      </c>
      <c r="AM55" s="44"/>
      <c r="AN55" s="45"/>
      <c r="AO55" s="45" t="s">
        <v>198</v>
      </c>
      <c r="AP55" s="44">
        <v>5</v>
      </c>
      <c r="AQ55" s="41" t="s">
        <v>83</v>
      </c>
    </row>
    <row r="56" spans="1:61" ht="16.5">
      <c r="A56" s="37">
        <v>27</v>
      </c>
      <c r="B56" s="44"/>
      <c r="C56" s="74" t="s">
        <v>197</v>
      </c>
      <c r="D56" s="86">
        <f>IFERROR(VLOOKUP(C56, $C$2:D55, 2, FALSE), MAX($D$2:D55)+1)</f>
        <v>9</v>
      </c>
      <c r="E56" s="44">
        <v>90</v>
      </c>
      <c r="F56" s="44">
        <v>5.9</v>
      </c>
      <c r="G56" s="44">
        <v>0</v>
      </c>
      <c r="H56" s="44">
        <v>0</v>
      </c>
      <c r="I56" s="44">
        <v>4.0999999999999996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 t="s">
        <v>81</v>
      </c>
      <c r="P56" s="44" t="s">
        <v>81</v>
      </c>
      <c r="Q56" s="44" t="s">
        <v>81</v>
      </c>
      <c r="R56" s="44" t="s">
        <v>81</v>
      </c>
      <c r="S56" s="44" t="s">
        <v>81</v>
      </c>
      <c r="T56" s="44">
        <v>700</v>
      </c>
      <c r="U56" s="44">
        <v>4</v>
      </c>
      <c r="V56" s="44" t="s">
        <v>81</v>
      </c>
      <c r="W56" s="44">
        <v>0</v>
      </c>
      <c r="X56" s="44">
        <v>0</v>
      </c>
      <c r="Y56" s="44">
        <v>0</v>
      </c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>
        <v>45.7</v>
      </c>
      <c r="AM56" s="44"/>
      <c r="AN56" s="45"/>
      <c r="AO56" s="45" t="s">
        <v>198</v>
      </c>
      <c r="AP56" s="44">
        <v>5</v>
      </c>
      <c r="AQ56" s="41" t="s">
        <v>83</v>
      </c>
    </row>
    <row r="57" spans="1:61" ht="16.5">
      <c r="A57" s="37">
        <v>28</v>
      </c>
      <c r="B57" s="44"/>
      <c r="C57" s="74" t="s">
        <v>197</v>
      </c>
      <c r="D57" s="86">
        <f>IFERROR(VLOOKUP(C57, $C$2:D56, 2, FALSE), MAX($D$2:D56)+1)</f>
        <v>9</v>
      </c>
      <c r="E57" s="44">
        <v>90</v>
      </c>
      <c r="F57" s="44">
        <v>5.9</v>
      </c>
      <c r="G57" s="44">
        <v>0</v>
      </c>
      <c r="H57" s="44">
        <v>0</v>
      </c>
      <c r="I57" s="44">
        <v>4.0999999999999996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 t="s">
        <v>81</v>
      </c>
      <c r="P57" s="44" t="s">
        <v>81</v>
      </c>
      <c r="Q57" s="44" t="s">
        <v>81</v>
      </c>
      <c r="R57" s="44" t="s">
        <v>81</v>
      </c>
      <c r="S57" s="44" t="s">
        <v>81</v>
      </c>
      <c r="T57" s="44">
        <v>700</v>
      </c>
      <c r="U57" s="44">
        <v>4</v>
      </c>
      <c r="V57" s="44" t="s">
        <v>81</v>
      </c>
      <c r="W57" s="44">
        <v>0</v>
      </c>
      <c r="X57" s="44">
        <v>0</v>
      </c>
      <c r="Y57" s="44">
        <v>0</v>
      </c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>
        <v>21.2</v>
      </c>
      <c r="AM57" s="44"/>
      <c r="AN57" s="45"/>
      <c r="AO57" s="45" t="s">
        <v>198</v>
      </c>
      <c r="AP57" s="44">
        <v>5</v>
      </c>
      <c r="AQ57" s="41" t="s">
        <v>83</v>
      </c>
    </row>
    <row r="58" spans="1:61" ht="16.5">
      <c r="A58" s="37">
        <v>40</v>
      </c>
      <c r="B58" s="44"/>
      <c r="C58" s="74" t="s">
        <v>199</v>
      </c>
      <c r="D58" s="86">
        <f>IFERROR(VLOOKUP(C58, $C$2:D57, 2, FALSE), MAX($D$2:D57)+1)</f>
        <v>10</v>
      </c>
      <c r="E58" s="44"/>
      <c r="F58" s="44" t="s">
        <v>200</v>
      </c>
      <c r="G58" s="55">
        <v>1.1000000000000001</v>
      </c>
      <c r="H58" s="55">
        <v>5</v>
      </c>
      <c r="I58" s="44">
        <v>4.91</v>
      </c>
      <c r="J58" s="44">
        <v>0</v>
      </c>
      <c r="K58" s="44">
        <v>0</v>
      </c>
      <c r="L58" s="44" t="s">
        <v>201</v>
      </c>
      <c r="M58" s="44">
        <v>0.39</v>
      </c>
      <c r="N58" s="44">
        <v>0</v>
      </c>
      <c r="O58" s="44" t="s">
        <v>81</v>
      </c>
      <c r="P58" s="44" t="s">
        <v>81</v>
      </c>
      <c r="Q58" s="44" t="s">
        <v>81</v>
      </c>
      <c r="R58" s="44" t="s">
        <v>81</v>
      </c>
      <c r="S58" s="44" t="s">
        <v>81</v>
      </c>
      <c r="T58" s="44">
        <v>840</v>
      </c>
      <c r="U58" s="44">
        <v>1.5</v>
      </c>
      <c r="V58" s="44" t="s">
        <v>81</v>
      </c>
      <c r="W58" s="44">
        <v>580</v>
      </c>
      <c r="X58" s="44">
        <v>8</v>
      </c>
      <c r="Y58" s="44">
        <v>2</v>
      </c>
      <c r="Z58" s="44"/>
      <c r="AA58" s="44"/>
      <c r="AB58" s="44" t="s">
        <v>202</v>
      </c>
      <c r="AC58" s="44"/>
      <c r="AD58" s="44" t="s">
        <v>203</v>
      </c>
      <c r="AE58" s="44"/>
      <c r="AF58" s="44"/>
      <c r="AG58" s="44"/>
      <c r="AH58" s="44"/>
      <c r="AI58" s="44"/>
      <c r="AJ58" s="44"/>
      <c r="AK58" s="44">
        <v>26.9</v>
      </c>
      <c r="AL58" s="44"/>
      <c r="AM58" s="44"/>
      <c r="AN58" s="45"/>
      <c r="AO58" s="45" t="s">
        <v>204</v>
      </c>
      <c r="AP58" s="44">
        <v>8</v>
      </c>
      <c r="AQ58" s="41" t="s">
        <v>83</v>
      </c>
      <c r="AS58" s="16"/>
    </row>
    <row r="59" spans="1:61" ht="16.5">
      <c r="A59" s="37">
        <v>41</v>
      </c>
      <c r="B59" s="44"/>
      <c r="C59" s="74" t="s">
        <v>199</v>
      </c>
      <c r="D59" s="86">
        <f>IFERROR(VLOOKUP(C59, $C$2:D58, 2, FALSE), MAX($D$2:D58)+1)</f>
        <v>10</v>
      </c>
      <c r="E59" s="44"/>
      <c r="F59" s="44" t="s">
        <v>200</v>
      </c>
      <c r="G59" s="55">
        <v>1.1000000000000001</v>
      </c>
      <c r="H59" s="55">
        <v>5</v>
      </c>
      <c r="I59" s="44">
        <v>4.91</v>
      </c>
      <c r="J59" s="44">
        <v>0</v>
      </c>
      <c r="K59" s="44">
        <v>0</v>
      </c>
      <c r="L59" s="44" t="s">
        <v>201</v>
      </c>
      <c r="M59" s="44">
        <v>0.39</v>
      </c>
      <c r="N59" s="44">
        <v>0</v>
      </c>
      <c r="O59" s="44" t="s">
        <v>81</v>
      </c>
      <c r="P59" s="44" t="s">
        <v>81</v>
      </c>
      <c r="Q59" s="44" t="s">
        <v>81</v>
      </c>
      <c r="R59" s="44" t="s">
        <v>81</v>
      </c>
      <c r="S59" s="44" t="s">
        <v>81</v>
      </c>
      <c r="T59" s="44">
        <v>860</v>
      </c>
      <c r="U59" s="44">
        <v>1.5</v>
      </c>
      <c r="V59" s="44" t="s">
        <v>81</v>
      </c>
      <c r="W59" s="44">
        <v>580</v>
      </c>
      <c r="X59" s="44">
        <v>8</v>
      </c>
      <c r="Y59" s="44">
        <v>2</v>
      </c>
      <c r="Z59" s="44"/>
      <c r="AA59" s="44"/>
      <c r="AB59" s="44" t="s">
        <v>205</v>
      </c>
      <c r="AC59" s="44"/>
      <c r="AD59" s="44" t="s">
        <v>206</v>
      </c>
      <c r="AE59" s="44"/>
      <c r="AF59" s="44"/>
      <c r="AG59" s="44"/>
      <c r="AH59" s="44"/>
      <c r="AI59" s="44"/>
      <c r="AJ59" s="44"/>
      <c r="AK59" s="44">
        <v>24.6</v>
      </c>
      <c r="AL59" s="44"/>
      <c r="AM59" s="44"/>
      <c r="AN59" s="45"/>
      <c r="AO59" s="45" t="s">
        <v>204</v>
      </c>
      <c r="AP59" s="44">
        <v>8</v>
      </c>
      <c r="AQ59" s="41" t="s">
        <v>83</v>
      </c>
      <c r="AS59" s="16"/>
    </row>
    <row r="60" spans="1:61" ht="16.5">
      <c r="A60" s="37">
        <v>42</v>
      </c>
      <c r="B60" s="44"/>
      <c r="C60" s="74" t="s">
        <v>199</v>
      </c>
      <c r="D60" s="86">
        <f>IFERROR(VLOOKUP(C60, $C$2:D59, 2, FALSE), MAX($D$2:D59)+1)</f>
        <v>10</v>
      </c>
      <c r="E60" s="44"/>
      <c r="F60" s="44" t="s">
        <v>200</v>
      </c>
      <c r="G60" s="55">
        <v>1.1000000000000001</v>
      </c>
      <c r="H60" s="55">
        <v>5</v>
      </c>
      <c r="I60" s="44">
        <v>4.91</v>
      </c>
      <c r="J60" s="44">
        <v>0</v>
      </c>
      <c r="K60" s="44">
        <v>0</v>
      </c>
      <c r="L60" s="44" t="s">
        <v>201</v>
      </c>
      <c r="M60" s="44">
        <v>0.39</v>
      </c>
      <c r="N60" s="44">
        <v>0</v>
      </c>
      <c r="O60" s="44" t="s">
        <v>81</v>
      </c>
      <c r="P60" s="44" t="s">
        <v>81</v>
      </c>
      <c r="Q60" s="44" t="s">
        <v>81</v>
      </c>
      <c r="R60" s="44" t="s">
        <v>81</v>
      </c>
      <c r="S60" s="44" t="s">
        <v>81</v>
      </c>
      <c r="T60" s="44">
        <v>870</v>
      </c>
      <c r="U60" s="44">
        <v>1.5</v>
      </c>
      <c r="V60" s="44" t="s">
        <v>81</v>
      </c>
      <c r="W60" s="44">
        <v>580</v>
      </c>
      <c r="X60" s="44">
        <v>8</v>
      </c>
      <c r="Y60" s="44">
        <v>2</v>
      </c>
      <c r="Z60" s="44"/>
      <c r="AA60" s="44"/>
      <c r="AB60" s="44" t="s">
        <v>207</v>
      </c>
      <c r="AC60" s="44"/>
      <c r="AD60" s="44" t="s">
        <v>208</v>
      </c>
      <c r="AE60" s="44"/>
      <c r="AF60" s="44"/>
      <c r="AG60" s="44"/>
      <c r="AH60" s="44"/>
      <c r="AI60" s="44"/>
      <c r="AJ60" s="44"/>
      <c r="AK60" s="44">
        <v>25.5</v>
      </c>
      <c r="AL60" s="44"/>
      <c r="AM60" s="44"/>
      <c r="AN60" s="45"/>
      <c r="AO60" s="45" t="s">
        <v>204</v>
      </c>
      <c r="AP60" s="44">
        <v>8</v>
      </c>
      <c r="AQ60" s="41" t="s">
        <v>83</v>
      </c>
      <c r="AS60" s="16"/>
    </row>
    <row r="61" spans="1:61" ht="16.5">
      <c r="A61" s="37">
        <v>43</v>
      </c>
      <c r="B61" s="44"/>
      <c r="C61" s="74" t="s">
        <v>199</v>
      </c>
      <c r="D61" s="86">
        <f>IFERROR(VLOOKUP(C61, $C$2:D60, 2, FALSE), MAX($D$2:D60)+1)</f>
        <v>10</v>
      </c>
      <c r="E61" s="44"/>
      <c r="F61" s="44" t="s">
        <v>200</v>
      </c>
      <c r="G61" s="55">
        <v>1.1000000000000001</v>
      </c>
      <c r="H61" s="55">
        <v>5</v>
      </c>
      <c r="I61" s="44">
        <v>4.91</v>
      </c>
      <c r="J61" s="44">
        <v>0</v>
      </c>
      <c r="K61" s="44">
        <v>0</v>
      </c>
      <c r="L61" s="44" t="s">
        <v>201</v>
      </c>
      <c r="M61" s="44">
        <v>0.39</v>
      </c>
      <c r="N61" s="44">
        <v>0</v>
      </c>
      <c r="O61" s="44" t="s">
        <v>81</v>
      </c>
      <c r="P61" s="44" t="s">
        <v>81</v>
      </c>
      <c r="Q61" s="44" t="s">
        <v>81</v>
      </c>
      <c r="R61" s="44" t="s">
        <v>81</v>
      </c>
      <c r="S61" s="44" t="s">
        <v>81</v>
      </c>
      <c r="T61" s="44">
        <v>880</v>
      </c>
      <c r="U61" s="44">
        <v>1.5</v>
      </c>
      <c r="V61" s="44" t="s">
        <v>81</v>
      </c>
      <c r="W61" s="44">
        <v>580</v>
      </c>
      <c r="X61" s="44">
        <v>8</v>
      </c>
      <c r="Y61" s="44">
        <v>2</v>
      </c>
      <c r="Z61" s="44"/>
      <c r="AA61" s="44"/>
      <c r="AB61" s="44" t="s">
        <v>209</v>
      </c>
      <c r="AC61" s="44"/>
      <c r="AD61" s="44" t="s">
        <v>210</v>
      </c>
      <c r="AE61" s="44"/>
      <c r="AF61" s="44"/>
      <c r="AG61" s="44"/>
      <c r="AH61" s="44"/>
      <c r="AI61" s="44"/>
      <c r="AJ61" s="44"/>
      <c r="AK61" s="44">
        <v>26.2</v>
      </c>
      <c r="AL61" s="44"/>
      <c r="AM61" s="44"/>
      <c r="AN61" s="45"/>
      <c r="AO61" s="45" t="s">
        <v>204</v>
      </c>
      <c r="AP61" s="44">
        <v>8</v>
      </c>
      <c r="AQ61" s="41" t="s">
        <v>83</v>
      </c>
      <c r="AS61" s="16"/>
    </row>
    <row r="62" spans="1:61" ht="16.5">
      <c r="A62" s="37">
        <v>44</v>
      </c>
      <c r="B62" s="44"/>
      <c r="C62" s="74" t="s">
        <v>199</v>
      </c>
      <c r="D62" s="86">
        <f>IFERROR(VLOOKUP(C62, $C$2:D61, 2, FALSE), MAX($D$2:D61)+1)</f>
        <v>10</v>
      </c>
      <c r="E62" s="44"/>
      <c r="F62" s="44" t="s">
        <v>200</v>
      </c>
      <c r="G62" s="55">
        <v>1.1000000000000001</v>
      </c>
      <c r="H62" s="55">
        <v>5</v>
      </c>
      <c r="I62" s="44">
        <v>4.91</v>
      </c>
      <c r="J62" s="44">
        <v>0</v>
      </c>
      <c r="K62" s="44">
        <v>0</v>
      </c>
      <c r="L62" s="44" t="s">
        <v>201</v>
      </c>
      <c r="M62" s="44">
        <v>0.39</v>
      </c>
      <c r="N62" s="44">
        <v>0</v>
      </c>
      <c r="O62" s="44" t="s">
        <v>81</v>
      </c>
      <c r="P62" s="44" t="s">
        <v>81</v>
      </c>
      <c r="Q62" s="44" t="s">
        <v>81</v>
      </c>
      <c r="R62" s="44" t="s">
        <v>81</v>
      </c>
      <c r="S62" s="44" t="s">
        <v>81</v>
      </c>
      <c r="T62" s="44">
        <v>900</v>
      </c>
      <c r="U62" s="44">
        <v>1.5</v>
      </c>
      <c r="V62" s="44" t="s">
        <v>81</v>
      </c>
      <c r="W62" s="44">
        <v>580</v>
      </c>
      <c r="X62" s="44">
        <v>8</v>
      </c>
      <c r="Y62" s="44">
        <v>2</v>
      </c>
      <c r="Z62" s="44"/>
      <c r="AA62" s="44"/>
      <c r="AB62" s="44" t="s">
        <v>211</v>
      </c>
      <c r="AC62" s="44"/>
      <c r="AD62" s="44" t="s">
        <v>212</v>
      </c>
      <c r="AE62" s="44"/>
      <c r="AF62" s="44"/>
      <c r="AG62" s="44"/>
      <c r="AH62" s="44"/>
      <c r="AI62" s="44"/>
      <c r="AJ62" s="44"/>
      <c r="AK62" s="44">
        <v>23.6</v>
      </c>
      <c r="AL62" s="44"/>
      <c r="AM62" s="44"/>
      <c r="AN62" s="45"/>
      <c r="AO62" s="45" t="s">
        <v>204</v>
      </c>
      <c r="AP62" s="44">
        <v>8</v>
      </c>
      <c r="AQ62" s="41" t="s">
        <v>83</v>
      </c>
      <c r="AS62" s="16"/>
    </row>
    <row r="63" spans="1:61" ht="16.5">
      <c r="A63" s="37">
        <v>45</v>
      </c>
      <c r="B63" s="44"/>
      <c r="C63" s="74" t="s">
        <v>199</v>
      </c>
      <c r="D63" s="86">
        <f>IFERROR(VLOOKUP(C63, $C$2:D62, 2, FALSE), MAX($D$2:D62)+1)</f>
        <v>10</v>
      </c>
      <c r="E63" s="44"/>
      <c r="F63" s="44" t="s">
        <v>200</v>
      </c>
      <c r="G63" s="55">
        <v>1.1000000000000001</v>
      </c>
      <c r="H63" s="55">
        <v>5</v>
      </c>
      <c r="I63" s="44">
        <v>4.91</v>
      </c>
      <c r="J63" s="44">
        <v>0</v>
      </c>
      <c r="K63" s="44">
        <v>0</v>
      </c>
      <c r="L63" s="44" t="s">
        <v>201</v>
      </c>
      <c r="M63" s="44">
        <v>0.39</v>
      </c>
      <c r="N63" s="44">
        <v>0</v>
      </c>
      <c r="O63" s="44" t="s">
        <v>81</v>
      </c>
      <c r="P63" s="44" t="s">
        <v>81</v>
      </c>
      <c r="Q63" s="44" t="s">
        <v>81</v>
      </c>
      <c r="R63" s="44" t="s">
        <v>81</v>
      </c>
      <c r="S63" s="44" t="s">
        <v>81</v>
      </c>
      <c r="T63" s="44">
        <v>790</v>
      </c>
      <c r="U63" s="44">
        <v>1</v>
      </c>
      <c r="V63" s="44">
        <v>2</v>
      </c>
      <c r="W63" s="44">
        <v>580</v>
      </c>
      <c r="X63" s="44">
        <v>8</v>
      </c>
      <c r="Y63" s="44">
        <v>2</v>
      </c>
      <c r="Z63" s="44"/>
      <c r="AA63" s="44"/>
      <c r="AB63" s="44" t="s">
        <v>213</v>
      </c>
      <c r="AC63" s="44"/>
      <c r="AD63" s="44" t="s">
        <v>214</v>
      </c>
      <c r="AE63" s="44"/>
      <c r="AF63" s="44"/>
      <c r="AG63" s="44"/>
      <c r="AH63" s="44"/>
      <c r="AI63" s="44"/>
      <c r="AJ63" s="44"/>
      <c r="AK63" s="44">
        <v>18.3</v>
      </c>
      <c r="AL63" s="44"/>
      <c r="AM63" s="44"/>
      <c r="AN63" s="45"/>
      <c r="AO63" s="45" t="s">
        <v>204</v>
      </c>
      <c r="AP63" s="44">
        <v>8</v>
      </c>
      <c r="AQ63" s="41" t="s">
        <v>83</v>
      </c>
      <c r="AS63" s="16"/>
    </row>
    <row r="64" spans="1:61" ht="16.5">
      <c r="A64" s="37">
        <v>46</v>
      </c>
      <c r="B64" s="44"/>
      <c r="C64" s="74" t="s">
        <v>199</v>
      </c>
      <c r="D64" s="86">
        <f>IFERROR(VLOOKUP(C64, $C$2:D63, 2, FALSE), MAX($D$2:D63)+1)</f>
        <v>10</v>
      </c>
      <c r="E64" s="44"/>
      <c r="F64" s="44" t="s">
        <v>200</v>
      </c>
      <c r="G64" s="55">
        <v>1.1000000000000001</v>
      </c>
      <c r="H64" s="55">
        <v>5</v>
      </c>
      <c r="I64" s="44">
        <v>4.91</v>
      </c>
      <c r="J64" s="44">
        <v>0</v>
      </c>
      <c r="K64" s="44">
        <v>0</v>
      </c>
      <c r="L64" s="44" t="s">
        <v>201</v>
      </c>
      <c r="M64" s="44">
        <v>0.39</v>
      </c>
      <c r="N64" s="44">
        <v>0</v>
      </c>
      <c r="O64" s="44" t="s">
        <v>81</v>
      </c>
      <c r="P64" s="44" t="s">
        <v>81</v>
      </c>
      <c r="Q64" s="44" t="s">
        <v>81</v>
      </c>
      <c r="R64" s="44" t="s">
        <v>81</v>
      </c>
      <c r="S64" s="44" t="s">
        <v>81</v>
      </c>
      <c r="T64" s="44">
        <v>800</v>
      </c>
      <c r="U64" s="44">
        <v>1</v>
      </c>
      <c r="V64" s="44">
        <v>2</v>
      </c>
      <c r="W64" s="44">
        <v>580</v>
      </c>
      <c r="X64" s="44">
        <v>8</v>
      </c>
      <c r="Y64" s="44">
        <v>2</v>
      </c>
      <c r="Z64" s="44"/>
      <c r="AA64" s="44"/>
      <c r="AB64" s="44" t="s">
        <v>215</v>
      </c>
      <c r="AC64" s="44"/>
      <c r="AD64" s="44" t="s">
        <v>216</v>
      </c>
      <c r="AE64" s="44"/>
      <c r="AF64" s="44"/>
      <c r="AG64" s="44"/>
      <c r="AH64" s="44"/>
      <c r="AI64" s="44"/>
      <c r="AJ64" s="44"/>
      <c r="AK64" s="44">
        <v>17.8</v>
      </c>
      <c r="AL64" s="44"/>
      <c r="AM64" s="44"/>
      <c r="AN64" s="45"/>
      <c r="AO64" s="45" t="s">
        <v>204</v>
      </c>
      <c r="AP64" s="44">
        <v>8</v>
      </c>
      <c r="AQ64" s="41" t="s">
        <v>83</v>
      </c>
      <c r="AS64" s="16"/>
    </row>
    <row r="65" spans="1:45" ht="16.5">
      <c r="A65" s="37">
        <v>47</v>
      </c>
      <c r="B65" s="44"/>
      <c r="C65" s="74" t="s">
        <v>199</v>
      </c>
      <c r="D65" s="86">
        <f>IFERROR(VLOOKUP(C65, $C$2:D64, 2, FALSE), MAX($D$2:D64)+1)</f>
        <v>10</v>
      </c>
      <c r="E65" s="44"/>
      <c r="F65" s="44" t="s">
        <v>200</v>
      </c>
      <c r="G65" s="55">
        <v>1.1000000000000001</v>
      </c>
      <c r="H65" s="55">
        <v>5</v>
      </c>
      <c r="I65" s="44">
        <v>4.91</v>
      </c>
      <c r="J65" s="44">
        <v>0</v>
      </c>
      <c r="K65" s="44">
        <v>0</v>
      </c>
      <c r="L65" s="44" t="s">
        <v>201</v>
      </c>
      <c r="M65" s="44">
        <v>0.39</v>
      </c>
      <c r="N65" s="44">
        <v>0</v>
      </c>
      <c r="O65" s="44" t="s">
        <v>81</v>
      </c>
      <c r="P65" s="44" t="s">
        <v>81</v>
      </c>
      <c r="Q65" s="44" t="s">
        <v>81</v>
      </c>
      <c r="R65" s="44" t="s">
        <v>81</v>
      </c>
      <c r="S65" s="44" t="s">
        <v>81</v>
      </c>
      <c r="T65" s="44">
        <v>805</v>
      </c>
      <c r="U65" s="44">
        <v>1</v>
      </c>
      <c r="V65" s="44">
        <v>2</v>
      </c>
      <c r="W65" s="44">
        <v>580</v>
      </c>
      <c r="X65" s="44">
        <v>8</v>
      </c>
      <c r="Y65" s="44">
        <v>2</v>
      </c>
      <c r="Z65" s="44"/>
      <c r="AA65" s="44"/>
      <c r="AB65" s="44" t="s">
        <v>217</v>
      </c>
      <c r="AC65" s="44"/>
      <c r="AD65" s="44" t="s">
        <v>218</v>
      </c>
      <c r="AE65" s="44"/>
      <c r="AF65" s="44"/>
      <c r="AG65" s="44"/>
      <c r="AH65" s="44"/>
      <c r="AI65" s="44"/>
      <c r="AJ65" s="44"/>
      <c r="AK65" s="44">
        <v>16.7</v>
      </c>
      <c r="AL65" s="44"/>
      <c r="AM65" s="44"/>
      <c r="AN65" s="45"/>
      <c r="AO65" s="45" t="s">
        <v>204</v>
      </c>
      <c r="AP65" s="44">
        <v>8</v>
      </c>
      <c r="AQ65" s="41" t="s">
        <v>83</v>
      </c>
      <c r="AS65" s="16"/>
    </row>
    <row r="66" spans="1:45" ht="16.5">
      <c r="A66" s="37">
        <v>48</v>
      </c>
      <c r="B66" s="44"/>
      <c r="C66" s="74" t="s">
        <v>199</v>
      </c>
      <c r="D66" s="86">
        <f>IFERROR(VLOOKUP(C66, $C$2:D65, 2, FALSE), MAX($D$2:D65)+1)</f>
        <v>10</v>
      </c>
      <c r="E66" s="44"/>
      <c r="F66" s="44" t="s">
        <v>200</v>
      </c>
      <c r="G66" s="55">
        <v>1.1000000000000001</v>
      </c>
      <c r="H66" s="55">
        <v>5</v>
      </c>
      <c r="I66" s="44">
        <v>4.91</v>
      </c>
      <c r="J66" s="44">
        <v>0</v>
      </c>
      <c r="K66" s="44">
        <v>0</v>
      </c>
      <c r="L66" s="44" t="s">
        <v>201</v>
      </c>
      <c r="M66" s="44">
        <v>0.39</v>
      </c>
      <c r="N66" s="44">
        <v>0</v>
      </c>
      <c r="O66" s="44" t="s">
        <v>81</v>
      </c>
      <c r="P66" s="44" t="s">
        <v>81</v>
      </c>
      <c r="Q66" s="44" t="s">
        <v>81</v>
      </c>
      <c r="R66" s="44" t="s">
        <v>81</v>
      </c>
      <c r="S66" s="44" t="s">
        <v>81</v>
      </c>
      <c r="T66" s="44">
        <v>810</v>
      </c>
      <c r="U66" s="44">
        <v>1</v>
      </c>
      <c r="V66" s="44">
        <v>2</v>
      </c>
      <c r="W66" s="44">
        <v>580</v>
      </c>
      <c r="X66" s="44">
        <v>8</v>
      </c>
      <c r="Y66" s="44">
        <v>2</v>
      </c>
      <c r="Z66" s="44"/>
      <c r="AA66" s="44"/>
      <c r="AB66" s="44" t="s">
        <v>219</v>
      </c>
      <c r="AC66" s="44"/>
      <c r="AD66" s="44" t="s">
        <v>220</v>
      </c>
      <c r="AE66" s="44"/>
      <c r="AF66" s="44"/>
      <c r="AG66" s="44"/>
      <c r="AH66" s="44"/>
      <c r="AI66" s="44"/>
      <c r="AJ66" s="44"/>
      <c r="AK66" s="44">
        <v>18.8</v>
      </c>
      <c r="AL66" s="44"/>
      <c r="AM66" s="44"/>
      <c r="AN66" s="45"/>
      <c r="AO66" s="45" t="s">
        <v>204</v>
      </c>
      <c r="AP66" s="44">
        <v>8</v>
      </c>
      <c r="AQ66" s="41" t="s">
        <v>83</v>
      </c>
      <c r="AS66" s="16"/>
    </row>
    <row r="67" spans="1:45" ht="16.5">
      <c r="A67" s="37">
        <v>49</v>
      </c>
      <c r="B67" s="44"/>
      <c r="C67" s="74" t="s">
        <v>199</v>
      </c>
      <c r="D67" s="86">
        <f>IFERROR(VLOOKUP(C67, $C$2:D66, 2, FALSE), MAX($D$2:D66)+1)</f>
        <v>10</v>
      </c>
      <c r="E67" s="44"/>
      <c r="F67" s="44" t="s">
        <v>200</v>
      </c>
      <c r="G67" s="55">
        <v>1.1000000000000001</v>
      </c>
      <c r="H67" s="55">
        <v>5</v>
      </c>
      <c r="I67" s="44">
        <v>4.91</v>
      </c>
      <c r="J67" s="44">
        <v>0</v>
      </c>
      <c r="K67" s="44">
        <v>0</v>
      </c>
      <c r="L67" s="44" t="s">
        <v>201</v>
      </c>
      <c r="M67" s="44">
        <v>0.39</v>
      </c>
      <c r="N67" s="44">
        <v>0</v>
      </c>
      <c r="O67" s="44" t="s">
        <v>81</v>
      </c>
      <c r="P67" s="44" t="s">
        <v>81</v>
      </c>
      <c r="Q67" s="44" t="s">
        <v>81</v>
      </c>
      <c r="R67" s="44" t="s">
        <v>81</v>
      </c>
      <c r="S67" s="44" t="s">
        <v>81</v>
      </c>
      <c r="T67" s="44">
        <v>815</v>
      </c>
      <c r="U67" s="44">
        <v>1</v>
      </c>
      <c r="V67" s="44">
        <v>2</v>
      </c>
      <c r="W67" s="44">
        <v>580</v>
      </c>
      <c r="X67" s="44">
        <v>8</v>
      </c>
      <c r="Y67" s="44">
        <v>2</v>
      </c>
      <c r="Z67" s="44"/>
      <c r="AA67" s="44"/>
      <c r="AB67" s="44" t="s">
        <v>221</v>
      </c>
      <c r="AC67" s="44"/>
      <c r="AD67" s="44" t="s">
        <v>222</v>
      </c>
      <c r="AE67" s="44"/>
      <c r="AF67" s="44"/>
      <c r="AG67" s="44"/>
      <c r="AH67" s="44"/>
      <c r="AI67" s="44"/>
      <c r="AJ67" s="44"/>
      <c r="AK67" s="44">
        <v>16.3</v>
      </c>
      <c r="AL67" s="44"/>
      <c r="AM67" s="44"/>
      <c r="AN67" s="45"/>
      <c r="AO67" s="45" t="s">
        <v>204</v>
      </c>
      <c r="AP67" s="44">
        <v>8</v>
      </c>
      <c r="AQ67" s="41" t="s">
        <v>83</v>
      </c>
      <c r="AS67" s="16"/>
    </row>
    <row r="68" spans="1:45" ht="16.5">
      <c r="A68" s="37">
        <v>50</v>
      </c>
      <c r="B68" s="44"/>
      <c r="C68" s="74" t="s">
        <v>199</v>
      </c>
      <c r="D68" s="86">
        <f>IFERROR(VLOOKUP(C68, $C$2:D67, 2, FALSE), MAX($D$2:D67)+1)</f>
        <v>10</v>
      </c>
      <c r="E68" s="44"/>
      <c r="F68" s="44" t="s">
        <v>200</v>
      </c>
      <c r="G68" s="55">
        <v>1.1000000000000001</v>
      </c>
      <c r="H68" s="55">
        <v>5</v>
      </c>
      <c r="I68" s="44">
        <v>4.91</v>
      </c>
      <c r="J68" s="44">
        <v>0</v>
      </c>
      <c r="K68" s="44">
        <v>0</v>
      </c>
      <c r="L68" s="44" t="s">
        <v>201</v>
      </c>
      <c r="M68" s="44">
        <v>0.39</v>
      </c>
      <c r="N68" s="44">
        <v>0</v>
      </c>
      <c r="O68" s="44" t="s">
        <v>81</v>
      </c>
      <c r="P68" s="44" t="s">
        <v>81</v>
      </c>
      <c r="Q68" s="44" t="s">
        <v>81</v>
      </c>
      <c r="R68" s="44" t="s">
        <v>81</v>
      </c>
      <c r="S68" s="44" t="s">
        <v>81</v>
      </c>
      <c r="T68" s="44">
        <v>820</v>
      </c>
      <c r="U68" s="44">
        <v>1</v>
      </c>
      <c r="V68" s="44">
        <v>2</v>
      </c>
      <c r="W68" s="44">
        <v>580</v>
      </c>
      <c r="X68" s="44">
        <v>8</v>
      </c>
      <c r="Y68" s="44">
        <v>2</v>
      </c>
      <c r="Z68" s="44"/>
      <c r="AA68" s="44"/>
      <c r="AB68" s="44" t="s">
        <v>223</v>
      </c>
      <c r="AC68" s="44"/>
      <c r="AD68" s="44" t="s">
        <v>224</v>
      </c>
      <c r="AE68" s="44"/>
      <c r="AF68" s="44"/>
      <c r="AG68" s="44"/>
      <c r="AH68" s="44"/>
      <c r="AI68" s="44"/>
      <c r="AJ68" s="44"/>
      <c r="AK68" s="44">
        <v>16.2</v>
      </c>
      <c r="AL68" s="44"/>
      <c r="AM68" s="44"/>
      <c r="AN68" s="45"/>
      <c r="AO68" s="45" t="s">
        <v>204</v>
      </c>
      <c r="AP68" s="44">
        <v>8</v>
      </c>
      <c r="AQ68" s="41" t="s">
        <v>83</v>
      </c>
      <c r="AS68" s="16"/>
    </row>
    <row r="69" spans="1:45" ht="16.5">
      <c r="A69" s="37">
        <v>51</v>
      </c>
      <c r="B69" s="44"/>
      <c r="C69" s="74" t="s">
        <v>199</v>
      </c>
      <c r="D69" s="86">
        <f>IFERROR(VLOOKUP(C69, $C$2:D68, 2, FALSE), MAX($D$2:D68)+1)</f>
        <v>10</v>
      </c>
      <c r="E69" s="44"/>
      <c r="F69" s="44" t="s">
        <v>200</v>
      </c>
      <c r="G69" s="55">
        <v>1.1000000000000001</v>
      </c>
      <c r="H69" s="55">
        <v>5</v>
      </c>
      <c r="I69" s="44">
        <v>4.91</v>
      </c>
      <c r="J69" s="44">
        <v>0</v>
      </c>
      <c r="K69" s="44">
        <v>0</v>
      </c>
      <c r="L69" s="44" t="s">
        <v>201</v>
      </c>
      <c r="M69" s="44">
        <v>0.39</v>
      </c>
      <c r="N69" s="44">
        <v>0</v>
      </c>
      <c r="O69" s="44" t="s">
        <v>81</v>
      </c>
      <c r="P69" s="44" t="s">
        <v>81</v>
      </c>
      <c r="Q69" s="44" t="s">
        <v>81</v>
      </c>
      <c r="R69" s="44" t="s">
        <v>81</v>
      </c>
      <c r="S69" s="44" t="s">
        <v>81</v>
      </c>
      <c r="T69" s="44">
        <v>830</v>
      </c>
      <c r="U69" s="44">
        <v>1</v>
      </c>
      <c r="V69" s="44">
        <v>2</v>
      </c>
      <c r="W69" s="44">
        <v>580</v>
      </c>
      <c r="X69" s="44">
        <v>8</v>
      </c>
      <c r="Y69" s="44">
        <v>2</v>
      </c>
      <c r="Z69" s="44"/>
      <c r="AA69" s="44"/>
      <c r="AB69" s="44" t="s">
        <v>225</v>
      </c>
      <c r="AC69" s="44"/>
      <c r="AD69" s="44" t="s">
        <v>226</v>
      </c>
      <c r="AE69" s="44"/>
      <c r="AF69" s="44"/>
      <c r="AG69" s="44"/>
      <c r="AH69" s="44"/>
      <c r="AI69" s="44"/>
      <c r="AJ69" s="44"/>
      <c r="AK69" s="44">
        <v>16.100000000000001</v>
      </c>
      <c r="AL69" s="44"/>
      <c r="AM69" s="44"/>
      <c r="AN69" s="45"/>
      <c r="AO69" s="45" t="s">
        <v>204</v>
      </c>
      <c r="AP69" s="44">
        <v>8</v>
      </c>
      <c r="AQ69" s="41" t="s">
        <v>83</v>
      </c>
      <c r="AS69" s="16"/>
    </row>
    <row r="70" spans="1:45" ht="16.5">
      <c r="A70" s="37">
        <v>52</v>
      </c>
      <c r="B70" s="44"/>
      <c r="C70" s="74" t="s">
        <v>227</v>
      </c>
      <c r="D70" s="86">
        <f>IFERROR(VLOOKUP(C70, $C$2:D69, 2, FALSE), MAX($D$2:D69)+1)</f>
        <v>11</v>
      </c>
      <c r="E70" s="44">
        <v>94.129000000000005</v>
      </c>
      <c r="F70" s="44">
        <v>5.73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 t="s">
        <v>81</v>
      </c>
      <c r="P70" s="44">
        <v>2</v>
      </c>
      <c r="Q70" s="44" t="s">
        <v>81</v>
      </c>
      <c r="R70" s="44" t="s">
        <v>81</v>
      </c>
      <c r="S70" s="44" t="s">
        <v>81</v>
      </c>
      <c r="T70" s="44">
        <v>830</v>
      </c>
      <c r="U70" s="44">
        <v>2</v>
      </c>
      <c r="V70" s="44">
        <v>2</v>
      </c>
      <c r="W70" s="44">
        <v>0</v>
      </c>
      <c r="X70" s="44">
        <v>0</v>
      </c>
      <c r="Y70" s="44">
        <v>0</v>
      </c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>
        <v>29.8</v>
      </c>
      <c r="AL70" s="44"/>
      <c r="AM70" s="44"/>
      <c r="AN70" s="45"/>
      <c r="AO70" s="45" t="s">
        <v>228</v>
      </c>
      <c r="AP70" s="44">
        <v>9</v>
      </c>
      <c r="AQ70" s="41" t="s">
        <v>83</v>
      </c>
      <c r="AS70" s="16"/>
    </row>
    <row r="71" spans="1:45" ht="16.5">
      <c r="A71" s="37">
        <v>57</v>
      </c>
      <c r="B71" s="44"/>
      <c r="C71" s="74" t="s">
        <v>227</v>
      </c>
      <c r="D71" s="86">
        <f>IFERROR(VLOOKUP(C71, $C$2:D70, 2, FALSE), MAX($D$2:D70)+1)</f>
        <v>11</v>
      </c>
      <c r="E71" s="44">
        <v>94.129000000000005</v>
      </c>
      <c r="F71" s="44">
        <v>5.73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 t="s">
        <v>81</v>
      </c>
      <c r="P71" s="44" t="s">
        <v>81</v>
      </c>
      <c r="Q71" s="44" t="s">
        <v>81</v>
      </c>
      <c r="R71" s="44" t="s">
        <v>81</v>
      </c>
      <c r="S71" s="44" t="s">
        <v>81</v>
      </c>
      <c r="T71" s="44">
        <v>1000</v>
      </c>
      <c r="U71" s="44">
        <v>1</v>
      </c>
      <c r="V71" s="44" t="s">
        <v>81</v>
      </c>
      <c r="W71" s="44">
        <v>0</v>
      </c>
      <c r="X71" s="44">
        <v>0</v>
      </c>
      <c r="Y71" s="44">
        <v>0</v>
      </c>
      <c r="Z71" s="44"/>
      <c r="AA71" s="44"/>
      <c r="AB71" s="44">
        <v>932</v>
      </c>
      <c r="AC71" s="44"/>
      <c r="AD71" s="44"/>
      <c r="AE71" s="44"/>
      <c r="AF71" s="44"/>
      <c r="AG71" s="44"/>
      <c r="AH71" s="44"/>
      <c r="AI71" s="44"/>
      <c r="AJ71" s="44"/>
      <c r="AK71" s="44">
        <v>34.35</v>
      </c>
      <c r="AL71" s="44"/>
      <c r="AM71" s="44"/>
      <c r="AN71" s="45"/>
      <c r="AO71" s="45" t="s">
        <v>229</v>
      </c>
      <c r="AP71" s="44">
        <v>10</v>
      </c>
      <c r="AQ71" s="41" t="s">
        <v>83</v>
      </c>
      <c r="AS71" s="16"/>
    </row>
    <row r="72" spans="1:45" ht="16.5">
      <c r="A72" s="37">
        <v>58</v>
      </c>
      <c r="B72" s="44"/>
      <c r="C72" s="74" t="s">
        <v>227</v>
      </c>
      <c r="D72" s="86">
        <f>IFERROR(VLOOKUP(C72, $C$2:D71, 2, FALSE), MAX($D$2:D71)+1)</f>
        <v>11</v>
      </c>
      <c r="E72" s="44">
        <v>94.207999999999998</v>
      </c>
      <c r="F72" s="44">
        <v>5.73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 t="s">
        <v>81</v>
      </c>
      <c r="P72" s="44" t="s">
        <v>81</v>
      </c>
      <c r="Q72" s="44" t="s">
        <v>81</v>
      </c>
      <c r="R72" s="44" t="s">
        <v>81</v>
      </c>
      <c r="S72" s="44" t="s">
        <v>81</v>
      </c>
      <c r="T72" s="44">
        <v>1000</v>
      </c>
      <c r="U72" s="44">
        <v>1</v>
      </c>
      <c r="V72" s="44" t="s">
        <v>81</v>
      </c>
      <c r="W72" s="44">
        <v>0</v>
      </c>
      <c r="X72" s="44">
        <v>0</v>
      </c>
      <c r="Y72" s="44">
        <v>0</v>
      </c>
      <c r="Z72" s="44"/>
      <c r="AA72" s="44"/>
      <c r="AB72" s="44">
        <v>695</v>
      </c>
      <c r="AC72" s="44"/>
      <c r="AD72" s="44"/>
      <c r="AE72" s="44"/>
      <c r="AF72" s="44"/>
      <c r="AG72" s="44"/>
      <c r="AH72" s="44"/>
      <c r="AI72" s="44"/>
      <c r="AJ72" s="44"/>
      <c r="AK72" s="44">
        <v>102.85</v>
      </c>
      <c r="AL72" s="44"/>
      <c r="AM72" s="44"/>
      <c r="AN72" s="45"/>
      <c r="AO72" s="45" t="s">
        <v>229</v>
      </c>
      <c r="AP72" s="44">
        <v>10</v>
      </c>
      <c r="AQ72" s="41" t="s">
        <v>83</v>
      </c>
      <c r="AS72" s="16"/>
    </row>
    <row r="73" spans="1:45" ht="16.5">
      <c r="A73" s="37">
        <v>82</v>
      </c>
      <c r="B73" s="44"/>
      <c r="C73" s="74" t="s">
        <v>227</v>
      </c>
      <c r="D73" s="86">
        <f>IFERROR(VLOOKUP(C73, $C$2:D72, 2, FALSE), MAX($D$2:D72)+1)</f>
        <v>11</v>
      </c>
      <c r="E73" s="44">
        <v>93.977000000000004</v>
      </c>
      <c r="F73" s="44">
        <v>5.96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 t="s">
        <v>81</v>
      </c>
      <c r="P73" s="44">
        <v>2</v>
      </c>
      <c r="Q73" s="44">
        <v>1150</v>
      </c>
      <c r="R73" s="44">
        <v>70</v>
      </c>
      <c r="S73" s="44" t="s">
        <v>81</v>
      </c>
      <c r="T73" s="44">
        <v>1000</v>
      </c>
      <c r="U73" s="44">
        <v>1</v>
      </c>
      <c r="V73" s="44" t="s">
        <v>81</v>
      </c>
      <c r="W73" s="44">
        <v>0</v>
      </c>
      <c r="X73" s="44">
        <v>0</v>
      </c>
      <c r="Y73" s="44">
        <v>0</v>
      </c>
      <c r="Z73" s="44"/>
      <c r="AA73" s="44"/>
      <c r="AB73" s="44">
        <v>684</v>
      </c>
      <c r="AC73" s="44"/>
      <c r="AD73" s="44">
        <v>19.5</v>
      </c>
      <c r="AE73" s="44"/>
      <c r="AF73" s="44"/>
      <c r="AG73" s="44"/>
      <c r="AH73" s="44"/>
      <c r="AI73" s="44"/>
      <c r="AJ73" s="44"/>
      <c r="AK73" s="44">
        <v>960</v>
      </c>
      <c r="AL73" s="44"/>
      <c r="AM73" s="44"/>
      <c r="AN73" s="45"/>
      <c r="AO73" s="45" t="s">
        <v>230</v>
      </c>
      <c r="AP73" s="44">
        <v>18</v>
      </c>
      <c r="AQ73" s="41" t="s">
        <v>83</v>
      </c>
    </row>
    <row r="74" spans="1:45" ht="16.5">
      <c r="A74" s="37">
        <v>53</v>
      </c>
      <c r="B74" s="44"/>
      <c r="C74" s="74" t="s">
        <v>275</v>
      </c>
      <c r="D74" s="86">
        <f>IFERROR(VLOOKUP(C74, $C$2:D73, 2, FALSE), MAX($D$2:D73)+1)</f>
        <v>12</v>
      </c>
      <c r="E74" s="44">
        <v>92.155000000000001</v>
      </c>
      <c r="F74" s="44">
        <v>5.73</v>
      </c>
      <c r="G74" s="44">
        <v>0</v>
      </c>
      <c r="H74" s="44">
        <v>2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 t="s">
        <v>81</v>
      </c>
      <c r="P74" s="44">
        <v>2</v>
      </c>
      <c r="Q74" s="75" t="s">
        <v>81</v>
      </c>
      <c r="R74" s="75" t="s">
        <v>81</v>
      </c>
      <c r="S74" s="44" t="s">
        <v>81</v>
      </c>
      <c r="T74" s="44">
        <v>830</v>
      </c>
      <c r="U74" s="44">
        <v>2</v>
      </c>
      <c r="V74" s="44">
        <v>2</v>
      </c>
      <c r="W74" s="44">
        <v>0</v>
      </c>
      <c r="X74" s="44">
        <v>0</v>
      </c>
      <c r="Y74" s="44">
        <v>0</v>
      </c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>
        <v>62.8</v>
      </c>
      <c r="AL74" s="44"/>
      <c r="AM74" s="44"/>
      <c r="AN74" s="45"/>
      <c r="AO74" s="45" t="s">
        <v>228</v>
      </c>
      <c r="AP74" s="44">
        <v>9</v>
      </c>
      <c r="AQ74" s="41" t="s">
        <v>83</v>
      </c>
      <c r="AS74" s="16"/>
    </row>
    <row r="75" spans="1:45" ht="16.5">
      <c r="A75" s="37">
        <v>54</v>
      </c>
      <c r="B75" s="44"/>
      <c r="C75" s="74" t="s">
        <v>231</v>
      </c>
      <c r="D75" s="86">
        <f>IFERROR(VLOOKUP(C75, $C$2:D74, 2, FALSE), MAX($D$2:D74)+1)</f>
        <v>13</v>
      </c>
      <c r="E75" s="44">
        <v>90.924999999999997</v>
      </c>
      <c r="F75" s="44">
        <v>5.91</v>
      </c>
      <c r="G75" s="44">
        <v>0</v>
      </c>
      <c r="H75" s="44">
        <v>0</v>
      </c>
      <c r="I75" s="44">
        <v>0</v>
      </c>
      <c r="J75" s="44">
        <v>0</v>
      </c>
      <c r="K75" s="44">
        <v>3.03</v>
      </c>
      <c r="L75" s="44">
        <v>0</v>
      </c>
      <c r="M75" s="44">
        <v>0</v>
      </c>
      <c r="N75" s="44">
        <v>0</v>
      </c>
      <c r="O75" s="44" t="s">
        <v>81</v>
      </c>
      <c r="P75" s="43">
        <v>2</v>
      </c>
      <c r="Q75" s="39" t="s">
        <v>81</v>
      </c>
      <c r="R75" s="39" t="s">
        <v>81</v>
      </c>
      <c r="S75" s="37" t="s">
        <v>81</v>
      </c>
      <c r="T75" s="44">
        <v>830</v>
      </c>
      <c r="U75" s="44">
        <v>2</v>
      </c>
      <c r="V75" s="44">
        <v>2</v>
      </c>
      <c r="W75" s="44">
        <v>0</v>
      </c>
      <c r="X75" s="44">
        <v>0</v>
      </c>
      <c r="Y75" s="44">
        <v>0</v>
      </c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>
        <v>63.3</v>
      </c>
      <c r="AL75" s="44"/>
      <c r="AM75" s="44"/>
      <c r="AN75" s="45"/>
      <c r="AO75" s="45" t="s">
        <v>228</v>
      </c>
      <c r="AP75" s="44">
        <v>9</v>
      </c>
      <c r="AQ75" s="41" t="s">
        <v>83</v>
      </c>
      <c r="AS75" s="16"/>
    </row>
    <row r="76" spans="1:45" ht="16.5">
      <c r="A76" s="37">
        <v>55</v>
      </c>
      <c r="B76" s="44"/>
      <c r="C76" s="74" t="s">
        <v>233</v>
      </c>
      <c r="D76" s="86">
        <f>IFERROR(VLOOKUP(C76, $C$2:D75, 2, FALSE), MAX($D$2:D75)+1)</f>
        <v>14</v>
      </c>
      <c r="E76" s="44">
        <v>99.837000000000003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 t="s">
        <v>81</v>
      </c>
      <c r="P76" s="43" t="s">
        <v>81</v>
      </c>
      <c r="Q76" s="39" t="s">
        <v>81</v>
      </c>
      <c r="R76" s="39" t="s">
        <v>81</v>
      </c>
      <c r="S76" s="37" t="s">
        <v>81</v>
      </c>
      <c r="T76" s="44">
        <v>800</v>
      </c>
      <c r="U76" s="44">
        <v>1</v>
      </c>
      <c r="V76" s="44" t="s">
        <v>81</v>
      </c>
      <c r="W76" s="44">
        <v>0</v>
      </c>
      <c r="X76" s="44">
        <v>0</v>
      </c>
      <c r="Y76" s="44">
        <v>0</v>
      </c>
      <c r="Z76" s="44"/>
      <c r="AA76" s="44"/>
      <c r="AB76" s="44">
        <v>500</v>
      </c>
      <c r="AC76" s="44"/>
      <c r="AD76" s="44"/>
      <c r="AE76" s="44"/>
      <c r="AF76" s="44"/>
      <c r="AG76" s="44"/>
      <c r="AH76" s="44"/>
      <c r="AI76" s="44"/>
      <c r="AJ76" s="44"/>
      <c r="AK76" s="44">
        <v>62.65</v>
      </c>
      <c r="AL76" s="44"/>
      <c r="AM76" s="44"/>
      <c r="AN76" s="45"/>
      <c r="AO76" s="45" t="s">
        <v>229</v>
      </c>
      <c r="AP76" s="44">
        <v>10</v>
      </c>
      <c r="AQ76" s="41" t="s">
        <v>83</v>
      </c>
      <c r="AS76" s="16"/>
    </row>
    <row r="77" spans="1:45" ht="16.5">
      <c r="A77" s="37">
        <v>56</v>
      </c>
      <c r="B77" s="44"/>
      <c r="C77" s="74" t="s">
        <v>233</v>
      </c>
      <c r="D77" s="86">
        <f>IFERROR(VLOOKUP(C77, $C$2:D76, 2, FALSE), MAX($D$2:D76)+1)</f>
        <v>14</v>
      </c>
      <c r="E77" s="44">
        <v>99.972999999999999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 t="s">
        <v>81</v>
      </c>
      <c r="P77" s="43" t="s">
        <v>81</v>
      </c>
      <c r="Q77" s="39" t="s">
        <v>81</v>
      </c>
      <c r="R77" s="39" t="s">
        <v>81</v>
      </c>
      <c r="S77" s="37" t="s">
        <v>81</v>
      </c>
      <c r="T77" s="44">
        <v>800</v>
      </c>
      <c r="U77" s="44">
        <v>1</v>
      </c>
      <c r="V77" s="44" t="s">
        <v>81</v>
      </c>
      <c r="W77" s="44">
        <v>0</v>
      </c>
      <c r="X77" s="44">
        <v>0</v>
      </c>
      <c r="Y77" s="44">
        <v>0</v>
      </c>
      <c r="Z77" s="44"/>
      <c r="AA77" s="44"/>
      <c r="AB77" s="44">
        <v>257</v>
      </c>
      <c r="AC77" s="44"/>
      <c r="AD77" s="44"/>
      <c r="AE77" s="44"/>
      <c r="AF77" s="44"/>
      <c r="AG77" s="44"/>
      <c r="AH77" s="44"/>
      <c r="AI77" s="44"/>
      <c r="AJ77" s="44"/>
      <c r="AK77" s="44">
        <v>253.5</v>
      </c>
      <c r="AL77" s="44"/>
      <c r="AM77" s="44"/>
      <c r="AN77" s="45"/>
      <c r="AO77" s="45" t="s">
        <v>229</v>
      </c>
      <c r="AP77" s="44">
        <v>10</v>
      </c>
      <c r="AQ77" s="41" t="s">
        <v>83</v>
      </c>
      <c r="AS77" s="16"/>
    </row>
    <row r="78" spans="1:45" ht="16.5">
      <c r="A78" s="37">
        <v>81</v>
      </c>
      <c r="B78" s="44"/>
      <c r="C78" s="74" t="s">
        <v>233</v>
      </c>
      <c r="D78" s="86">
        <f>IFERROR(VLOOKUP(C78, $C$2:D77, 2, FALSE), MAX($D$2:D77)+1)</f>
        <v>14</v>
      </c>
      <c r="E78" s="44">
        <v>99.971000000000004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 t="s">
        <v>81</v>
      </c>
      <c r="P78" s="43">
        <v>2</v>
      </c>
      <c r="Q78" s="39">
        <v>1150</v>
      </c>
      <c r="R78" s="39">
        <v>70</v>
      </c>
      <c r="S78" s="37" t="s">
        <v>81</v>
      </c>
      <c r="T78" s="44">
        <v>800</v>
      </c>
      <c r="U78" s="44">
        <v>1</v>
      </c>
      <c r="V78" s="44" t="s">
        <v>81</v>
      </c>
      <c r="W78" s="44">
        <v>0</v>
      </c>
      <c r="X78" s="44">
        <v>0</v>
      </c>
      <c r="Y78" s="44">
        <v>0</v>
      </c>
      <c r="Z78" s="44"/>
      <c r="AA78" s="44"/>
      <c r="AB78" s="44">
        <v>260</v>
      </c>
      <c r="AC78" s="44"/>
      <c r="AD78" s="44">
        <v>71.5</v>
      </c>
      <c r="AE78" s="44"/>
      <c r="AF78" s="44"/>
      <c r="AG78" s="44"/>
      <c r="AH78" s="44"/>
      <c r="AI78" s="44"/>
      <c r="AJ78" s="44"/>
      <c r="AK78" s="44">
        <v>2550</v>
      </c>
      <c r="AL78" s="44"/>
      <c r="AM78" s="44"/>
      <c r="AN78" s="45"/>
      <c r="AO78" s="45" t="s">
        <v>230</v>
      </c>
      <c r="AP78" s="44">
        <v>18</v>
      </c>
      <c r="AQ78" s="41" t="s">
        <v>83</v>
      </c>
    </row>
    <row r="79" spans="1:45" ht="16.5">
      <c r="A79" s="37">
        <v>59</v>
      </c>
      <c r="B79" s="44"/>
      <c r="C79" s="74" t="s">
        <v>234</v>
      </c>
      <c r="D79" s="86">
        <f>IFERROR(VLOOKUP(C79, $C$2:D78, 2, FALSE), MAX($D$2:D78)+1)</f>
        <v>15</v>
      </c>
      <c r="E79" s="44"/>
      <c r="F79" s="44">
        <v>6.1</v>
      </c>
      <c r="G79" s="44" t="s">
        <v>235</v>
      </c>
      <c r="H79" s="44" t="s">
        <v>235</v>
      </c>
      <c r="I79" s="44">
        <v>4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 t="s">
        <v>81</v>
      </c>
      <c r="P79" s="43" t="s">
        <v>81</v>
      </c>
      <c r="Q79" s="39" t="s">
        <v>81</v>
      </c>
      <c r="R79" s="39" t="s">
        <v>81</v>
      </c>
      <c r="S79" s="37" t="s">
        <v>81</v>
      </c>
      <c r="T79" s="44" t="s">
        <v>81</v>
      </c>
      <c r="U79" s="44" t="s">
        <v>81</v>
      </c>
      <c r="V79" s="44" t="s">
        <v>81</v>
      </c>
      <c r="W79" s="44">
        <v>0</v>
      </c>
      <c r="X79" s="44">
        <v>0</v>
      </c>
      <c r="Y79" s="44">
        <v>0</v>
      </c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>
        <v>130</v>
      </c>
      <c r="AL79" s="44"/>
      <c r="AM79" s="44"/>
      <c r="AN79" s="45"/>
      <c r="AO79" s="45" t="s">
        <v>236</v>
      </c>
      <c r="AP79" s="44">
        <v>11</v>
      </c>
      <c r="AQ79" s="41" t="s">
        <v>83</v>
      </c>
      <c r="AS79" s="16"/>
    </row>
    <row r="80" spans="1:45" ht="16.5">
      <c r="A80" s="37">
        <v>60</v>
      </c>
      <c r="B80" s="44"/>
      <c r="C80" s="74" t="s">
        <v>234</v>
      </c>
      <c r="D80" s="86">
        <f>IFERROR(VLOOKUP(C80, $C$2:D79, 2, FALSE), MAX($D$2:D79)+1)</f>
        <v>15</v>
      </c>
      <c r="E80" s="44"/>
      <c r="F80" s="44">
        <v>6.1</v>
      </c>
      <c r="G80" s="44" t="s">
        <v>235</v>
      </c>
      <c r="H80" s="44" t="s">
        <v>235</v>
      </c>
      <c r="I80" s="44">
        <v>4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 t="s">
        <v>81</v>
      </c>
      <c r="P80" s="43" t="s">
        <v>81</v>
      </c>
      <c r="Q80" s="39" t="s">
        <v>81</v>
      </c>
      <c r="R80" s="39" t="s">
        <v>81</v>
      </c>
      <c r="S80" s="37" t="s">
        <v>81</v>
      </c>
      <c r="T80" s="44">
        <v>910</v>
      </c>
      <c r="U80" s="44">
        <v>2</v>
      </c>
      <c r="V80" s="44">
        <v>2</v>
      </c>
      <c r="W80" s="44">
        <v>0</v>
      </c>
      <c r="X80" s="44">
        <v>0</v>
      </c>
      <c r="Y80" s="44">
        <v>0</v>
      </c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>
        <v>80</v>
      </c>
      <c r="AL80" s="44"/>
      <c r="AM80" s="44"/>
      <c r="AN80" s="45"/>
      <c r="AO80" s="45" t="s">
        <v>236</v>
      </c>
      <c r="AP80" s="44">
        <v>11</v>
      </c>
      <c r="AQ80" s="41" t="s">
        <v>83</v>
      </c>
      <c r="AS80" s="16"/>
    </row>
    <row r="81" spans="1:61" ht="16.5">
      <c r="A81" s="37">
        <v>61</v>
      </c>
      <c r="B81" s="44"/>
      <c r="C81" s="74" t="s">
        <v>234</v>
      </c>
      <c r="D81" s="86">
        <f>IFERROR(VLOOKUP(C81, $C$2:D80, 2, FALSE), MAX($D$2:D80)+1)</f>
        <v>15</v>
      </c>
      <c r="E81" s="44"/>
      <c r="F81" s="44">
        <v>6.1</v>
      </c>
      <c r="G81" s="44" t="s">
        <v>235</v>
      </c>
      <c r="H81" s="44" t="s">
        <v>235</v>
      </c>
      <c r="I81" s="44">
        <v>4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 t="s">
        <v>81</v>
      </c>
      <c r="P81" s="43" t="s">
        <v>81</v>
      </c>
      <c r="Q81" s="39" t="s">
        <v>81</v>
      </c>
      <c r="R81" s="39" t="s">
        <v>81</v>
      </c>
      <c r="S81" s="37" t="s">
        <v>81</v>
      </c>
      <c r="T81" s="44">
        <v>910</v>
      </c>
      <c r="U81" s="44">
        <v>1</v>
      </c>
      <c r="V81" s="44">
        <v>3</v>
      </c>
      <c r="W81" s="44">
        <v>0</v>
      </c>
      <c r="X81" s="44">
        <v>0</v>
      </c>
      <c r="Y81" s="44">
        <v>0</v>
      </c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>
        <v>220</v>
      </c>
      <c r="AL81" s="44"/>
      <c r="AM81" s="44"/>
      <c r="AN81" s="45"/>
      <c r="AO81" s="45" t="s">
        <v>236</v>
      </c>
      <c r="AP81" s="44">
        <v>11</v>
      </c>
      <c r="AQ81" s="41" t="s">
        <v>83</v>
      </c>
      <c r="AS81" s="16"/>
    </row>
    <row r="82" spans="1:61" ht="16.5">
      <c r="A82" s="37">
        <v>62</v>
      </c>
      <c r="B82" s="44"/>
      <c r="C82" s="74" t="s">
        <v>234</v>
      </c>
      <c r="D82" s="86">
        <f>IFERROR(VLOOKUP(C82, $C$2:D81, 2, FALSE), MAX($D$2:D81)+1)</f>
        <v>15</v>
      </c>
      <c r="E82" s="44"/>
      <c r="F82" s="44">
        <v>6.1</v>
      </c>
      <c r="G82" s="44" t="s">
        <v>235</v>
      </c>
      <c r="H82" s="44" t="s">
        <v>235</v>
      </c>
      <c r="I82" s="44">
        <v>4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 t="s">
        <v>81</v>
      </c>
      <c r="P82" s="43" t="s">
        <v>81</v>
      </c>
      <c r="Q82" s="39" t="s">
        <v>81</v>
      </c>
      <c r="R82" s="39" t="s">
        <v>81</v>
      </c>
      <c r="S82" s="37" t="s">
        <v>81</v>
      </c>
      <c r="T82" s="44">
        <v>955</v>
      </c>
      <c r="U82" s="44">
        <v>1</v>
      </c>
      <c r="V82" s="44">
        <v>3</v>
      </c>
      <c r="W82" s="44">
        <v>500</v>
      </c>
      <c r="X82" s="44">
        <v>2</v>
      </c>
      <c r="Y82" s="44">
        <v>2</v>
      </c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>
        <v>19.5</v>
      </c>
      <c r="AL82" s="44"/>
      <c r="AM82" s="44"/>
      <c r="AN82" s="45"/>
      <c r="AO82" s="45" t="s">
        <v>236</v>
      </c>
      <c r="AP82" s="44">
        <v>11</v>
      </c>
      <c r="AQ82" s="41" t="s">
        <v>83</v>
      </c>
      <c r="AS82" s="16"/>
    </row>
    <row r="83" spans="1:61" ht="16.5">
      <c r="A83" s="37">
        <v>153</v>
      </c>
      <c r="B83" s="44"/>
      <c r="C83" s="74" t="s">
        <v>238</v>
      </c>
      <c r="D83" s="86">
        <f>IFERROR(VLOOKUP(C83, $C$2:D82, 2, FALSE), MAX($D$2:D82)+1)</f>
        <v>16</v>
      </c>
      <c r="E83" s="44">
        <v>89</v>
      </c>
      <c r="F83" s="44">
        <v>6</v>
      </c>
      <c r="G83" s="44">
        <v>0</v>
      </c>
      <c r="H83" s="44">
        <v>0</v>
      </c>
      <c r="I83" s="44">
        <v>4</v>
      </c>
      <c r="J83" s="44">
        <v>0</v>
      </c>
      <c r="K83" s="44">
        <v>0.5</v>
      </c>
      <c r="L83" s="44">
        <v>0</v>
      </c>
      <c r="M83" s="44">
        <v>0</v>
      </c>
      <c r="N83" s="44">
        <v>0</v>
      </c>
      <c r="O83" s="44" t="s">
        <v>81</v>
      </c>
      <c r="P83" s="44">
        <v>2</v>
      </c>
      <c r="Q83" s="44" t="s">
        <v>81</v>
      </c>
      <c r="R83" s="44" t="s">
        <v>81</v>
      </c>
      <c r="S83" s="44" t="s">
        <v>81</v>
      </c>
      <c r="T83" s="44" t="s">
        <v>81</v>
      </c>
      <c r="U83" s="44" t="s">
        <v>81</v>
      </c>
      <c r="V83" s="44" t="s">
        <v>81</v>
      </c>
      <c r="W83" s="44" t="s">
        <v>81</v>
      </c>
      <c r="X83" s="44" t="s">
        <v>81</v>
      </c>
      <c r="Y83" s="44" t="s">
        <v>81</v>
      </c>
      <c r="Z83" s="44"/>
      <c r="AA83" s="44"/>
      <c r="AB83" s="44">
        <v>975</v>
      </c>
      <c r="AC83" s="44">
        <v>955</v>
      </c>
      <c r="AD83" s="44">
        <v>17</v>
      </c>
      <c r="AE83" s="44"/>
      <c r="AF83" s="44"/>
      <c r="AG83" s="44"/>
      <c r="AH83" s="44"/>
      <c r="AI83" s="44"/>
      <c r="AJ83" s="44"/>
      <c r="AK83" s="44"/>
      <c r="AL83" s="44">
        <v>72</v>
      </c>
      <c r="AM83" s="44"/>
      <c r="AN83" s="45"/>
      <c r="AO83" s="45" t="s">
        <v>240</v>
      </c>
      <c r="AP83" s="44">
        <v>40</v>
      </c>
      <c r="AQ83" s="41" t="s">
        <v>83</v>
      </c>
    </row>
    <row r="84" spans="1:61" ht="16.5">
      <c r="A84" s="37">
        <v>157</v>
      </c>
      <c r="B84" s="44"/>
      <c r="C84" s="74" t="s">
        <v>238</v>
      </c>
      <c r="D84" s="86">
        <f>IFERROR(VLOOKUP(C84, $C$2:D83, 2, FALSE), MAX($D$2:D83)+1)</f>
        <v>16</v>
      </c>
      <c r="E84" s="44">
        <v>89</v>
      </c>
      <c r="F84" s="44">
        <v>6</v>
      </c>
      <c r="G84" s="44">
        <v>0</v>
      </c>
      <c r="H84" s="44">
        <v>0</v>
      </c>
      <c r="I84" s="44">
        <v>4</v>
      </c>
      <c r="J84" s="44">
        <v>0</v>
      </c>
      <c r="K84" s="44">
        <v>0.5</v>
      </c>
      <c r="L84" s="44">
        <v>0</v>
      </c>
      <c r="M84" s="44">
        <v>0</v>
      </c>
      <c r="N84" s="44">
        <v>0</v>
      </c>
      <c r="O84" s="44" t="s">
        <v>81</v>
      </c>
      <c r="P84" s="44">
        <v>2</v>
      </c>
      <c r="Q84" s="44" t="s">
        <v>81</v>
      </c>
      <c r="R84" s="44" t="s">
        <v>81</v>
      </c>
      <c r="S84" s="44" t="s">
        <v>81</v>
      </c>
      <c r="T84" s="44">
        <v>900</v>
      </c>
      <c r="U84" s="44">
        <v>1</v>
      </c>
      <c r="V84" s="44">
        <v>2</v>
      </c>
      <c r="W84" s="44">
        <v>0</v>
      </c>
      <c r="X84" s="44">
        <v>0</v>
      </c>
      <c r="Y84" s="44">
        <v>0</v>
      </c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>
        <v>140</v>
      </c>
      <c r="AM84" s="44"/>
      <c r="AN84" s="45"/>
      <c r="AO84" s="45" t="s">
        <v>240</v>
      </c>
      <c r="AP84" s="44">
        <v>40</v>
      </c>
      <c r="AQ84" s="41" t="s">
        <v>83</v>
      </c>
    </row>
    <row r="85" spans="1:61" ht="16.5">
      <c r="A85" s="37">
        <v>158</v>
      </c>
      <c r="B85" s="44"/>
      <c r="C85" s="74" t="s">
        <v>238</v>
      </c>
      <c r="D85" s="86">
        <f>IFERROR(VLOOKUP(C85, $C$2:D84, 2, FALSE), MAX($D$2:D84)+1)</f>
        <v>16</v>
      </c>
      <c r="E85" s="44">
        <v>89</v>
      </c>
      <c r="F85" s="44">
        <v>6</v>
      </c>
      <c r="G85" s="44">
        <v>0</v>
      </c>
      <c r="H85" s="44">
        <v>0</v>
      </c>
      <c r="I85" s="44">
        <v>4</v>
      </c>
      <c r="J85" s="44">
        <v>0</v>
      </c>
      <c r="K85" s="44">
        <v>0.5</v>
      </c>
      <c r="L85" s="44">
        <v>0</v>
      </c>
      <c r="M85" s="44">
        <v>0</v>
      </c>
      <c r="N85" s="44">
        <v>0</v>
      </c>
      <c r="O85" s="44" t="s">
        <v>81</v>
      </c>
      <c r="P85" s="44">
        <v>2</v>
      </c>
      <c r="Q85" s="44" t="s">
        <v>81</v>
      </c>
      <c r="R85" s="44" t="s">
        <v>81</v>
      </c>
      <c r="S85" s="44" t="s">
        <v>81</v>
      </c>
      <c r="T85" s="44" t="s">
        <v>81</v>
      </c>
      <c r="U85" s="44" t="s">
        <v>81</v>
      </c>
      <c r="V85" s="44" t="s">
        <v>81</v>
      </c>
      <c r="W85" s="44" t="s">
        <v>81</v>
      </c>
      <c r="X85" s="44" t="s">
        <v>81</v>
      </c>
      <c r="Y85" s="44" t="s">
        <v>81</v>
      </c>
      <c r="Z85" s="44"/>
      <c r="AA85" s="44"/>
      <c r="AB85" s="44">
        <v>1027</v>
      </c>
      <c r="AC85" s="44">
        <v>995</v>
      </c>
      <c r="AD85" s="44">
        <v>18</v>
      </c>
      <c r="AE85" s="44"/>
      <c r="AF85" s="44"/>
      <c r="AG85" s="44"/>
      <c r="AH85" s="44"/>
      <c r="AI85" s="44"/>
      <c r="AJ85" s="44"/>
      <c r="AK85" s="44"/>
      <c r="AL85" s="44">
        <v>55</v>
      </c>
      <c r="AM85" s="44"/>
      <c r="AN85" s="45"/>
      <c r="AO85" s="45" t="s">
        <v>240</v>
      </c>
      <c r="AP85" s="44">
        <v>40</v>
      </c>
      <c r="AQ85" s="41" t="s">
        <v>83</v>
      </c>
    </row>
    <row r="86" spans="1:61" ht="16.5">
      <c r="A86" s="37">
        <v>162</v>
      </c>
      <c r="B86" s="44"/>
      <c r="C86" s="74" t="s">
        <v>238</v>
      </c>
      <c r="D86" s="86">
        <f>IFERROR(VLOOKUP(C86, $C$2:D85, 2, FALSE), MAX($D$2:D85)+1)</f>
        <v>16</v>
      </c>
      <c r="E86" s="44">
        <v>89</v>
      </c>
      <c r="F86" s="44">
        <v>6</v>
      </c>
      <c r="G86" s="44">
        <v>0</v>
      </c>
      <c r="H86" s="44">
        <v>0</v>
      </c>
      <c r="I86" s="44">
        <v>4</v>
      </c>
      <c r="J86" s="44">
        <v>0</v>
      </c>
      <c r="K86" s="44">
        <v>0.5</v>
      </c>
      <c r="L86" s="44">
        <v>0</v>
      </c>
      <c r="M86" s="44">
        <v>0</v>
      </c>
      <c r="N86" s="44">
        <v>0</v>
      </c>
      <c r="O86" s="44" t="s">
        <v>81</v>
      </c>
      <c r="P86" s="44">
        <v>2</v>
      </c>
      <c r="Q86" s="44" t="s">
        <v>81</v>
      </c>
      <c r="R86" s="44" t="s">
        <v>81</v>
      </c>
      <c r="S86" s="44" t="s">
        <v>81</v>
      </c>
      <c r="T86" s="44">
        <v>900</v>
      </c>
      <c r="U86" s="44">
        <v>1</v>
      </c>
      <c r="V86" s="44">
        <v>2</v>
      </c>
      <c r="W86" s="44">
        <v>0</v>
      </c>
      <c r="X86" s="44">
        <v>0</v>
      </c>
      <c r="Y86" s="44">
        <v>0</v>
      </c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>
        <v>100</v>
      </c>
      <c r="AM86" s="44"/>
      <c r="AN86" s="45"/>
      <c r="AO86" s="45" t="s">
        <v>240</v>
      </c>
      <c r="AP86" s="44">
        <v>40</v>
      </c>
      <c r="AQ86" s="41" t="s">
        <v>83</v>
      </c>
    </row>
    <row r="87" spans="1:61" ht="16.5">
      <c r="A87" s="37">
        <v>78</v>
      </c>
      <c r="B87" s="44"/>
      <c r="C87" s="74" t="s">
        <v>276</v>
      </c>
      <c r="D87" s="86">
        <f>IFERROR(VLOOKUP(C87, $C$2:D86, 2, FALSE), MAX($D$2:D86)+1)</f>
        <v>17</v>
      </c>
      <c r="E87" s="44">
        <v>84</v>
      </c>
      <c r="F87" s="44">
        <v>0</v>
      </c>
      <c r="G87" s="44">
        <v>0</v>
      </c>
      <c r="H87" s="44">
        <v>15</v>
      </c>
      <c r="I87" s="44">
        <v>0</v>
      </c>
      <c r="J87" s="44">
        <v>0</v>
      </c>
      <c r="K87" s="44">
        <v>0</v>
      </c>
      <c r="L87" s="44">
        <v>0</v>
      </c>
      <c r="M87" s="44">
        <v>1</v>
      </c>
      <c r="N87" s="44">
        <v>0</v>
      </c>
      <c r="O87" s="44" t="s">
        <v>81</v>
      </c>
      <c r="P87" s="44">
        <v>2</v>
      </c>
      <c r="Q87" s="44" t="s">
        <v>81</v>
      </c>
      <c r="R87" s="44" t="s">
        <v>81</v>
      </c>
      <c r="S87" s="44" t="s">
        <v>81</v>
      </c>
      <c r="T87" s="44">
        <v>900</v>
      </c>
      <c r="U87" s="44">
        <v>1</v>
      </c>
      <c r="V87" s="44" t="s">
        <v>81</v>
      </c>
      <c r="W87" s="44">
        <v>0</v>
      </c>
      <c r="X87" s="44">
        <v>0</v>
      </c>
      <c r="Y87" s="44">
        <v>0</v>
      </c>
      <c r="Z87" s="44"/>
      <c r="AA87" s="44"/>
      <c r="AB87" s="44"/>
      <c r="AC87" s="44">
        <v>845</v>
      </c>
      <c r="AD87" s="44"/>
      <c r="AE87" s="44"/>
      <c r="AF87" s="44"/>
      <c r="AG87" s="44"/>
      <c r="AH87" s="44"/>
      <c r="AI87" s="44"/>
      <c r="AJ87" s="44"/>
      <c r="AK87" s="44"/>
      <c r="AL87" s="44">
        <v>64</v>
      </c>
      <c r="AM87" s="44"/>
      <c r="AN87" s="45"/>
      <c r="AO87" s="45" t="s">
        <v>131</v>
      </c>
      <c r="AP87" s="44">
        <v>16</v>
      </c>
      <c r="AQ87" s="41" t="s">
        <v>83</v>
      </c>
    </row>
    <row r="88" spans="1:61" ht="16.5">
      <c r="A88" s="37">
        <v>83</v>
      </c>
      <c r="B88" s="44"/>
      <c r="C88" s="74" t="s">
        <v>241</v>
      </c>
      <c r="D88" s="86">
        <f>IFERROR(VLOOKUP(C88, $C$2:D87, 2, FALSE), MAX($D$2:D87)+1)</f>
        <v>18</v>
      </c>
      <c r="E88" s="44">
        <v>86.19</v>
      </c>
      <c r="F88" s="44">
        <v>4.7</v>
      </c>
      <c r="G88" s="44">
        <v>0</v>
      </c>
      <c r="H88" s="44">
        <v>6.26</v>
      </c>
      <c r="I88" s="44">
        <v>0</v>
      </c>
      <c r="J88" s="44">
        <v>0</v>
      </c>
      <c r="K88" s="44">
        <v>0</v>
      </c>
      <c r="L88" s="44">
        <v>2.85</v>
      </c>
      <c r="M88" s="44">
        <v>0</v>
      </c>
      <c r="N88" s="44">
        <v>0</v>
      </c>
      <c r="O88" s="44" t="s">
        <v>81</v>
      </c>
      <c r="P88" s="44" t="s">
        <v>81</v>
      </c>
      <c r="Q88" s="44" t="s">
        <v>81</v>
      </c>
      <c r="R88" s="44" t="s">
        <v>81</v>
      </c>
      <c r="S88" s="44" t="s">
        <v>81</v>
      </c>
      <c r="T88" s="44">
        <v>890</v>
      </c>
      <c r="U88" s="44">
        <v>0.5</v>
      </c>
      <c r="V88" s="44">
        <v>1</v>
      </c>
      <c r="W88" s="44">
        <v>0</v>
      </c>
      <c r="X88" s="44">
        <v>0</v>
      </c>
      <c r="Y88" s="44">
        <v>0</v>
      </c>
      <c r="Z88" s="44"/>
      <c r="AA88" s="44"/>
      <c r="AB88" s="44">
        <v>1145.4000000000001</v>
      </c>
      <c r="AC88" s="44">
        <v>343</v>
      </c>
      <c r="AD88" s="44">
        <v>20.5</v>
      </c>
      <c r="AE88" s="44"/>
      <c r="AF88" s="44"/>
      <c r="AG88" s="44"/>
      <c r="AH88" s="44"/>
      <c r="AI88" s="44"/>
      <c r="AJ88" s="44"/>
      <c r="AK88" s="44">
        <v>10.3</v>
      </c>
      <c r="AL88" s="44"/>
      <c r="AM88" s="44"/>
      <c r="AN88" s="45"/>
      <c r="AO88" s="45" t="s">
        <v>242</v>
      </c>
      <c r="AP88" s="44">
        <v>19</v>
      </c>
      <c r="AQ88" s="41" t="s">
        <v>83</v>
      </c>
    </row>
    <row r="89" spans="1:61" ht="16.5">
      <c r="A89" s="37">
        <v>84</v>
      </c>
      <c r="B89" s="44"/>
      <c r="C89" s="74" t="s">
        <v>241</v>
      </c>
      <c r="D89" s="86">
        <f>IFERROR(VLOOKUP(C89, $C$2:D88, 2, FALSE), MAX($D$2:D88)+1)</f>
        <v>18</v>
      </c>
      <c r="E89" s="44">
        <v>86.19</v>
      </c>
      <c r="F89" s="44">
        <v>4.7</v>
      </c>
      <c r="G89" s="44">
        <v>0</v>
      </c>
      <c r="H89" s="44">
        <v>6.26</v>
      </c>
      <c r="I89" s="44">
        <v>0</v>
      </c>
      <c r="J89" s="44">
        <v>0</v>
      </c>
      <c r="K89" s="44">
        <v>0</v>
      </c>
      <c r="L89" s="44">
        <v>2.85</v>
      </c>
      <c r="M89" s="44">
        <v>0</v>
      </c>
      <c r="N89" s="44">
        <v>0</v>
      </c>
      <c r="O89" s="44" t="s">
        <v>81</v>
      </c>
      <c r="P89" s="44" t="s">
        <v>81</v>
      </c>
      <c r="Q89" s="44" t="s">
        <v>81</v>
      </c>
      <c r="R89" s="44" t="s">
        <v>81</v>
      </c>
      <c r="S89" s="44" t="s">
        <v>81</v>
      </c>
      <c r="T89" s="44">
        <v>780</v>
      </c>
      <c r="U89" s="44">
        <v>0.5</v>
      </c>
      <c r="V89" s="44">
        <v>1</v>
      </c>
      <c r="W89" s="44">
        <v>0</v>
      </c>
      <c r="X89" s="44">
        <v>0</v>
      </c>
      <c r="Y89" s="44">
        <v>0</v>
      </c>
      <c r="Z89" s="44"/>
      <c r="AA89" s="44"/>
      <c r="AB89" s="44">
        <v>1085.7</v>
      </c>
      <c r="AC89" s="44">
        <v>937</v>
      </c>
      <c r="AD89" s="44">
        <v>19.5</v>
      </c>
      <c r="AE89" s="44"/>
      <c r="AF89" s="44"/>
      <c r="AG89" s="44"/>
      <c r="AH89" s="44"/>
      <c r="AI89" s="44"/>
      <c r="AJ89" s="44"/>
      <c r="AK89" s="44">
        <v>17.600000000000001</v>
      </c>
      <c r="AL89" s="44"/>
      <c r="AM89" s="44"/>
      <c r="AN89" s="45"/>
      <c r="AO89" s="45" t="s">
        <v>242</v>
      </c>
      <c r="AP89" s="44">
        <v>19</v>
      </c>
      <c r="AQ89" s="41" t="s">
        <v>83</v>
      </c>
    </row>
    <row r="90" spans="1:61" ht="16.5">
      <c r="A90" s="37">
        <v>85</v>
      </c>
      <c r="B90" s="44"/>
      <c r="C90" s="74" t="s">
        <v>243</v>
      </c>
      <c r="D90" s="86">
        <f>IFERROR(VLOOKUP(C90, $C$2:D89, 2, FALSE), MAX($D$2:D89)+1)</f>
        <v>19</v>
      </c>
      <c r="E90" s="44">
        <v>80.477999999999994</v>
      </c>
      <c r="F90" s="44">
        <v>5.01</v>
      </c>
      <c r="G90" s="44">
        <v>1</v>
      </c>
      <c r="H90" s="44">
        <v>4.97</v>
      </c>
      <c r="I90" s="44">
        <v>4.9800000000000004</v>
      </c>
      <c r="J90" s="44">
        <v>0</v>
      </c>
      <c r="K90" s="44">
        <v>0</v>
      </c>
      <c r="L90" s="44">
        <v>2.99</v>
      </c>
      <c r="M90" s="44">
        <v>0.37</v>
      </c>
      <c r="N90" s="44">
        <v>0</v>
      </c>
      <c r="O90" s="44" t="s">
        <v>81</v>
      </c>
      <c r="P90" s="44">
        <v>2</v>
      </c>
      <c r="Q90" s="44" t="s">
        <v>81</v>
      </c>
      <c r="R90" s="44" t="s">
        <v>81</v>
      </c>
      <c r="S90" s="44" t="s">
        <v>81</v>
      </c>
      <c r="T90" s="44" t="s">
        <v>81</v>
      </c>
      <c r="U90" s="44" t="s">
        <v>81</v>
      </c>
      <c r="V90" s="44" t="s">
        <v>81</v>
      </c>
      <c r="W90" s="44">
        <v>600</v>
      </c>
      <c r="X90" s="44">
        <v>6</v>
      </c>
      <c r="Y90" s="44">
        <v>2</v>
      </c>
      <c r="Z90" s="44"/>
      <c r="AA90" s="44"/>
      <c r="AB90" s="44">
        <v>1274</v>
      </c>
      <c r="AC90" s="44">
        <v>1028</v>
      </c>
      <c r="AD90" s="44">
        <v>4</v>
      </c>
      <c r="AE90" s="44"/>
      <c r="AF90" s="44"/>
      <c r="AG90" s="44"/>
      <c r="AH90" s="44"/>
      <c r="AI90" s="44"/>
      <c r="AJ90" s="44"/>
      <c r="AK90" s="44">
        <v>12.72</v>
      </c>
      <c r="AL90" s="44"/>
      <c r="AM90" s="44"/>
      <c r="AN90" s="45"/>
      <c r="AO90" s="45" t="s">
        <v>244</v>
      </c>
      <c r="AP90" s="44">
        <v>20</v>
      </c>
      <c r="AQ90" s="41" t="s">
        <v>83</v>
      </c>
    </row>
    <row r="91" spans="1:61" ht="16.5">
      <c r="A91" s="37">
        <v>86</v>
      </c>
      <c r="B91" s="44"/>
      <c r="C91" s="74" t="s">
        <v>243</v>
      </c>
      <c r="D91" s="86">
        <f>IFERROR(VLOOKUP(C91, $C$2:D90, 2, FALSE), MAX($D$2:D90)+1)</f>
        <v>19</v>
      </c>
      <c r="E91" s="44">
        <v>80.477999999999994</v>
      </c>
      <c r="F91" s="44">
        <v>5.01</v>
      </c>
      <c r="G91" s="44">
        <v>1</v>
      </c>
      <c r="H91" s="44">
        <v>4.97</v>
      </c>
      <c r="I91" s="44">
        <v>4.9800000000000004</v>
      </c>
      <c r="J91" s="44">
        <v>0</v>
      </c>
      <c r="K91" s="44">
        <v>0</v>
      </c>
      <c r="L91" s="44">
        <v>2.99</v>
      </c>
      <c r="M91" s="44">
        <v>0.37</v>
      </c>
      <c r="N91" s="44">
        <v>0</v>
      </c>
      <c r="O91" s="44" t="s">
        <v>81</v>
      </c>
      <c r="P91" s="44">
        <v>2</v>
      </c>
      <c r="Q91" s="44" t="s">
        <v>81</v>
      </c>
      <c r="R91" s="44" t="s">
        <v>81</v>
      </c>
      <c r="S91" s="44" t="s">
        <v>81</v>
      </c>
      <c r="T91" s="44" t="s">
        <v>81</v>
      </c>
      <c r="U91" s="44" t="s">
        <v>81</v>
      </c>
      <c r="V91" s="44" t="s">
        <v>81</v>
      </c>
      <c r="W91" s="44">
        <v>600</v>
      </c>
      <c r="X91" s="44">
        <v>6</v>
      </c>
      <c r="Y91" s="44">
        <v>2</v>
      </c>
      <c r="Z91" s="44"/>
      <c r="AA91" s="44"/>
      <c r="AB91" s="44">
        <v>1240</v>
      </c>
      <c r="AC91" s="44">
        <v>1175</v>
      </c>
      <c r="AD91" s="44">
        <v>4.5999999999999996</v>
      </c>
      <c r="AE91" s="44"/>
      <c r="AF91" s="44"/>
      <c r="AG91" s="44"/>
      <c r="AH91" s="44"/>
      <c r="AI91" s="44"/>
      <c r="AJ91" s="44"/>
      <c r="AK91" s="44">
        <v>14.83</v>
      </c>
      <c r="AL91" s="44"/>
      <c r="AM91" s="44"/>
      <c r="AN91" s="45"/>
      <c r="AO91" s="45" t="s">
        <v>244</v>
      </c>
      <c r="AP91" s="44">
        <v>20</v>
      </c>
      <c r="AQ91" s="41" t="s">
        <v>83</v>
      </c>
    </row>
    <row r="92" spans="1:61" ht="16.5">
      <c r="A92" s="37">
        <v>87</v>
      </c>
      <c r="B92" s="44"/>
      <c r="C92" s="74" t="s">
        <v>243</v>
      </c>
      <c r="D92" s="86">
        <f>IFERROR(VLOOKUP(C92, $C$2:D91, 2, FALSE), MAX($D$2:D91)+1)</f>
        <v>19</v>
      </c>
      <c r="E92" s="44">
        <v>80.477999999999994</v>
      </c>
      <c r="F92" s="44">
        <v>5.01</v>
      </c>
      <c r="G92" s="44">
        <v>1</v>
      </c>
      <c r="H92" s="44">
        <v>4.97</v>
      </c>
      <c r="I92" s="44">
        <v>4.9800000000000004</v>
      </c>
      <c r="J92" s="44">
        <v>0</v>
      </c>
      <c r="K92" s="44">
        <v>0</v>
      </c>
      <c r="L92" s="44">
        <v>2.99</v>
      </c>
      <c r="M92" s="44">
        <v>0.37</v>
      </c>
      <c r="N92" s="44">
        <v>0</v>
      </c>
      <c r="O92" s="44" t="s">
        <v>81</v>
      </c>
      <c r="P92" s="44">
        <v>2</v>
      </c>
      <c r="Q92" s="44" t="s">
        <v>81</v>
      </c>
      <c r="R92" s="44" t="s">
        <v>81</v>
      </c>
      <c r="S92" s="44" t="s">
        <v>81</v>
      </c>
      <c r="T92" s="44" t="s">
        <v>81</v>
      </c>
      <c r="U92" s="44" t="s">
        <v>81</v>
      </c>
      <c r="V92" s="44" t="s">
        <v>81</v>
      </c>
      <c r="W92" s="44">
        <v>600</v>
      </c>
      <c r="X92" s="44">
        <v>6</v>
      </c>
      <c r="Y92" s="44">
        <v>2</v>
      </c>
      <c r="Z92" s="44"/>
      <c r="AA92" s="44"/>
      <c r="AB92" s="44">
        <v>1194</v>
      </c>
      <c r="AC92" s="44">
        <v>1128</v>
      </c>
      <c r="AD92" s="44">
        <v>7.3</v>
      </c>
      <c r="AE92" s="44"/>
      <c r="AF92" s="44"/>
      <c r="AG92" s="44"/>
      <c r="AH92" s="44"/>
      <c r="AI92" s="44"/>
      <c r="AJ92" s="44"/>
      <c r="AK92" s="44">
        <v>19.36</v>
      </c>
      <c r="AL92" s="44"/>
      <c r="AM92" s="44"/>
      <c r="AN92" s="45"/>
      <c r="AO92" s="45" t="s">
        <v>244</v>
      </c>
      <c r="AP92" s="44">
        <v>20</v>
      </c>
      <c r="AQ92" s="41" t="s">
        <v>83</v>
      </c>
    </row>
    <row r="93" spans="1:61" ht="16.5">
      <c r="A93" s="37">
        <v>124</v>
      </c>
      <c r="B93" s="44"/>
      <c r="C93" s="74" t="s">
        <v>243</v>
      </c>
      <c r="D93" s="86">
        <f>IFERROR(VLOOKUP(C93, $C$2:D92, 2, FALSE), MAX($D$2:D92)+1)</f>
        <v>19</v>
      </c>
      <c r="E93" s="44">
        <v>86.125</v>
      </c>
      <c r="F93" s="44">
        <v>4.8600000000000003</v>
      </c>
      <c r="G93" s="55">
        <v>2.5000000000000001E-2</v>
      </c>
      <c r="H93" s="44">
        <v>1.87</v>
      </c>
      <c r="I93" s="44">
        <v>4.87</v>
      </c>
      <c r="J93" s="44">
        <v>0</v>
      </c>
      <c r="K93" s="44">
        <v>0</v>
      </c>
      <c r="L93" s="44">
        <v>1.3</v>
      </c>
      <c r="M93" s="44">
        <v>0.8</v>
      </c>
      <c r="N93" s="44">
        <v>0</v>
      </c>
      <c r="O93" s="44" t="s">
        <v>81</v>
      </c>
      <c r="P93" s="44" t="s">
        <v>81</v>
      </c>
      <c r="Q93" s="44" t="s">
        <v>81</v>
      </c>
      <c r="R93" s="44" t="s">
        <v>81</v>
      </c>
      <c r="S93" s="44" t="s">
        <v>81</v>
      </c>
      <c r="T93" s="44">
        <v>750</v>
      </c>
      <c r="U93" s="44">
        <v>1</v>
      </c>
      <c r="V93" s="44" t="s">
        <v>81</v>
      </c>
      <c r="W93" s="44">
        <v>0</v>
      </c>
      <c r="X93" s="44">
        <v>0</v>
      </c>
      <c r="Y93" s="44">
        <v>0</v>
      </c>
      <c r="Z93" s="44"/>
      <c r="AA93" s="44"/>
      <c r="AB93" s="44">
        <v>990</v>
      </c>
      <c r="AC93" s="44">
        <v>870</v>
      </c>
      <c r="AD93" s="44">
        <v>17</v>
      </c>
      <c r="AE93" s="44"/>
      <c r="AF93" s="44"/>
      <c r="AG93" s="44"/>
      <c r="AH93" s="44"/>
      <c r="AI93" s="44"/>
      <c r="AJ93" s="44"/>
      <c r="AK93" s="44"/>
      <c r="AL93" s="44">
        <v>23.8</v>
      </c>
      <c r="AM93" s="44"/>
      <c r="AN93" s="45"/>
      <c r="AO93" s="45" t="s">
        <v>245</v>
      </c>
      <c r="AP93" s="44">
        <v>31</v>
      </c>
      <c r="AQ93" s="41" t="s">
        <v>83</v>
      </c>
    </row>
    <row r="94" spans="1:61" ht="16.5">
      <c r="A94" s="37">
        <v>125</v>
      </c>
      <c r="B94" s="44"/>
      <c r="C94" s="74" t="s">
        <v>243</v>
      </c>
      <c r="D94" s="86">
        <f>IFERROR(VLOOKUP(C94, $C$2:D93, 2, FALSE), MAX($D$2:D93)+1)</f>
        <v>19</v>
      </c>
      <c r="E94" s="44">
        <v>86.125</v>
      </c>
      <c r="F94" s="44">
        <v>4.8600000000000003</v>
      </c>
      <c r="G94" s="55">
        <v>2.5000000000000001E-2</v>
      </c>
      <c r="H94" s="44">
        <v>1.87</v>
      </c>
      <c r="I94" s="44">
        <v>4.87</v>
      </c>
      <c r="J94" s="44">
        <v>0</v>
      </c>
      <c r="K94" s="44">
        <v>0</v>
      </c>
      <c r="L94" s="44">
        <v>1.3</v>
      </c>
      <c r="M94" s="44">
        <v>0.8</v>
      </c>
      <c r="N94" s="44">
        <v>0</v>
      </c>
      <c r="O94" s="44" t="s">
        <v>81</v>
      </c>
      <c r="P94" s="44" t="s">
        <v>81</v>
      </c>
      <c r="Q94" s="44" t="s">
        <v>81</v>
      </c>
      <c r="R94" s="44" t="s">
        <v>81</v>
      </c>
      <c r="S94" s="44" t="s">
        <v>81</v>
      </c>
      <c r="T94" s="44">
        <v>750</v>
      </c>
      <c r="U94" s="44">
        <v>1</v>
      </c>
      <c r="V94" s="44" t="s">
        <v>81</v>
      </c>
      <c r="W94" s="44">
        <v>0</v>
      </c>
      <c r="X94" s="44">
        <v>0</v>
      </c>
      <c r="Y94" s="44">
        <v>0</v>
      </c>
      <c r="Z94" s="44"/>
      <c r="AA94" s="44"/>
      <c r="AB94" s="44">
        <v>1050</v>
      </c>
      <c r="AC94" s="44">
        <v>920</v>
      </c>
      <c r="AD94" s="44">
        <v>11</v>
      </c>
      <c r="AE94" s="44"/>
      <c r="AF94" s="44"/>
      <c r="AG94" s="44"/>
      <c r="AH94" s="44"/>
      <c r="AI94" s="44"/>
      <c r="AJ94" s="44"/>
      <c r="AK94" s="44"/>
      <c r="AL94" s="44">
        <v>27.6</v>
      </c>
      <c r="AM94" s="44"/>
      <c r="AN94" s="45"/>
      <c r="AO94" s="45" t="s">
        <v>245</v>
      </c>
      <c r="AP94" s="44">
        <v>31</v>
      </c>
      <c r="AQ94" s="41" t="s">
        <v>83</v>
      </c>
    </row>
    <row r="95" spans="1:61" ht="16.5">
      <c r="A95" s="27">
        <v>11</v>
      </c>
      <c r="B95" s="20" t="s">
        <v>246</v>
      </c>
      <c r="C95" s="74" t="s">
        <v>243</v>
      </c>
      <c r="D95" s="86">
        <f>IFERROR(VLOOKUP(C95, $C$2:D94, 2, FALSE), MAX($D$2:D94)+1)</f>
        <v>19</v>
      </c>
      <c r="E95" s="20">
        <v>77.5</v>
      </c>
      <c r="F95" s="20">
        <v>5.5</v>
      </c>
      <c r="G95" s="20">
        <v>1</v>
      </c>
      <c r="H95" s="20">
        <v>5</v>
      </c>
      <c r="I95" s="20">
        <v>5</v>
      </c>
      <c r="J95" s="20">
        <v>0</v>
      </c>
      <c r="K95" s="20">
        <v>0</v>
      </c>
      <c r="L95" s="20">
        <v>5</v>
      </c>
      <c r="M95" s="20">
        <v>1</v>
      </c>
      <c r="N95" s="20">
        <v>0</v>
      </c>
      <c r="O95" s="20">
        <v>2</v>
      </c>
      <c r="P95" s="20">
        <v>2</v>
      </c>
      <c r="Q95" s="20">
        <v>0</v>
      </c>
      <c r="R95" s="20">
        <v>0</v>
      </c>
      <c r="S95" s="20">
        <v>0</v>
      </c>
      <c r="T95" s="20">
        <v>800</v>
      </c>
      <c r="U95" s="20">
        <v>1</v>
      </c>
      <c r="V95" s="20">
        <v>2</v>
      </c>
      <c r="W95" s="20">
        <v>480</v>
      </c>
      <c r="X95" s="20">
        <v>6</v>
      </c>
      <c r="Y95" s="20">
        <v>2</v>
      </c>
      <c r="Z95" s="20"/>
      <c r="AA95" s="20"/>
      <c r="AB95" s="20">
        <v>1479</v>
      </c>
      <c r="AC95" s="20"/>
      <c r="AD95" s="20">
        <v>4.5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 t="s">
        <v>150</v>
      </c>
      <c r="AO95" s="20"/>
      <c r="AP95" s="20"/>
      <c r="AQ95" s="26" t="s">
        <v>151</v>
      </c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</row>
    <row r="96" spans="1:61" ht="16.5">
      <c r="A96" s="27">
        <v>12</v>
      </c>
      <c r="B96" s="20" t="s">
        <v>246</v>
      </c>
      <c r="C96" s="74" t="s">
        <v>243</v>
      </c>
      <c r="D96" s="86">
        <f>IFERROR(VLOOKUP(C96, $C$2:D95, 2, FALSE), MAX($D$2:D95)+1)</f>
        <v>19</v>
      </c>
      <c r="E96" s="20">
        <v>77.5</v>
      </c>
      <c r="F96" s="20">
        <v>5.5</v>
      </c>
      <c r="G96" s="20">
        <v>1</v>
      </c>
      <c r="H96" s="20">
        <v>5</v>
      </c>
      <c r="I96" s="20">
        <v>5</v>
      </c>
      <c r="J96" s="20">
        <v>0</v>
      </c>
      <c r="K96" s="20">
        <v>0</v>
      </c>
      <c r="L96" s="20">
        <v>5</v>
      </c>
      <c r="M96" s="20">
        <v>1</v>
      </c>
      <c r="N96" s="20">
        <v>0</v>
      </c>
      <c r="O96" s="20">
        <v>2</v>
      </c>
      <c r="P96" s="20">
        <v>2</v>
      </c>
      <c r="Q96" s="20">
        <v>0</v>
      </c>
      <c r="R96" s="20">
        <v>0</v>
      </c>
      <c r="S96" s="20">
        <v>0</v>
      </c>
      <c r="T96" s="20">
        <v>800</v>
      </c>
      <c r="U96" s="20">
        <v>1</v>
      </c>
      <c r="V96" s="20">
        <v>2</v>
      </c>
      <c r="W96" s="20">
        <v>520</v>
      </c>
      <c r="X96" s="20">
        <v>6</v>
      </c>
      <c r="Y96" s="20">
        <v>2</v>
      </c>
      <c r="Z96" s="20"/>
      <c r="AA96" s="20"/>
      <c r="AB96" s="20">
        <v>1435</v>
      </c>
      <c r="AC96" s="20"/>
      <c r="AD96" s="20">
        <v>3.25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 t="s">
        <v>150</v>
      </c>
      <c r="AO96" s="20"/>
      <c r="AP96" s="20"/>
      <c r="AQ96" s="26" t="s">
        <v>151</v>
      </c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</row>
    <row r="97" spans="1:61" ht="16.5">
      <c r="A97" s="27">
        <v>13</v>
      </c>
      <c r="B97" s="20" t="s">
        <v>246</v>
      </c>
      <c r="C97" s="74" t="s">
        <v>243</v>
      </c>
      <c r="D97" s="86">
        <f>IFERROR(VLOOKUP(C97, $C$2:D96, 2, FALSE), MAX($D$2:D96)+1)</f>
        <v>19</v>
      </c>
      <c r="E97" s="20">
        <v>77.5</v>
      </c>
      <c r="F97" s="20">
        <v>5.5</v>
      </c>
      <c r="G97" s="20">
        <v>1</v>
      </c>
      <c r="H97" s="20">
        <v>5</v>
      </c>
      <c r="I97" s="20">
        <v>5</v>
      </c>
      <c r="J97" s="20">
        <v>0</v>
      </c>
      <c r="K97" s="20">
        <v>0</v>
      </c>
      <c r="L97" s="20">
        <v>5</v>
      </c>
      <c r="M97" s="20">
        <v>1</v>
      </c>
      <c r="N97" s="20">
        <v>0</v>
      </c>
      <c r="O97" s="20">
        <v>2</v>
      </c>
      <c r="P97" s="20">
        <v>2</v>
      </c>
      <c r="Q97" s="20">
        <v>0</v>
      </c>
      <c r="R97" s="20">
        <v>0</v>
      </c>
      <c r="S97" s="20">
        <v>0</v>
      </c>
      <c r="T97" s="20">
        <v>860</v>
      </c>
      <c r="U97" s="20">
        <v>1</v>
      </c>
      <c r="V97" s="20">
        <v>2</v>
      </c>
      <c r="W97" s="20">
        <v>520</v>
      </c>
      <c r="X97" s="20">
        <v>6</v>
      </c>
      <c r="Y97" s="20">
        <v>2</v>
      </c>
      <c r="Z97" s="20"/>
      <c r="AA97" s="20"/>
      <c r="AB97" s="20">
        <v>1217.5</v>
      </c>
      <c r="AC97" s="20"/>
      <c r="AD97" s="20">
        <v>7.25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 t="s">
        <v>150</v>
      </c>
      <c r="AO97" s="20"/>
      <c r="AP97" s="20"/>
      <c r="AQ97" s="26" t="s">
        <v>151</v>
      </c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</row>
    <row r="98" spans="1:61" ht="16.5">
      <c r="A98" s="27">
        <v>14</v>
      </c>
      <c r="B98" s="20" t="s">
        <v>246</v>
      </c>
      <c r="C98" s="74" t="s">
        <v>243</v>
      </c>
      <c r="D98" s="86">
        <f>IFERROR(VLOOKUP(C98, $C$2:D97, 2, FALSE), MAX($D$2:D97)+1)</f>
        <v>19</v>
      </c>
      <c r="E98" s="20">
        <v>77.5</v>
      </c>
      <c r="F98" s="20">
        <v>5.5</v>
      </c>
      <c r="G98" s="20">
        <v>1</v>
      </c>
      <c r="H98" s="20">
        <v>5</v>
      </c>
      <c r="I98" s="20">
        <v>5</v>
      </c>
      <c r="J98" s="20">
        <v>0</v>
      </c>
      <c r="K98" s="20">
        <v>0</v>
      </c>
      <c r="L98" s="20">
        <v>5</v>
      </c>
      <c r="M98" s="20">
        <v>1</v>
      </c>
      <c r="N98" s="20">
        <v>0</v>
      </c>
      <c r="O98" s="20">
        <v>2</v>
      </c>
      <c r="P98" s="20">
        <v>2</v>
      </c>
      <c r="Q98" s="20">
        <v>0</v>
      </c>
      <c r="R98" s="20">
        <v>0</v>
      </c>
      <c r="S98" s="20">
        <v>0</v>
      </c>
      <c r="T98" s="20">
        <v>860</v>
      </c>
      <c r="U98" s="20">
        <v>1</v>
      </c>
      <c r="V98" s="20">
        <v>2</v>
      </c>
      <c r="W98" s="20">
        <v>620</v>
      </c>
      <c r="X98" s="20">
        <v>6</v>
      </c>
      <c r="Y98" s="20">
        <v>2</v>
      </c>
      <c r="Z98" s="20"/>
      <c r="AA98" s="20"/>
      <c r="AB98" s="20">
        <v>1254.5</v>
      </c>
      <c r="AC98" s="20"/>
      <c r="AD98" s="20">
        <v>14.5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 t="s">
        <v>150</v>
      </c>
      <c r="AO98" s="20"/>
      <c r="AP98" s="20"/>
      <c r="AQ98" s="26" t="s">
        <v>151</v>
      </c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</row>
    <row r="99" spans="1:61" ht="16.5">
      <c r="A99" s="27">
        <v>15</v>
      </c>
      <c r="B99" s="20" t="s">
        <v>246</v>
      </c>
      <c r="C99" s="74" t="s">
        <v>243</v>
      </c>
      <c r="D99" s="86">
        <f>IFERROR(VLOOKUP(C99, $C$2:D98, 2, FALSE), MAX($D$2:D98)+1)</f>
        <v>19</v>
      </c>
      <c r="E99" s="20">
        <v>77.5</v>
      </c>
      <c r="F99" s="20">
        <v>5.5</v>
      </c>
      <c r="G99" s="20">
        <v>1</v>
      </c>
      <c r="H99" s="20">
        <v>5</v>
      </c>
      <c r="I99" s="20">
        <v>5</v>
      </c>
      <c r="J99" s="20">
        <v>0</v>
      </c>
      <c r="K99" s="20">
        <v>0</v>
      </c>
      <c r="L99" s="20">
        <v>5</v>
      </c>
      <c r="M99" s="20">
        <v>1</v>
      </c>
      <c r="N99" s="20">
        <v>0</v>
      </c>
      <c r="O99" s="20">
        <v>2</v>
      </c>
      <c r="P99" s="20">
        <v>2</v>
      </c>
      <c r="Q99" s="20">
        <v>0</v>
      </c>
      <c r="R99" s="20">
        <v>0</v>
      </c>
      <c r="S99" s="20">
        <v>0</v>
      </c>
      <c r="T99" s="20">
        <v>710</v>
      </c>
      <c r="U99" s="20">
        <v>1</v>
      </c>
      <c r="V99" s="20">
        <v>2</v>
      </c>
      <c r="W99" s="20">
        <v>540</v>
      </c>
      <c r="X99" s="20">
        <v>6</v>
      </c>
      <c r="Y99" s="20">
        <v>2</v>
      </c>
      <c r="Z99" s="20"/>
      <c r="AA99" s="20"/>
      <c r="AB99" s="20">
        <v>1208</v>
      </c>
      <c r="AC99" s="20"/>
      <c r="AD99" s="20">
        <v>12.25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 t="s">
        <v>150</v>
      </c>
      <c r="AO99" s="20"/>
      <c r="AP99" s="20"/>
      <c r="AQ99" s="26" t="s">
        <v>151</v>
      </c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</row>
    <row r="100" spans="1:61" ht="16.5">
      <c r="A100" s="27">
        <v>16</v>
      </c>
      <c r="B100" s="20" t="s">
        <v>246</v>
      </c>
      <c r="C100" s="74" t="s">
        <v>243</v>
      </c>
      <c r="D100" s="86">
        <f>IFERROR(VLOOKUP(C100, $C$2:D99, 2, FALSE), MAX($D$2:D99)+1)</f>
        <v>19</v>
      </c>
      <c r="E100" s="20">
        <v>77.5</v>
      </c>
      <c r="F100" s="20">
        <v>5.5</v>
      </c>
      <c r="G100" s="20">
        <v>1</v>
      </c>
      <c r="H100" s="20">
        <v>5</v>
      </c>
      <c r="I100" s="20">
        <v>5</v>
      </c>
      <c r="J100" s="20">
        <v>0</v>
      </c>
      <c r="K100" s="20">
        <v>0</v>
      </c>
      <c r="L100" s="20">
        <v>5</v>
      </c>
      <c r="M100" s="20">
        <v>1</v>
      </c>
      <c r="N100" s="20">
        <v>0</v>
      </c>
      <c r="O100" s="20">
        <v>2</v>
      </c>
      <c r="P100" s="20">
        <v>2</v>
      </c>
      <c r="Q100" s="20">
        <v>0</v>
      </c>
      <c r="R100" s="20">
        <v>0</v>
      </c>
      <c r="S100" s="20">
        <v>0</v>
      </c>
      <c r="T100" s="20">
        <v>800</v>
      </c>
      <c r="U100" s="20">
        <v>1</v>
      </c>
      <c r="V100" s="20">
        <v>2</v>
      </c>
      <c r="W100" s="20">
        <v>510</v>
      </c>
      <c r="X100" s="20">
        <v>6</v>
      </c>
      <c r="Y100" s="20">
        <v>2</v>
      </c>
      <c r="Z100" s="20"/>
      <c r="AA100" s="20"/>
      <c r="AB100" s="20">
        <v>1454</v>
      </c>
      <c r="AC100" s="20"/>
      <c r="AD100" s="20">
        <v>6.25</v>
      </c>
      <c r="AE100" s="20"/>
      <c r="AF100" s="20"/>
      <c r="AG100" s="20"/>
      <c r="AH100" s="20"/>
      <c r="AI100" s="20"/>
      <c r="AJ100" s="20"/>
      <c r="AK100" s="20"/>
      <c r="AL100" s="20"/>
      <c r="AM100" s="20"/>
      <c r="AN100" s="20" t="s">
        <v>150</v>
      </c>
      <c r="AO100" s="20"/>
      <c r="AP100" s="20"/>
      <c r="AQ100" s="26" t="s">
        <v>151</v>
      </c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</row>
    <row r="101" spans="1:61" ht="16.5">
      <c r="A101" s="37">
        <v>97</v>
      </c>
      <c r="B101" s="44"/>
      <c r="C101" s="74" t="s">
        <v>247</v>
      </c>
      <c r="D101" s="86">
        <f>IFERROR(VLOOKUP(C101, $C$2:D100, 2, FALSE), MAX($D$2:D100)+1)</f>
        <v>20</v>
      </c>
      <c r="E101" s="44">
        <v>82.14</v>
      </c>
      <c r="F101" s="44">
        <v>5.0999999999999996</v>
      </c>
      <c r="G101" s="44">
        <v>1.83</v>
      </c>
      <c r="H101" s="44">
        <v>4.7</v>
      </c>
      <c r="I101" s="44">
        <v>0</v>
      </c>
      <c r="J101" s="44">
        <v>0</v>
      </c>
      <c r="K101" s="44">
        <v>0</v>
      </c>
      <c r="L101" s="44">
        <v>3.21</v>
      </c>
      <c r="M101" s="44">
        <v>0.1</v>
      </c>
      <c r="N101" s="44">
        <v>2.88</v>
      </c>
      <c r="O101" s="44" t="s">
        <v>81</v>
      </c>
      <c r="P101" s="44" t="s">
        <v>81</v>
      </c>
      <c r="Q101" s="44" t="s">
        <v>81</v>
      </c>
      <c r="R101" s="44" t="s">
        <v>81</v>
      </c>
      <c r="S101" s="44" t="s">
        <v>81</v>
      </c>
      <c r="T101" s="44" t="s">
        <v>81</v>
      </c>
      <c r="U101" s="44" t="s">
        <v>81</v>
      </c>
      <c r="V101" s="44" t="s">
        <v>81</v>
      </c>
      <c r="W101" s="44">
        <v>630</v>
      </c>
      <c r="X101" s="44">
        <v>8</v>
      </c>
      <c r="Y101" s="44">
        <v>2</v>
      </c>
      <c r="Z101" s="44"/>
      <c r="AA101" s="44"/>
      <c r="AB101" s="44">
        <v>1120</v>
      </c>
      <c r="AC101" s="44">
        <v>1030</v>
      </c>
      <c r="AD101" s="44">
        <v>7</v>
      </c>
      <c r="AE101" s="44"/>
      <c r="AF101" s="44"/>
      <c r="AG101" s="44"/>
      <c r="AH101" s="44"/>
      <c r="AI101" s="44"/>
      <c r="AJ101" s="44"/>
      <c r="AK101" s="44"/>
      <c r="AL101" s="44"/>
      <c r="AM101" s="44"/>
      <c r="AN101" s="45"/>
      <c r="AO101" s="45" t="s">
        <v>248</v>
      </c>
      <c r="AP101" s="44">
        <v>23</v>
      </c>
      <c r="AQ101" s="41" t="s">
        <v>83</v>
      </c>
    </row>
    <row r="102" spans="1:61" ht="16.5">
      <c r="A102" s="37">
        <v>142</v>
      </c>
      <c r="B102" s="44"/>
      <c r="C102" s="74" t="s">
        <v>247</v>
      </c>
      <c r="D102" s="86">
        <f>IFERROR(VLOOKUP(C102, $C$2:D101, 2, FALSE), MAX($D$2:D101)+1)</f>
        <v>20</v>
      </c>
      <c r="E102" s="44">
        <v>82.656999999999996</v>
      </c>
      <c r="F102" s="44">
        <v>5.0199999999999996</v>
      </c>
      <c r="G102" s="44">
        <v>1.95</v>
      </c>
      <c r="H102" s="44">
        <v>3.88</v>
      </c>
      <c r="I102" s="44">
        <v>0</v>
      </c>
      <c r="J102" s="44">
        <v>0</v>
      </c>
      <c r="K102" s="44">
        <v>0</v>
      </c>
      <c r="L102" s="44">
        <v>3.93</v>
      </c>
      <c r="M102" s="44">
        <v>0.05</v>
      </c>
      <c r="N102" s="44">
        <v>2.37</v>
      </c>
      <c r="O102" s="44" t="s">
        <v>81</v>
      </c>
      <c r="P102" s="44">
        <v>2</v>
      </c>
      <c r="Q102" s="44">
        <v>820</v>
      </c>
      <c r="R102" s="44">
        <v>20</v>
      </c>
      <c r="S102" s="44" t="s">
        <v>81</v>
      </c>
      <c r="T102" s="44">
        <v>820</v>
      </c>
      <c r="U102" s="44">
        <v>4</v>
      </c>
      <c r="V102" s="44">
        <v>1</v>
      </c>
      <c r="W102" s="44">
        <v>630</v>
      </c>
      <c r="X102" s="44">
        <v>8</v>
      </c>
      <c r="Y102" s="44">
        <v>2</v>
      </c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>
        <v>55.33</v>
      </c>
      <c r="AK102" s="44"/>
      <c r="AL102" s="44"/>
      <c r="AM102" s="44"/>
      <c r="AN102" s="45"/>
      <c r="AO102" s="45" t="s">
        <v>249</v>
      </c>
      <c r="AP102" s="44">
        <v>37</v>
      </c>
      <c r="AQ102" s="41" t="s">
        <v>83</v>
      </c>
    </row>
    <row r="103" spans="1:61" ht="16.5">
      <c r="A103" s="37">
        <v>143</v>
      </c>
      <c r="B103" s="44"/>
      <c r="C103" s="74" t="s">
        <v>247</v>
      </c>
      <c r="D103" s="86">
        <f>IFERROR(VLOOKUP(C103, $C$2:D102, 2, FALSE), MAX($D$2:D102)+1)</f>
        <v>20</v>
      </c>
      <c r="E103" s="44">
        <v>82.656999999999996</v>
      </c>
      <c r="F103" s="44">
        <v>5.0199999999999996</v>
      </c>
      <c r="G103" s="44">
        <v>1.95</v>
      </c>
      <c r="H103" s="44">
        <v>3.88</v>
      </c>
      <c r="I103" s="44">
        <v>0</v>
      </c>
      <c r="J103" s="44">
        <v>0</v>
      </c>
      <c r="K103" s="44">
        <v>0</v>
      </c>
      <c r="L103" s="44">
        <v>3.93</v>
      </c>
      <c r="M103" s="44">
        <v>0.05</v>
      </c>
      <c r="N103" s="44">
        <v>2.37</v>
      </c>
      <c r="O103" s="44" t="s">
        <v>81</v>
      </c>
      <c r="P103" s="44">
        <v>2</v>
      </c>
      <c r="Q103" s="44">
        <v>820</v>
      </c>
      <c r="R103" s="44">
        <v>40</v>
      </c>
      <c r="S103" s="44" t="s">
        <v>81</v>
      </c>
      <c r="T103" s="44">
        <v>820</v>
      </c>
      <c r="U103" s="44">
        <v>4</v>
      </c>
      <c r="V103" s="44">
        <v>1</v>
      </c>
      <c r="W103" s="44">
        <v>630</v>
      </c>
      <c r="X103" s="44">
        <v>8</v>
      </c>
      <c r="Y103" s="44">
        <v>2</v>
      </c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>
        <v>42.33</v>
      </c>
      <c r="AK103" s="44"/>
      <c r="AL103" s="44"/>
      <c r="AM103" s="44"/>
      <c r="AN103" s="45"/>
      <c r="AO103" s="45" t="s">
        <v>249</v>
      </c>
      <c r="AP103" s="44">
        <v>37</v>
      </c>
      <c r="AQ103" s="41" t="s">
        <v>83</v>
      </c>
    </row>
    <row r="104" spans="1:61" ht="16.5">
      <c r="A104" s="37">
        <v>144</v>
      </c>
      <c r="B104" s="44"/>
      <c r="C104" s="74" t="s">
        <v>247</v>
      </c>
      <c r="D104" s="86">
        <f>IFERROR(VLOOKUP(C104, $C$2:D103, 2, FALSE), MAX($D$2:D103)+1)</f>
        <v>20</v>
      </c>
      <c r="E104" s="44">
        <v>82.656999999999996</v>
      </c>
      <c r="F104" s="44">
        <v>5.0199999999999996</v>
      </c>
      <c r="G104" s="44">
        <v>1.95</v>
      </c>
      <c r="H104" s="44">
        <v>3.88</v>
      </c>
      <c r="I104" s="44">
        <v>0</v>
      </c>
      <c r="J104" s="44">
        <v>0</v>
      </c>
      <c r="K104" s="44">
        <v>0</v>
      </c>
      <c r="L104" s="44">
        <v>3.93</v>
      </c>
      <c r="M104" s="44">
        <v>0.05</v>
      </c>
      <c r="N104" s="44">
        <v>2.37</v>
      </c>
      <c r="O104" s="44" t="s">
        <v>81</v>
      </c>
      <c r="P104" s="44">
        <v>2</v>
      </c>
      <c r="Q104" s="44">
        <v>820</v>
      </c>
      <c r="R104" s="44">
        <v>60</v>
      </c>
      <c r="S104" s="44" t="s">
        <v>81</v>
      </c>
      <c r="T104" s="44">
        <v>820</v>
      </c>
      <c r="U104" s="44">
        <v>4</v>
      </c>
      <c r="V104" s="44">
        <v>1</v>
      </c>
      <c r="W104" s="44">
        <v>630</v>
      </c>
      <c r="X104" s="44">
        <v>8</v>
      </c>
      <c r="Y104" s="44">
        <v>2</v>
      </c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>
        <v>30.67</v>
      </c>
      <c r="AK104" s="44"/>
      <c r="AL104" s="44"/>
      <c r="AM104" s="44"/>
      <c r="AN104" s="45"/>
      <c r="AO104" s="45" t="s">
        <v>249</v>
      </c>
      <c r="AP104" s="44">
        <v>37</v>
      </c>
      <c r="AQ104" s="41" t="s">
        <v>83</v>
      </c>
    </row>
    <row r="105" spans="1:61" ht="16.5">
      <c r="A105" s="37">
        <v>145</v>
      </c>
      <c r="B105" s="44"/>
      <c r="C105" s="74" t="s">
        <v>247</v>
      </c>
      <c r="D105" s="86">
        <f>IFERROR(VLOOKUP(C105, $C$2:D104, 2, FALSE), MAX($D$2:D104)+1)</f>
        <v>20</v>
      </c>
      <c r="E105" s="44">
        <v>82.594999999999999</v>
      </c>
      <c r="F105" s="44">
        <v>5.22</v>
      </c>
      <c r="G105" s="44">
        <v>2.0499999999999998</v>
      </c>
      <c r="H105" s="44">
        <v>4.12</v>
      </c>
      <c r="I105" s="44">
        <v>0</v>
      </c>
      <c r="J105" s="44">
        <v>0</v>
      </c>
      <c r="K105" s="44">
        <v>0</v>
      </c>
      <c r="L105" s="44">
        <v>3.66</v>
      </c>
      <c r="M105" s="44">
        <v>0.09</v>
      </c>
      <c r="N105" s="44">
        <v>2.15</v>
      </c>
      <c r="O105" s="44" t="s">
        <v>81</v>
      </c>
      <c r="P105" s="44" t="s">
        <v>81</v>
      </c>
      <c r="Q105" s="44" t="s">
        <v>81</v>
      </c>
      <c r="R105" s="44">
        <v>0</v>
      </c>
      <c r="S105" s="44" t="s">
        <v>81</v>
      </c>
      <c r="T105" s="44">
        <v>600</v>
      </c>
      <c r="U105" s="44">
        <v>8</v>
      </c>
      <c r="V105" s="44">
        <v>2</v>
      </c>
      <c r="W105" s="44">
        <v>0</v>
      </c>
      <c r="X105" s="44">
        <v>0</v>
      </c>
      <c r="Y105" s="44">
        <v>0</v>
      </c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5"/>
      <c r="AO105" s="45" t="s">
        <v>250</v>
      </c>
      <c r="AP105" s="44">
        <v>38</v>
      </c>
      <c r="AQ105" s="41" t="s">
        <v>83</v>
      </c>
    </row>
    <row r="106" spans="1:61" s="15" customFormat="1" ht="16.5">
      <c r="A106" s="37">
        <v>146</v>
      </c>
      <c r="B106" s="39"/>
      <c r="C106" s="74" t="s">
        <v>247</v>
      </c>
      <c r="D106" s="86">
        <f>IFERROR(VLOOKUP(C106, $C$2:D105, 2, FALSE), MAX($D$2:D105)+1)</f>
        <v>20</v>
      </c>
      <c r="E106" s="39">
        <v>82.594999999999999</v>
      </c>
      <c r="F106" s="39">
        <v>5.22</v>
      </c>
      <c r="G106" s="39">
        <v>2.0499999999999998</v>
      </c>
      <c r="H106" s="39">
        <v>4.12</v>
      </c>
      <c r="I106" s="39">
        <v>0</v>
      </c>
      <c r="J106" s="39">
        <v>0</v>
      </c>
      <c r="K106" s="39">
        <v>0</v>
      </c>
      <c r="L106" s="39">
        <v>3.66</v>
      </c>
      <c r="M106" s="39">
        <v>0.09</v>
      </c>
      <c r="N106" s="39">
        <v>2.15</v>
      </c>
      <c r="O106" s="39" t="s">
        <v>81</v>
      </c>
      <c r="P106" s="39" t="s">
        <v>81</v>
      </c>
      <c r="Q106" s="39" t="s">
        <v>81</v>
      </c>
      <c r="R106" s="39">
        <v>20</v>
      </c>
      <c r="S106" s="39" t="s">
        <v>81</v>
      </c>
      <c r="T106" s="39">
        <v>601</v>
      </c>
      <c r="U106" s="39">
        <v>8.0166666666666693</v>
      </c>
      <c r="V106" s="39">
        <v>2</v>
      </c>
      <c r="W106" s="39">
        <v>0</v>
      </c>
      <c r="X106" s="39">
        <v>0</v>
      </c>
      <c r="Y106" s="39">
        <v>0</v>
      </c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40"/>
      <c r="AO106" s="40" t="s">
        <v>250</v>
      </c>
      <c r="AP106" s="44">
        <v>38</v>
      </c>
      <c r="AQ106" s="41" t="s">
        <v>83</v>
      </c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s="15" customFormat="1" ht="16.5">
      <c r="A107" s="37">
        <v>147</v>
      </c>
      <c r="B107" s="39"/>
      <c r="C107" s="74" t="s">
        <v>247</v>
      </c>
      <c r="D107" s="86">
        <f>IFERROR(VLOOKUP(C107, $C$2:D106, 2, FALSE), MAX($D$2:D106)+1)</f>
        <v>20</v>
      </c>
      <c r="E107" s="39">
        <v>82.594999999999999</v>
      </c>
      <c r="F107" s="39">
        <v>5.22</v>
      </c>
      <c r="G107" s="39">
        <v>2.0499999999999998</v>
      </c>
      <c r="H107" s="39">
        <v>4.12</v>
      </c>
      <c r="I107" s="39">
        <v>0</v>
      </c>
      <c r="J107" s="39">
        <v>0</v>
      </c>
      <c r="K107" s="39">
        <v>0</v>
      </c>
      <c r="L107" s="39">
        <v>3.66</v>
      </c>
      <c r="M107" s="39">
        <v>0.09</v>
      </c>
      <c r="N107" s="39">
        <v>2.15</v>
      </c>
      <c r="O107" s="39" t="s">
        <v>81</v>
      </c>
      <c r="P107" s="39" t="s">
        <v>81</v>
      </c>
      <c r="Q107" s="39" t="s">
        <v>81</v>
      </c>
      <c r="R107" s="39">
        <v>40</v>
      </c>
      <c r="S107" s="39" t="s">
        <v>81</v>
      </c>
      <c r="T107" s="39">
        <v>602</v>
      </c>
      <c r="U107" s="39">
        <v>8.0333333333333297</v>
      </c>
      <c r="V107" s="39">
        <v>2</v>
      </c>
      <c r="W107" s="39">
        <v>0</v>
      </c>
      <c r="X107" s="39">
        <v>0</v>
      </c>
      <c r="Y107" s="39">
        <v>0</v>
      </c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>
        <v>31.52</v>
      </c>
      <c r="AK107" s="39"/>
      <c r="AL107" s="39"/>
      <c r="AM107" s="39"/>
      <c r="AN107" s="40"/>
      <c r="AO107" s="40" t="s">
        <v>250</v>
      </c>
      <c r="AP107" s="44">
        <v>38</v>
      </c>
      <c r="AQ107" s="41" t="s">
        <v>83</v>
      </c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s="15" customFormat="1" ht="16.5">
      <c r="A108" s="37">
        <v>148</v>
      </c>
      <c r="B108" s="39"/>
      <c r="C108" s="74" t="s">
        <v>247</v>
      </c>
      <c r="D108" s="86">
        <f>IFERROR(VLOOKUP(C108, $C$2:D107, 2, FALSE), MAX($D$2:D107)+1)</f>
        <v>20</v>
      </c>
      <c r="E108" s="39">
        <v>82.594999999999999</v>
      </c>
      <c r="F108" s="39">
        <v>5.22</v>
      </c>
      <c r="G108" s="39">
        <v>2.0499999999999998</v>
      </c>
      <c r="H108" s="39">
        <v>4.12</v>
      </c>
      <c r="I108" s="39">
        <v>0</v>
      </c>
      <c r="J108" s="39">
        <v>0</v>
      </c>
      <c r="K108" s="39">
        <v>0</v>
      </c>
      <c r="L108" s="39">
        <v>3.66</v>
      </c>
      <c r="M108" s="39">
        <v>0.09</v>
      </c>
      <c r="N108" s="39">
        <v>2.15</v>
      </c>
      <c r="O108" s="39" t="s">
        <v>81</v>
      </c>
      <c r="P108" s="39" t="s">
        <v>81</v>
      </c>
      <c r="Q108" s="39" t="s">
        <v>81</v>
      </c>
      <c r="R108" s="39">
        <v>60</v>
      </c>
      <c r="S108" s="39" t="s">
        <v>81</v>
      </c>
      <c r="T108" s="39">
        <v>603</v>
      </c>
      <c r="U108" s="39">
        <v>8.0500000000000007</v>
      </c>
      <c r="V108" s="39">
        <v>2</v>
      </c>
      <c r="W108" s="39">
        <v>0</v>
      </c>
      <c r="X108" s="39">
        <v>0</v>
      </c>
      <c r="Y108" s="39">
        <v>0</v>
      </c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>
        <v>23.58</v>
      </c>
      <c r="AK108" s="39"/>
      <c r="AL108" s="39"/>
      <c r="AM108" s="39"/>
      <c r="AN108" s="40"/>
      <c r="AO108" s="40" t="s">
        <v>250</v>
      </c>
      <c r="AP108" s="44">
        <v>38</v>
      </c>
      <c r="AQ108" s="38" t="s">
        <v>83</v>
      </c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s="15" customFormat="1" ht="16.5">
      <c r="A109" s="37">
        <v>98</v>
      </c>
      <c r="B109" s="39"/>
      <c r="C109" s="74" t="s">
        <v>251</v>
      </c>
      <c r="D109" s="86">
        <f>IFERROR(VLOOKUP(C109, $C$2:D108, 2, FALSE), MAX($D$2:D108)+1)</f>
        <v>21</v>
      </c>
      <c r="E109" s="39">
        <v>88</v>
      </c>
      <c r="F109" s="39">
        <v>6</v>
      </c>
      <c r="G109" s="39">
        <v>2</v>
      </c>
      <c r="H109" s="39">
        <v>1</v>
      </c>
      <c r="I109" s="39">
        <v>0</v>
      </c>
      <c r="J109" s="39">
        <v>0</v>
      </c>
      <c r="K109" s="39">
        <v>3</v>
      </c>
      <c r="L109" s="39">
        <v>0</v>
      </c>
      <c r="M109" s="39">
        <v>0</v>
      </c>
      <c r="N109" s="39">
        <v>0</v>
      </c>
      <c r="O109" s="39" t="s">
        <v>81</v>
      </c>
      <c r="P109" s="39" t="s">
        <v>81</v>
      </c>
      <c r="Q109" s="39" t="s">
        <v>81</v>
      </c>
      <c r="R109" s="39" t="s">
        <v>81</v>
      </c>
      <c r="S109" s="39" t="s">
        <v>81</v>
      </c>
      <c r="T109" s="39" t="s">
        <v>81</v>
      </c>
      <c r="U109" s="39" t="s">
        <v>81</v>
      </c>
      <c r="V109" s="39" t="s">
        <v>81</v>
      </c>
      <c r="W109" s="39" t="s">
        <v>81</v>
      </c>
      <c r="X109" s="39" t="s">
        <v>81</v>
      </c>
      <c r="Y109" s="39" t="s">
        <v>81</v>
      </c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>
        <v>51</v>
      </c>
      <c r="AM109" s="39"/>
      <c r="AN109" s="40"/>
      <c r="AO109" s="40" t="s">
        <v>252</v>
      </c>
      <c r="AP109" s="44">
        <v>24</v>
      </c>
      <c r="AQ109" s="41" t="s">
        <v>83</v>
      </c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s="15" customFormat="1" ht="16.5">
      <c r="A110" s="42">
        <v>99</v>
      </c>
      <c r="B110" s="39"/>
      <c r="C110" s="74" t="s">
        <v>251</v>
      </c>
      <c r="D110" s="86">
        <f>IFERROR(VLOOKUP(C110, $C$2:D109, 2, FALSE), MAX($D$2:D109)+1)</f>
        <v>21</v>
      </c>
      <c r="E110" s="39">
        <v>88</v>
      </c>
      <c r="F110" s="39">
        <v>6</v>
      </c>
      <c r="G110" s="39">
        <v>2</v>
      </c>
      <c r="H110" s="39">
        <v>1</v>
      </c>
      <c r="I110" s="39">
        <v>0</v>
      </c>
      <c r="J110" s="39">
        <v>0</v>
      </c>
      <c r="K110" s="39">
        <v>3</v>
      </c>
      <c r="L110" s="39">
        <v>0</v>
      </c>
      <c r="M110" s="39">
        <v>0</v>
      </c>
      <c r="N110" s="39">
        <v>0</v>
      </c>
      <c r="O110" s="39" t="s">
        <v>81</v>
      </c>
      <c r="P110" s="39" t="s">
        <v>81</v>
      </c>
      <c r="Q110" s="39" t="s">
        <v>81</v>
      </c>
      <c r="R110" s="39" t="s">
        <v>81</v>
      </c>
      <c r="S110" s="39" t="s">
        <v>81</v>
      </c>
      <c r="T110" s="39" t="s">
        <v>81</v>
      </c>
      <c r="U110" s="39" t="s">
        <v>81</v>
      </c>
      <c r="V110" s="39" t="s">
        <v>81</v>
      </c>
      <c r="W110" s="39" t="s">
        <v>81</v>
      </c>
      <c r="X110" s="39" t="s">
        <v>81</v>
      </c>
      <c r="Y110" s="39" t="s">
        <v>81</v>
      </c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>
        <v>50</v>
      </c>
      <c r="AM110" s="39"/>
      <c r="AN110" s="40"/>
      <c r="AO110" s="40" t="s">
        <v>252</v>
      </c>
      <c r="AP110" s="76">
        <v>24</v>
      </c>
      <c r="AQ110" s="41" t="s">
        <v>83</v>
      </c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s="15" customFormat="1" ht="16.5">
      <c r="A111" s="37">
        <v>100</v>
      </c>
      <c r="B111" s="39"/>
      <c r="C111" s="74" t="s">
        <v>251</v>
      </c>
      <c r="D111" s="86">
        <f>IFERROR(VLOOKUP(C111, $C$2:D110, 2, FALSE), MAX($D$2:D110)+1)</f>
        <v>21</v>
      </c>
      <c r="E111" s="39">
        <v>88</v>
      </c>
      <c r="F111" s="39">
        <v>6</v>
      </c>
      <c r="G111" s="39">
        <v>2</v>
      </c>
      <c r="H111" s="39">
        <v>1</v>
      </c>
      <c r="I111" s="39">
        <v>0</v>
      </c>
      <c r="J111" s="39">
        <v>0</v>
      </c>
      <c r="K111" s="39">
        <v>3</v>
      </c>
      <c r="L111" s="39">
        <v>0</v>
      </c>
      <c r="M111" s="39">
        <v>0</v>
      </c>
      <c r="N111" s="39">
        <v>0</v>
      </c>
      <c r="O111" s="39" t="s">
        <v>81</v>
      </c>
      <c r="P111" s="39" t="s">
        <v>81</v>
      </c>
      <c r="Q111" s="39" t="s">
        <v>81</v>
      </c>
      <c r="R111" s="39" t="s">
        <v>81</v>
      </c>
      <c r="S111" s="39" t="s">
        <v>81</v>
      </c>
      <c r="T111" s="39" t="s">
        <v>81</v>
      </c>
      <c r="U111" s="39" t="s">
        <v>81</v>
      </c>
      <c r="V111" s="39" t="s">
        <v>81</v>
      </c>
      <c r="W111" s="39" t="s">
        <v>81</v>
      </c>
      <c r="X111" s="39" t="s">
        <v>81</v>
      </c>
      <c r="Y111" s="39" t="s">
        <v>81</v>
      </c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>
        <v>48</v>
      </c>
      <c r="AM111" s="39"/>
      <c r="AN111" s="40"/>
      <c r="AO111" s="40" t="s">
        <v>252</v>
      </c>
      <c r="AP111" s="44">
        <v>24</v>
      </c>
      <c r="AQ111" s="41" t="s">
        <v>83</v>
      </c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s="15" customFormat="1" ht="16.5">
      <c r="A112" s="37">
        <v>101</v>
      </c>
      <c r="B112" s="39"/>
      <c r="C112" s="74" t="s">
        <v>251</v>
      </c>
      <c r="D112" s="86">
        <f>IFERROR(VLOOKUP(C112, $C$2:D111, 2, FALSE), MAX($D$2:D111)+1)</f>
        <v>21</v>
      </c>
      <c r="E112" s="39">
        <v>88</v>
      </c>
      <c r="F112" s="39">
        <v>6</v>
      </c>
      <c r="G112" s="39">
        <v>2</v>
      </c>
      <c r="H112" s="39">
        <v>1</v>
      </c>
      <c r="I112" s="39">
        <v>0</v>
      </c>
      <c r="J112" s="39">
        <v>0</v>
      </c>
      <c r="K112" s="39">
        <v>3</v>
      </c>
      <c r="L112" s="39">
        <v>0</v>
      </c>
      <c r="M112" s="39">
        <v>0</v>
      </c>
      <c r="N112" s="39">
        <v>0</v>
      </c>
      <c r="O112" s="39" t="s">
        <v>81</v>
      </c>
      <c r="P112" s="39" t="s">
        <v>81</v>
      </c>
      <c r="Q112" s="39" t="s">
        <v>81</v>
      </c>
      <c r="R112" s="39" t="s">
        <v>81</v>
      </c>
      <c r="S112" s="39" t="s">
        <v>81</v>
      </c>
      <c r="T112" s="39" t="s">
        <v>81</v>
      </c>
      <c r="U112" s="39" t="s">
        <v>81</v>
      </c>
      <c r="V112" s="39" t="s">
        <v>81</v>
      </c>
      <c r="W112" s="39" t="s">
        <v>81</v>
      </c>
      <c r="X112" s="39" t="s">
        <v>81</v>
      </c>
      <c r="Y112" s="39" t="s">
        <v>81</v>
      </c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>
        <v>460</v>
      </c>
      <c r="AL112" s="39"/>
      <c r="AM112" s="39"/>
      <c r="AN112" s="40"/>
      <c r="AO112" s="40" t="s">
        <v>252</v>
      </c>
      <c r="AP112" s="44">
        <v>24</v>
      </c>
      <c r="AQ112" s="41" t="s">
        <v>83</v>
      </c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s="15" customFormat="1" ht="16.5">
      <c r="A113" s="37">
        <v>102</v>
      </c>
      <c r="B113" s="39"/>
      <c r="C113" s="74" t="s">
        <v>251</v>
      </c>
      <c r="D113" s="86">
        <f>IFERROR(VLOOKUP(C113, $C$2:D112, 2, FALSE), MAX($D$2:D112)+1)</f>
        <v>21</v>
      </c>
      <c r="E113" s="39">
        <v>88</v>
      </c>
      <c r="F113" s="39">
        <v>6</v>
      </c>
      <c r="G113" s="39">
        <v>2</v>
      </c>
      <c r="H113" s="39">
        <v>1</v>
      </c>
      <c r="I113" s="39">
        <v>0</v>
      </c>
      <c r="J113" s="39">
        <v>0</v>
      </c>
      <c r="K113" s="39">
        <v>3</v>
      </c>
      <c r="L113" s="39">
        <v>0</v>
      </c>
      <c r="M113" s="39">
        <v>0</v>
      </c>
      <c r="N113" s="39">
        <v>0</v>
      </c>
      <c r="O113" s="39" t="s">
        <v>81</v>
      </c>
      <c r="P113" s="39" t="s">
        <v>81</v>
      </c>
      <c r="Q113" s="39" t="s">
        <v>81</v>
      </c>
      <c r="R113" s="39" t="s">
        <v>81</v>
      </c>
      <c r="S113" s="39" t="s">
        <v>81</v>
      </c>
      <c r="T113" s="39" t="s">
        <v>81</v>
      </c>
      <c r="U113" s="39" t="s">
        <v>81</v>
      </c>
      <c r="V113" s="39" t="s">
        <v>81</v>
      </c>
      <c r="W113" s="39" t="s">
        <v>81</v>
      </c>
      <c r="X113" s="39" t="s">
        <v>81</v>
      </c>
      <c r="Y113" s="39" t="s">
        <v>81</v>
      </c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>
        <v>430</v>
      </c>
      <c r="AL113" s="39"/>
      <c r="AM113" s="39"/>
      <c r="AN113" s="40"/>
      <c r="AO113" s="40" t="s">
        <v>252</v>
      </c>
      <c r="AP113" s="44">
        <v>24</v>
      </c>
      <c r="AQ113" s="41" t="s">
        <v>83</v>
      </c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16.5">
      <c r="A114" s="37">
        <v>103</v>
      </c>
      <c r="B114" s="44"/>
      <c r="C114" s="74" t="s">
        <v>251</v>
      </c>
      <c r="D114" s="86">
        <f>IFERROR(VLOOKUP(C114, $C$2:D113, 2, FALSE), MAX($D$2:D113)+1)</f>
        <v>21</v>
      </c>
      <c r="E114" s="44">
        <v>88</v>
      </c>
      <c r="F114" s="44">
        <v>6</v>
      </c>
      <c r="G114" s="44">
        <v>2</v>
      </c>
      <c r="H114" s="44">
        <v>1</v>
      </c>
      <c r="I114" s="44">
        <v>0</v>
      </c>
      <c r="J114" s="44">
        <v>0</v>
      </c>
      <c r="K114" s="44">
        <v>3</v>
      </c>
      <c r="L114" s="44">
        <v>0</v>
      </c>
      <c r="M114" s="44">
        <v>0</v>
      </c>
      <c r="N114" s="44">
        <v>0</v>
      </c>
      <c r="O114" s="44" t="s">
        <v>81</v>
      </c>
      <c r="P114" s="44" t="s">
        <v>81</v>
      </c>
      <c r="Q114" s="44" t="s">
        <v>81</v>
      </c>
      <c r="R114" s="44" t="s">
        <v>81</v>
      </c>
      <c r="S114" s="44" t="s">
        <v>81</v>
      </c>
      <c r="T114" s="44" t="s">
        <v>81</v>
      </c>
      <c r="U114" s="44" t="s">
        <v>81</v>
      </c>
      <c r="V114" s="44" t="s">
        <v>81</v>
      </c>
      <c r="W114" s="44" t="s">
        <v>81</v>
      </c>
      <c r="X114" s="44" t="s">
        <v>81</v>
      </c>
      <c r="Y114" s="44" t="s">
        <v>81</v>
      </c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>
        <v>180</v>
      </c>
      <c r="AL114" s="44"/>
      <c r="AM114" s="44"/>
      <c r="AN114" s="45"/>
      <c r="AO114" s="45" t="s">
        <v>252</v>
      </c>
      <c r="AP114" s="44">
        <v>24</v>
      </c>
      <c r="AQ114" s="41" t="s">
        <v>83</v>
      </c>
    </row>
    <row r="115" spans="1:61" ht="16.5">
      <c r="A115" s="37">
        <v>119</v>
      </c>
      <c r="B115" s="44"/>
      <c r="C115" s="74" t="s">
        <v>251</v>
      </c>
      <c r="D115" s="86">
        <f>IFERROR(VLOOKUP(C115, $C$2:D114, 2, FALSE), MAX($D$2:D114)+1)</f>
        <v>21</v>
      </c>
      <c r="E115" s="44">
        <v>93.388000000000005</v>
      </c>
      <c r="F115" s="44">
        <v>2.61</v>
      </c>
      <c r="G115" s="44">
        <v>3.07</v>
      </c>
      <c r="H115" s="44">
        <v>0.86</v>
      </c>
      <c r="I115" s="44">
        <v>0</v>
      </c>
      <c r="J115" s="44">
        <v>0</v>
      </c>
      <c r="K115" s="44">
        <v>0.02</v>
      </c>
      <c r="L115" s="44">
        <v>0</v>
      </c>
      <c r="M115" s="44">
        <v>0</v>
      </c>
      <c r="N115" s="44">
        <v>0</v>
      </c>
      <c r="O115" s="44" t="s">
        <v>81</v>
      </c>
      <c r="P115" s="44">
        <v>2</v>
      </c>
      <c r="Q115" s="44" t="s">
        <v>81</v>
      </c>
      <c r="R115" s="44" t="s">
        <v>81</v>
      </c>
      <c r="S115" s="44" t="s">
        <v>81</v>
      </c>
      <c r="T115" s="44">
        <v>950</v>
      </c>
      <c r="U115" s="44">
        <v>1</v>
      </c>
      <c r="V115" s="44" t="s">
        <v>81</v>
      </c>
      <c r="W115" s="44">
        <v>0</v>
      </c>
      <c r="X115" s="44">
        <v>0</v>
      </c>
      <c r="Y115" s="44">
        <v>0</v>
      </c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>
        <v>90</v>
      </c>
      <c r="AM115" s="44"/>
      <c r="AN115" s="45"/>
      <c r="AO115" s="45" t="s">
        <v>253</v>
      </c>
      <c r="AP115" s="44">
        <v>30</v>
      </c>
      <c r="AQ115" s="41" t="s">
        <v>83</v>
      </c>
    </row>
    <row r="116" spans="1:61" ht="16.5">
      <c r="A116" s="37">
        <v>120</v>
      </c>
      <c r="B116" s="44"/>
      <c r="C116" s="74" t="s">
        <v>251</v>
      </c>
      <c r="D116" s="86">
        <f>IFERROR(VLOOKUP(C116, $C$2:D115, 2, FALSE), MAX($D$2:D115)+1)</f>
        <v>21</v>
      </c>
      <c r="E116" s="44">
        <v>93.388000000000005</v>
      </c>
      <c r="F116" s="44">
        <v>2.61</v>
      </c>
      <c r="G116" s="44">
        <v>3.07</v>
      </c>
      <c r="H116" s="44">
        <v>0.86</v>
      </c>
      <c r="I116" s="44">
        <v>0</v>
      </c>
      <c r="J116" s="44">
        <v>0</v>
      </c>
      <c r="K116" s="44">
        <v>0.02</v>
      </c>
      <c r="L116" s="44">
        <v>0</v>
      </c>
      <c r="M116" s="44">
        <v>0</v>
      </c>
      <c r="N116" s="44">
        <v>0</v>
      </c>
      <c r="O116" s="44" t="s">
        <v>81</v>
      </c>
      <c r="P116" s="44">
        <v>2</v>
      </c>
      <c r="Q116" s="44" t="s">
        <v>81</v>
      </c>
      <c r="R116" s="44" t="s">
        <v>81</v>
      </c>
      <c r="S116" s="44" t="s">
        <v>81</v>
      </c>
      <c r="T116" s="44">
        <v>950</v>
      </c>
      <c r="U116" s="44">
        <v>1</v>
      </c>
      <c r="V116" s="44" t="s">
        <v>81</v>
      </c>
      <c r="W116" s="44">
        <v>0</v>
      </c>
      <c r="X116" s="44">
        <v>0</v>
      </c>
      <c r="Y116" s="44">
        <v>0</v>
      </c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>
        <v>79</v>
      </c>
      <c r="AM116" s="44"/>
      <c r="AN116" s="45"/>
      <c r="AO116" s="45" t="s">
        <v>253</v>
      </c>
      <c r="AP116" s="44">
        <v>30</v>
      </c>
      <c r="AQ116" s="41" t="s">
        <v>83</v>
      </c>
    </row>
    <row r="117" spans="1:61" ht="16.5">
      <c r="A117" s="37">
        <v>121</v>
      </c>
      <c r="B117" s="44"/>
      <c r="C117" s="74" t="s">
        <v>251</v>
      </c>
      <c r="D117" s="86">
        <f>IFERROR(VLOOKUP(C117, $C$2:D116, 2, FALSE), MAX($D$2:D116)+1)</f>
        <v>21</v>
      </c>
      <c r="E117" s="44">
        <v>93.388000000000005</v>
      </c>
      <c r="F117" s="44">
        <v>2.61</v>
      </c>
      <c r="G117" s="44">
        <v>3.07</v>
      </c>
      <c r="H117" s="44">
        <v>0.86</v>
      </c>
      <c r="I117" s="44">
        <v>0</v>
      </c>
      <c r="J117" s="44">
        <v>0</v>
      </c>
      <c r="K117" s="44">
        <v>0.02</v>
      </c>
      <c r="L117" s="44">
        <v>0</v>
      </c>
      <c r="M117" s="44">
        <v>0</v>
      </c>
      <c r="N117" s="44">
        <v>0</v>
      </c>
      <c r="O117" s="44" t="s">
        <v>81</v>
      </c>
      <c r="P117" s="44">
        <v>2</v>
      </c>
      <c r="Q117" s="44" t="s">
        <v>81</v>
      </c>
      <c r="R117" s="44" t="s">
        <v>81</v>
      </c>
      <c r="S117" s="44" t="s">
        <v>81</v>
      </c>
      <c r="T117" s="44">
        <v>950</v>
      </c>
      <c r="U117" s="44">
        <v>1</v>
      </c>
      <c r="V117" s="44" t="s">
        <v>81</v>
      </c>
      <c r="W117" s="44">
        <v>0</v>
      </c>
      <c r="X117" s="44">
        <v>0</v>
      </c>
      <c r="Y117" s="44">
        <v>0</v>
      </c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>
        <v>80</v>
      </c>
      <c r="AM117" s="44"/>
      <c r="AN117" s="45"/>
      <c r="AO117" s="45" t="s">
        <v>253</v>
      </c>
      <c r="AP117" s="44">
        <v>30</v>
      </c>
      <c r="AQ117" s="41" t="s">
        <v>83</v>
      </c>
    </row>
    <row r="118" spans="1:61" ht="16.5">
      <c r="A118" s="37">
        <v>122</v>
      </c>
      <c r="B118" s="44"/>
      <c r="C118" s="74" t="s">
        <v>251</v>
      </c>
      <c r="D118" s="86">
        <f>IFERROR(VLOOKUP(C118, $C$2:D117, 2, FALSE), MAX($D$2:D117)+1)</f>
        <v>21</v>
      </c>
      <c r="E118" s="44">
        <v>93.388000000000005</v>
      </c>
      <c r="F118" s="44">
        <v>2.61</v>
      </c>
      <c r="G118" s="44">
        <v>3.07</v>
      </c>
      <c r="H118" s="44">
        <v>0.86</v>
      </c>
      <c r="I118" s="44">
        <v>0</v>
      </c>
      <c r="J118" s="44">
        <v>0</v>
      </c>
      <c r="K118" s="44">
        <v>0.02</v>
      </c>
      <c r="L118" s="44">
        <v>0</v>
      </c>
      <c r="M118" s="44">
        <v>0</v>
      </c>
      <c r="N118" s="44">
        <v>0</v>
      </c>
      <c r="O118" s="44" t="s">
        <v>81</v>
      </c>
      <c r="P118" s="44">
        <v>2</v>
      </c>
      <c r="Q118" s="44" t="s">
        <v>81</v>
      </c>
      <c r="R118" s="44" t="s">
        <v>81</v>
      </c>
      <c r="S118" s="44" t="s">
        <v>81</v>
      </c>
      <c r="T118" s="44">
        <v>950</v>
      </c>
      <c r="U118" s="44">
        <v>1</v>
      </c>
      <c r="V118" s="44" t="s">
        <v>81</v>
      </c>
      <c r="W118" s="44">
        <v>0</v>
      </c>
      <c r="X118" s="44">
        <v>0</v>
      </c>
      <c r="Y118" s="44">
        <v>0</v>
      </c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>
        <v>61</v>
      </c>
      <c r="AM118" s="44"/>
      <c r="AN118" s="45"/>
      <c r="AO118" s="45" t="s">
        <v>253</v>
      </c>
      <c r="AP118" s="44">
        <v>30</v>
      </c>
      <c r="AQ118" s="41" t="s">
        <v>83</v>
      </c>
    </row>
    <row r="119" spans="1:61" ht="16.5">
      <c r="A119" s="37">
        <v>123</v>
      </c>
      <c r="B119" s="44"/>
      <c r="C119" s="74" t="s">
        <v>251</v>
      </c>
      <c r="D119" s="86">
        <f>IFERROR(VLOOKUP(C119, $C$2:D118, 2, FALSE), MAX($D$2:D118)+1)</f>
        <v>21</v>
      </c>
      <c r="E119" s="44">
        <v>93.388000000000005</v>
      </c>
      <c r="F119" s="44">
        <v>2.61</v>
      </c>
      <c r="G119" s="44">
        <v>3.07</v>
      </c>
      <c r="H119" s="44">
        <v>0.86</v>
      </c>
      <c r="I119" s="44">
        <v>0</v>
      </c>
      <c r="J119" s="44">
        <v>0</v>
      </c>
      <c r="K119" s="44">
        <v>0.02</v>
      </c>
      <c r="L119" s="44">
        <v>0</v>
      </c>
      <c r="M119" s="44">
        <v>0</v>
      </c>
      <c r="N119" s="44">
        <v>0</v>
      </c>
      <c r="O119" s="44" t="s">
        <v>81</v>
      </c>
      <c r="P119" s="44">
        <v>2</v>
      </c>
      <c r="Q119" s="44" t="s">
        <v>81</v>
      </c>
      <c r="R119" s="44" t="s">
        <v>81</v>
      </c>
      <c r="S119" s="44" t="s">
        <v>81</v>
      </c>
      <c r="T119" s="44">
        <v>950</v>
      </c>
      <c r="U119" s="44">
        <v>1</v>
      </c>
      <c r="V119" s="44" t="s">
        <v>81</v>
      </c>
      <c r="W119" s="44">
        <v>0</v>
      </c>
      <c r="X119" s="44">
        <v>0</v>
      </c>
      <c r="Y119" s="44">
        <v>0</v>
      </c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>
        <v>29</v>
      </c>
      <c r="AM119" s="44"/>
      <c r="AN119" s="45"/>
      <c r="AO119" s="45" t="s">
        <v>253</v>
      </c>
      <c r="AP119" s="44">
        <v>30</v>
      </c>
      <c r="AQ119" s="41" t="s">
        <v>83</v>
      </c>
    </row>
    <row r="120" spans="1:61" s="25" customFormat="1" ht="16.5">
      <c r="A120" s="37">
        <v>113</v>
      </c>
      <c r="B120" s="39"/>
      <c r="C120" s="74" t="s">
        <v>255</v>
      </c>
      <c r="D120" s="86">
        <f>IFERROR(VLOOKUP(C120, $C$2:D119, 2, FALSE), MAX($D$2:D119)+1)</f>
        <v>22</v>
      </c>
      <c r="E120" s="39">
        <v>98</v>
      </c>
      <c r="F120" s="39">
        <v>0.5</v>
      </c>
      <c r="G120" s="39">
        <v>1</v>
      </c>
      <c r="H120" s="39">
        <v>0.5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 t="s">
        <v>81</v>
      </c>
      <c r="P120" s="39" t="s">
        <v>81</v>
      </c>
      <c r="Q120" s="39" t="s">
        <v>81</v>
      </c>
      <c r="R120" s="39" t="s">
        <v>81</v>
      </c>
      <c r="S120" s="39" t="s">
        <v>81</v>
      </c>
      <c r="T120" s="39">
        <v>960</v>
      </c>
      <c r="U120" s="39">
        <v>1</v>
      </c>
      <c r="V120" s="39">
        <v>3</v>
      </c>
      <c r="W120" s="39">
        <v>0</v>
      </c>
      <c r="X120" s="39">
        <v>0</v>
      </c>
      <c r="Y120" s="39">
        <v>0</v>
      </c>
      <c r="Z120" s="39"/>
      <c r="AA120" s="39"/>
      <c r="AB120" s="39">
        <v>604</v>
      </c>
      <c r="AC120" s="39">
        <v>501</v>
      </c>
      <c r="AD120" s="39">
        <v>12</v>
      </c>
      <c r="AE120" s="39">
        <v>22</v>
      </c>
      <c r="AF120" s="39"/>
      <c r="AG120" s="39"/>
      <c r="AH120" s="39"/>
      <c r="AI120" s="39"/>
      <c r="AJ120" s="39"/>
      <c r="AK120" s="39"/>
      <c r="AL120" s="39">
        <v>100</v>
      </c>
      <c r="AM120" s="39"/>
      <c r="AN120" s="40"/>
      <c r="AO120" s="40" t="s">
        <v>256</v>
      </c>
      <c r="AP120" s="44">
        <v>28</v>
      </c>
      <c r="AQ120" s="41" t="s">
        <v>83</v>
      </c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s="25" customFormat="1" ht="16.5">
      <c r="A121" s="37">
        <v>114</v>
      </c>
      <c r="B121" s="39"/>
      <c r="C121" s="74" t="s">
        <v>255</v>
      </c>
      <c r="D121" s="86">
        <f>IFERROR(VLOOKUP(C121, $C$2:D120, 2, FALSE), MAX($D$2:D120)+1)</f>
        <v>22</v>
      </c>
      <c r="E121" s="39">
        <v>98</v>
      </c>
      <c r="F121" s="39">
        <v>0.5</v>
      </c>
      <c r="G121" s="39">
        <v>1</v>
      </c>
      <c r="H121" s="39">
        <v>0.5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 t="s">
        <v>81</v>
      </c>
      <c r="P121" s="39" t="s">
        <v>81</v>
      </c>
      <c r="Q121" s="39" t="s">
        <v>81</v>
      </c>
      <c r="R121" s="39" t="s">
        <v>81</v>
      </c>
      <c r="S121" s="39" t="s">
        <v>81</v>
      </c>
      <c r="T121" s="39">
        <v>920</v>
      </c>
      <c r="U121" s="39">
        <v>1</v>
      </c>
      <c r="V121" s="39">
        <v>3</v>
      </c>
      <c r="W121" s="39">
        <v>0</v>
      </c>
      <c r="X121" s="39">
        <v>0</v>
      </c>
      <c r="Y121" s="39">
        <v>0</v>
      </c>
      <c r="Z121" s="39"/>
      <c r="AA121" s="39"/>
      <c r="AB121" s="39">
        <v>652</v>
      </c>
      <c r="AC121" s="39">
        <v>572</v>
      </c>
      <c r="AD121" s="39">
        <v>15</v>
      </c>
      <c r="AE121" s="39">
        <v>44</v>
      </c>
      <c r="AF121" s="39"/>
      <c r="AG121" s="39"/>
      <c r="AH121" s="39"/>
      <c r="AI121" s="39"/>
      <c r="AJ121" s="39"/>
      <c r="AK121" s="39"/>
      <c r="AL121" s="39">
        <v>88</v>
      </c>
      <c r="AM121" s="39"/>
      <c r="AN121" s="40"/>
      <c r="AO121" s="40" t="s">
        <v>256</v>
      </c>
      <c r="AP121" s="44">
        <v>28</v>
      </c>
      <c r="AQ121" s="41" t="s">
        <v>83</v>
      </c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s="25" customFormat="1" ht="16.5">
      <c r="A122" s="42">
        <v>115</v>
      </c>
      <c r="B122" s="39"/>
      <c r="C122" s="74" t="s">
        <v>255</v>
      </c>
      <c r="D122" s="86">
        <f>IFERROR(VLOOKUP(C122, $C$2:D121, 2, FALSE), MAX($D$2:D121)+1)</f>
        <v>22</v>
      </c>
      <c r="E122" s="39">
        <v>98</v>
      </c>
      <c r="F122" s="39">
        <v>0.5</v>
      </c>
      <c r="G122" s="39">
        <v>1</v>
      </c>
      <c r="H122" s="39">
        <v>0.5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 t="s">
        <v>81</v>
      </c>
      <c r="P122" s="39" t="s">
        <v>81</v>
      </c>
      <c r="Q122" s="39" t="s">
        <v>81</v>
      </c>
      <c r="R122" s="39" t="s">
        <v>81</v>
      </c>
      <c r="S122" s="39" t="s">
        <v>81</v>
      </c>
      <c r="T122" s="39">
        <v>920</v>
      </c>
      <c r="U122" s="39">
        <v>1</v>
      </c>
      <c r="V122" s="39">
        <v>2</v>
      </c>
      <c r="W122" s="39">
        <v>0</v>
      </c>
      <c r="X122" s="39">
        <v>0</v>
      </c>
      <c r="Y122" s="39">
        <v>0</v>
      </c>
      <c r="Z122" s="39"/>
      <c r="AA122" s="39"/>
      <c r="AB122" s="39">
        <v>659</v>
      </c>
      <c r="AC122" s="39">
        <v>587</v>
      </c>
      <c r="AD122" s="39">
        <v>20</v>
      </c>
      <c r="AE122" s="39">
        <v>55</v>
      </c>
      <c r="AF122" s="39"/>
      <c r="AG122" s="39"/>
      <c r="AH122" s="39"/>
      <c r="AI122" s="39"/>
      <c r="AJ122" s="39"/>
      <c r="AK122" s="39"/>
      <c r="AL122" s="39">
        <v>118</v>
      </c>
      <c r="AM122" s="39"/>
      <c r="AN122" s="40"/>
      <c r="AO122" s="40" t="s">
        <v>256</v>
      </c>
      <c r="AP122" s="76">
        <v>28</v>
      </c>
      <c r="AQ122" s="38" t="s">
        <v>83</v>
      </c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</row>
    <row r="123" spans="1:61" s="25" customFormat="1" ht="16.5">
      <c r="A123" s="37">
        <v>132</v>
      </c>
      <c r="B123" s="39"/>
      <c r="C123" s="74" t="s">
        <v>255</v>
      </c>
      <c r="D123" s="86">
        <f>IFERROR(VLOOKUP(C123, $C$2:D122, 2, FALSE), MAX($D$2:D122)+1)</f>
        <v>22</v>
      </c>
      <c r="E123" s="39">
        <v>88.05</v>
      </c>
      <c r="F123" s="39">
        <v>6.5</v>
      </c>
      <c r="G123" s="39">
        <v>1.9</v>
      </c>
      <c r="H123" s="39">
        <v>3.3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 t="s">
        <v>81</v>
      </c>
      <c r="P123" s="39" t="s">
        <v>81</v>
      </c>
      <c r="Q123" s="39" t="s">
        <v>81</v>
      </c>
      <c r="R123" s="39" t="s">
        <v>81</v>
      </c>
      <c r="S123" s="39" t="s">
        <v>81</v>
      </c>
      <c r="T123" s="39" t="s">
        <v>81</v>
      </c>
      <c r="U123" s="39" t="s">
        <v>81</v>
      </c>
      <c r="V123" s="39" t="s">
        <v>81</v>
      </c>
      <c r="W123" s="39" t="s">
        <v>81</v>
      </c>
      <c r="X123" s="39" t="s">
        <v>81</v>
      </c>
      <c r="Y123" s="39" t="s">
        <v>81</v>
      </c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>
        <v>26.5</v>
      </c>
      <c r="AL123" s="39"/>
      <c r="AM123" s="39"/>
      <c r="AN123" s="40"/>
      <c r="AO123" s="40" t="s">
        <v>257</v>
      </c>
      <c r="AP123" s="44">
        <v>34</v>
      </c>
      <c r="AQ123" s="41" t="s">
        <v>83</v>
      </c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</row>
    <row r="124" spans="1:61" s="15" customFormat="1" ht="16.5">
      <c r="A124" s="42">
        <v>133</v>
      </c>
      <c r="B124" s="39"/>
      <c r="C124" s="74" t="s">
        <v>255</v>
      </c>
      <c r="D124" s="86">
        <f>IFERROR(VLOOKUP(C124, $C$2:D123, 2, FALSE), MAX($D$2:D123)+1)</f>
        <v>22</v>
      </c>
      <c r="E124" s="39">
        <v>88.05</v>
      </c>
      <c r="F124" s="39">
        <v>6.5</v>
      </c>
      <c r="G124" s="39">
        <v>1.9</v>
      </c>
      <c r="H124" s="39">
        <v>3.3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 t="s">
        <v>81</v>
      </c>
      <c r="P124" s="39" t="s">
        <v>81</v>
      </c>
      <c r="Q124" s="39" t="s">
        <v>81</v>
      </c>
      <c r="R124" s="39" t="s">
        <v>81</v>
      </c>
      <c r="S124" s="39" t="s">
        <v>81</v>
      </c>
      <c r="T124" s="39">
        <v>530</v>
      </c>
      <c r="U124" s="39">
        <v>6</v>
      </c>
      <c r="V124" s="39">
        <v>2</v>
      </c>
      <c r="W124" s="39">
        <v>0</v>
      </c>
      <c r="X124" s="39">
        <v>0</v>
      </c>
      <c r="Y124" s="39">
        <v>0</v>
      </c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>
        <v>19</v>
      </c>
      <c r="AL124" s="39"/>
      <c r="AM124" s="39"/>
      <c r="AN124" s="40"/>
      <c r="AO124" s="40" t="s">
        <v>257</v>
      </c>
      <c r="AP124" s="76">
        <v>34</v>
      </c>
      <c r="AQ124" s="38" t="s">
        <v>83</v>
      </c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 spans="1:61" s="15" customFormat="1" ht="16.5">
      <c r="A125" s="37">
        <v>134</v>
      </c>
      <c r="B125" s="39"/>
      <c r="C125" s="74" t="s">
        <v>255</v>
      </c>
      <c r="D125" s="86">
        <f>IFERROR(VLOOKUP(C125, $C$2:D124, 2, FALSE), MAX($D$2:D124)+1)</f>
        <v>22</v>
      </c>
      <c r="E125" s="39">
        <v>88.05</v>
      </c>
      <c r="F125" s="39">
        <v>6.5</v>
      </c>
      <c r="G125" s="39">
        <v>1.9</v>
      </c>
      <c r="H125" s="39">
        <v>3.3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 t="s">
        <v>81</v>
      </c>
      <c r="P125" s="39" t="s">
        <v>81</v>
      </c>
      <c r="Q125" s="39" t="s">
        <v>81</v>
      </c>
      <c r="R125" s="39" t="s">
        <v>81</v>
      </c>
      <c r="S125" s="39" t="s">
        <v>81</v>
      </c>
      <c r="T125" s="39">
        <v>700</v>
      </c>
      <c r="U125" s="39">
        <v>6</v>
      </c>
      <c r="V125" s="39">
        <v>2</v>
      </c>
      <c r="W125" s="39">
        <v>0</v>
      </c>
      <c r="X125" s="39">
        <v>0</v>
      </c>
      <c r="Y125" s="39">
        <v>0</v>
      </c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>
        <v>7</v>
      </c>
      <c r="AL125" s="39"/>
      <c r="AM125" s="39"/>
      <c r="AN125" s="40"/>
      <c r="AO125" s="40" t="s">
        <v>257</v>
      </c>
      <c r="AP125" s="44">
        <v>34</v>
      </c>
      <c r="AQ125" s="41" t="s">
        <v>83</v>
      </c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 spans="1:61" s="15" customFormat="1" ht="16.5">
      <c r="A126" s="37">
        <v>135</v>
      </c>
      <c r="B126" s="39"/>
      <c r="C126" s="74" t="s">
        <v>255</v>
      </c>
      <c r="D126" s="86">
        <f>IFERROR(VLOOKUP(C126, $C$2:D125, 2, FALSE), MAX($D$2:D125)+1)</f>
        <v>22</v>
      </c>
      <c r="E126" s="39">
        <v>88.05</v>
      </c>
      <c r="F126" s="39">
        <v>6.5</v>
      </c>
      <c r="G126" s="39">
        <v>1.9</v>
      </c>
      <c r="H126" s="39">
        <v>3.3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 t="s">
        <v>81</v>
      </c>
      <c r="P126" s="39" t="s">
        <v>81</v>
      </c>
      <c r="Q126" s="39" t="s">
        <v>81</v>
      </c>
      <c r="R126" s="39" t="s">
        <v>81</v>
      </c>
      <c r="S126" s="39" t="s">
        <v>81</v>
      </c>
      <c r="T126" s="39">
        <v>960</v>
      </c>
      <c r="U126" s="39">
        <v>1</v>
      </c>
      <c r="V126" s="39">
        <v>2</v>
      </c>
      <c r="W126" s="39">
        <v>0</v>
      </c>
      <c r="X126" s="39">
        <v>0</v>
      </c>
      <c r="Y126" s="39">
        <v>0</v>
      </c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>
        <v>24.5</v>
      </c>
      <c r="AL126" s="39"/>
      <c r="AM126" s="39"/>
      <c r="AN126" s="40"/>
      <c r="AO126" s="40" t="s">
        <v>257</v>
      </c>
      <c r="AP126" s="44">
        <v>34</v>
      </c>
      <c r="AQ126" s="41" t="s">
        <v>83</v>
      </c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 spans="1:61" s="15" customFormat="1" ht="16.5">
      <c r="A127" s="42">
        <v>136</v>
      </c>
      <c r="B127" s="39"/>
      <c r="C127" s="74" t="s">
        <v>255</v>
      </c>
      <c r="D127" s="86">
        <f>IFERROR(VLOOKUP(C127, $C$2:D126, 2, FALSE), MAX($D$2:D126)+1)</f>
        <v>22</v>
      </c>
      <c r="E127" s="39">
        <v>88.05</v>
      </c>
      <c r="F127" s="39">
        <v>6.5</v>
      </c>
      <c r="G127" s="39">
        <v>1.9</v>
      </c>
      <c r="H127" s="39">
        <v>3.3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 t="s">
        <v>81</v>
      </c>
      <c r="P127" s="39" t="s">
        <v>81</v>
      </c>
      <c r="Q127" s="39" t="s">
        <v>81</v>
      </c>
      <c r="R127" s="39" t="s">
        <v>81</v>
      </c>
      <c r="S127" s="39" t="s">
        <v>81</v>
      </c>
      <c r="T127" s="39">
        <v>960</v>
      </c>
      <c r="U127" s="39">
        <v>1</v>
      </c>
      <c r="V127" s="39">
        <v>1</v>
      </c>
      <c r="W127" s="39">
        <v>0</v>
      </c>
      <c r="X127" s="39">
        <v>0</v>
      </c>
      <c r="Y127" s="39">
        <v>0</v>
      </c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>
        <v>9.5</v>
      </c>
      <c r="AL127" s="39"/>
      <c r="AM127" s="39"/>
      <c r="AN127" s="40"/>
      <c r="AO127" s="40" t="s">
        <v>257</v>
      </c>
      <c r="AP127" s="76">
        <v>34</v>
      </c>
      <c r="AQ127" s="41" t="s">
        <v>83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1:61" s="15" customFormat="1" ht="16.5">
      <c r="A128" s="37">
        <v>137</v>
      </c>
      <c r="B128" s="39"/>
      <c r="C128" s="74" t="s">
        <v>255</v>
      </c>
      <c r="D128" s="86">
        <f>IFERROR(VLOOKUP(C128, $C$2:D127, 2, FALSE), MAX($D$2:D127)+1)</f>
        <v>22</v>
      </c>
      <c r="E128" s="39">
        <v>88.05</v>
      </c>
      <c r="F128" s="39">
        <v>6.5</v>
      </c>
      <c r="G128" s="39">
        <v>1.9</v>
      </c>
      <c r="H128" s="39">
        <v>3.3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 t="s">
        <v>81</v>
      </c>
      <c r="P128" s="39" t="s">
        <v>81</v>
      </c>
      <c r="Q128" s="39" t="s">
        <v>81</v>
      </c>
      <c r="R128" s="39" t="s">
        <v>81</v>
      </c>
      <c r="S128" s="39" t="s">
        <v>81</v>
      </c>
      <c r="T128" s="39">
        <v>960</v>
      </c>
      <c r="U128" s="39">
        <v>24</v>
      </c>
      <c r="V128" s="39">
        <v>2</v>
      </c>
      <c r="W128" s="39">
        <v>0</v>
      </c>
      <c r="X128" s="39">
        <v>0</v>
      </c>
      <c r="Y128" s="39">
        <v>0</v>
      </c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>
        <v>17.5</v>
      </c>
      <c r="AL128" s="39"/>
      <c r="AM128" s="39"/>
      <c r="AN128" s="40"/>
      <c r="AO128" s="40" t="s">
        <v>257</v>
      </c>
      <c r="AP128" s="44">
        <v>34</v>
      </c>
      <c r="AQ128" s="41" t="s">
        <v>83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 spans="1:61" s="15" customFormat="1" ht="16.5">
      <c r="A129" s="37">
        <v>126</v>
      </c>
      <c r="B129" s="39"/>
      <c r="C129" s="74" t="s">
        <v>258</v>
      </c>
      <c r="D129" s="86">
        <f>IFERROR(VLOOKUP(C129, $C$2:D128, 2, FALSE), MAX($D$2:D128)+1)</f>
        <v>23</v>
      </c>
      <c r="E129" s="39"/>
      <c r="F129" s="39">
        <v>5.58</v>
      </c>
      <c r="G129" s="39">
        <v>0</v>
      </c>
      <c r="H129" s="39">
        <v>0</v>
      </c>
      <c r="I129" s="39">
        <v>3.55</v>
      </c>
      <c r="J129" s="39">
        <v>0</v>
      </c>
      <c r="K129" s="39">
        <v>0</v>
      </c>
      <c r="L129" s="39">
        <v>0</v>
      </c>
      <c r="M129" s="39" t="s">
        <v>259</v>
      </c>
      <c r="N129" s="39">
        <v>0</v>
      </c>
      <c r="O129" s="39" t="s">
        <v>81</v>
      </c>
      <c r="P129" s="39" t="s">
        <v>81</v>
      </c>
      <c r="Q129" s="39" t="s">
        <v>81</v>
      </c>
      <c r="R129" s="39" t="s">
        <v>81</v>
      </c>
      <c r="S129" s="39" t="s">
        <v>81</v>
      </c>
      <c r="T129" s="39" t="s">
        <v>81</v>
      </c>
      <c r="U129" s="39" t="s">
        <v>81</v>
      </c>
      <c r="V129" s="39" t="s">
        <v>81</v>
      </c>
      <c r="W129" s="39" t="s">
        <v>81</v>
      </c>
      <c r="X129" s="39" t="s">
        <v>81</v>
      </c>
      <c r="Y129" s="39" t="s">
        <v>81</v>
      </c>
      <c r="Z129" s="39"/>
      <c r="AA129" s="39"/>
      <c r="AB129" s="39">
        <v>1009</v>
      </c>
      <c r="AC129" s="39">
        <v>952.7</v>
      </c>
      <c r="AD129" s="39">
        <v>9.3000000000000007</v>
      </c>
      <c r="AE129" s="39"/>
      <c r="AF129" s="39"/>
      <c r="AG129" s="39"/>
      <c r="AH129" s="39"/>
      <c r="AI129" s="39"/>
      <c r="AJ129" s="39"/>
      <c r="AK129" s="39">
        <v>130</v>
      </c>
      <c r="AL129" s="39"/>
      <c r="AM129" s="39"/>
      <c r="AN129" s="40"/>
      <c r="AO129" s="40" t="s">
        <v>260</v>
      </c>
      <c r="AP129" s="44">
        <v>32</v>
      </c>
      <c r="AQ129" s="41" t="s">
        <v>83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</row>
    <row r="130" spans="1:61" s="15" customFormat="1" ht="16.5">
      <c r="A130" s="42">
        <v>127</v>
      </c>
      <c r="B130" s="39"/>
      <c r="C130" s="74" t="s">
        <v>258</v>
      </c>
      <c r="D130" s="86">
        <f>IFERROR(VLOOKUP(C130, $C$2:D129, 2, FALSE), MAX($D$2:D129)+1)</f>
        <v>23</v>
      </c>
      <c r="E130" s="39"/>
      <c r="F130" s="39">
        <v>5.58</v>
      </c>
      <c r="G130" s="39">
        <v>0</v>
      </c>
      <c r="H130" s="39">
        <v>0</v>
      </c>
      <c r="I130" s="39">
        <v>3.55</v>
      </c>
      <c r="J130" s="39">
        <v>0</v>
      </c>
      <c r="K130" s="39">
        <v>0</v>
      </c>
      <c r="L130" s="39">
        <v>0</v>
      </c>
      <c r="M130" s="39" t="s">
        <v>259</v>
      </c>
      <c r="N130" s="39">
        <v>0</v>
      </c>
      <c r="O130" s="39" t="s">
        <v>81</v>
      </c>
      <c r="P130" s="39" t="s">
        <v>81</v>
      </c>
      <c r="Q130" s="39" t="s">
        <v>81</v>
      </c>
      <c r="R130" s="39" t="s">
        <v>81</v>
      </c>
      <c r="S130" s="39" t="s">
        <v>81</v>
      </c>
      <c r="T130" s="39">
        <v>850</v>
      </c>
      <c r="U130" s="39">
        <v>2</v>
      </c>
      <c r="V130" s="39">
        <v>3</v>
      </c>
      <c r="W130" s="39">
        <v>0</v>
      </c>
      <c r="X130" s="39">
        <v>0</v>
      </c>
      <c r="Y130" s="39">
        <v>0</v>
      </c>
      <c r="Z130" s="39"/>
      <c r="AA130" s="39"/>
      <c r="AB130" s="39">
        <v>988.3</v>
      </c>
      <c r="AC130" s="39">
        <v>966</v>
      </c>
      <c r="AD130" s="39">
        <v>14.8</v>
      </c>
      <c r="AE130" s="39"/>
      <c r="AF130" s="39"/>
      <c r="AG130" s="39"/>
      <c r="AH130" s="39"/>
      <c r="AI130" s="39"/>
      <c r="AJ130" s="39"/>
      <c r="AK130" s="39">
        <v>170</v>
      </c>
      <c r="AL130" s="39"/>
      <c r="AM130" s="39"/>
      <c r="AN130" s="40"/>
      <c r="AO130" s="40" t="s">
        <v>260</v>
      </c>
      <c r="AP130" s="76">
        <v>32</v>
      </c>
      <c r="AQ130" s="41" t="s">
        <v>83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</row>
    <row r="131" spans="1:61" s="15" customFormat="1" ht="16.5">
      <c r="A131" s="37">
        <v>128</v>
      </c>
      <c r="B131" s="39"/>
      <c r="C131" s="74" t="s">
        <v>258</v>
      </c>
      <c r="D131" s="86">
        <f>IFERROR(VLOOKUP(C131, $C$2:D130, 2, FALSE), MAX($D$2:D130)+1)</f>
        <v>23</v>
      </c>
      <c r="E131" s="39"/>
      <c r="F131" s="39">
        <v>5.58</v>
      </c>
      <c r="G131" s="39">
        <v>0</v>
      </c>
      <c r="H131" s="39">
        <v>0</v>
      </c>
      <c r="I131" s="39">
        <v>3.55</v>
      </c>
      <c r="J131" s="39">
        <v>0</v>
      </c>
      <c r="K131" s="39">
        <v>0</v>
      </c>
      <c r="L131" s="39">
        <v>0</v>
      </c>
      <c r="M131" s="39" t="s">
        <v>259</v>
      </c>
      <c r="N131" s="39">
        <v>0</v>
      </c>
      <c r="O131" s="39" t="s">
        <v>81</v>
      </c>
      <c r="P131" s="39" t="s">
        <v>81</v>
      </c>
      <c r="Q131" s="39" t="s">
        <v>81</v>
      </c>
      <c r="R131" s="39" t="s">
        <v>81</v>
      </c>
      <c r="S131" s="39" t="s">
        <v>81</v>
      </c>
      <c r="T131" s="39">
        <v>980</v>
      </c>
      <c r="U131" s="39">
        <v>0.16666666666666699</v>
      </c>
      <c r="V131" s="39">
        <v>3</v>
      </c>
      <c r="W131" s="39">
        <v>0</v>
      </c>
      <c r="X131" s="39">
        <v>0</v>
      </c>
      <c r="Y131" s="39">
        <v>0</v>
      </c>
      <c r="Z131" s="39"/>
      <c r="AA131" s="39"/>
      <c r="AB131" s="39">
        <v>586</v>
      </c>
      <c r="AC131" s="39">
        <v>490.7</v>
      </c>
      <c r="AD131" s="39">
        <v>1.6</v>
      </c>
      <c r="AE131" s="39"/>
      <c r="AF131" s="39"/>
      <c r="AG131" s="39"/>
      <c r="AH131" s="39"/>
      <c r="AI131" s="39"/>
      <c r="AJ131" s="39"/>
      <c r="AK131" s="39">
        <v>1.4</v>
      </c>
      <c r="AL131" s="39"/>
      <c r="AM131" s="39"/>
      <c r="AN131" s="40"/>
      <c r="AO131" s="40" t="s">
        <v>260</v>
      </c>
      <c r="AP131" s="44">
        <v>32</v>
      </c>
      <c r="AQ131" s="38" t="s">
        <v>83</v>
      </c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</row>
    <row r="132" spans="1:61" s="15" customFormat="1" ht="16.5">
      <c r="A132" s="37">
        <v>129</v>
      </c>
      <c r="B132" s="39"/>
      <c r="C132" s="74" t="s">
        <v>261</v>
      </c>
      <c r="D132" s="86">
        <f>IFERROR(VLOOKUP(C132, $C$2:D131, 2, FALSE), MAX($D$2:D131)+1)</f>
        <v>24</v>
      </c>
      <c r="E132" s="39">
        <v>86.2</v>
      </c>
      <c r="F132" s="39">
        <v>6</v>
      </c>
      <c r="G132" s="39">
        <v>0</v>
      </c>
      <c r="H132" s="39">
        <v>5</v>
      </c>
      <c r="I132" s="39">
        <v>0.5</v>
      </c>
      <c r="J132" s="39">
        <v>0</v>
      </c>
      <c r="K132" s="39">
        <v>0</v>
      </c>
      <c r="L132" s="39">
        <v>0</v>
      </c>
      <c r="M132" s="39">
        <v>0</v>
      </c>
      <c r="N132" s="39">
        <v>2</v>
      </c>
      <c r="O132" s="39" t="s">
        <v>81</v>
      </c>
      <c r="P132" s="39" t="s">
        <v>81</v>
      </c>
      <c r="Q132" s="39" t="s">
        <v>81</v>
      </c>
      <c r="R132" s="39" t="s">
        <v>81</v>
      </c>
      <c r="S132" s="39" t="s">
        <v>81</v>
      </c>
      <c r="T132" s="39">
        <v>990</v>
      </c>
      <c r="U132" s="39">
        <v>1</v>
      </c>
      <c r="V132" s="39">
        <v>3</v>
      </c>
      <c r="W132" s="39">
        <v>0</v>
      </c>
      <c r="X132" s="39">
        <v>0</v>
      </c>
      <c r="Y132" s="39">
        <v>0</v>
      </c>
      <c r="Z132" s="39"/>
      <c r="AA132" s="39"/>
      <c r="AB132" s="39">
        <v>1125</v>
      </c>
      <c r="AC132" s="39">
        <v>927</v>
      </c>
      <c r="AD132" s="39">
        <v>12.5</v>
      </c>
      <c r="AE132" s="39"/>
      <c r="AF132" s="39"/>
      <c r="AG132" s="39"/>
      <c r="AH132" s="39"/>
      <c r="AI132" s="39"/>
      <c r="AJ132" s="39">
        <v>39.83</v>
      </c>
      <c r="AK132" s="39"/>
      <c r="AL132" s="39"/>
      <c r="AM132" s="39"/>
      <c r="AN132" s="40"/>
      <c r="AO132" s="40" t="s">
        <v>262</v>
      </c>
      <c r="AP132" s="44">
        <v>33</v>
      </c>
      <c r="AQ132" s="41" t="s">
        <v>83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</row>
    <row r="133" spans="1:61" s="15" customFormat="1" ht="16.5">
      <c r="A133" s="37">
        <v>130</v>
      </c>
      <c r="B133" s="39"/>
      <c r="C133" s="74" t="s">
        <v>261</v>
      </c>
      <c r="D133" s="86">
        <f>IFERROR(VLOOKUP(C133, $C$2:D132, 2, FALSE), MAX($D$2:D132)+1)</f>
        <v>24</v>
      </c>
      <c r="E133" s="39">
        <v>86.2</v>
      </c>
      <c r="F133" s="39">
        <v>6</v>
      </c>
      <c r="G133" s="39">
        <v>0</v>
      </c>
      <c r="H133" s="39">
        <v>5</v>
      </c>
      <c r="I133" s="39">
        <v>0.5</v>
      </c>
      <c r="J133" s="39">
        <v>0</v>
      </c>
      <c r="K133" s="39">
        <v>0</v>
      </c>
      <c r="L133" s="39">
        <v>0</v>
      </c>
      <c r="M133" s="39">
        <v>0</v>
      </c>
      <c r="N133" s="39">
        <v>2</v>
      </c>
      <c r="O133" s="39" t="s">
        <v>81</v>
      </c>
      <c r="P133" s="39" t="s">
        <v>81</v>
      </c>
      <c r="Q133" s="39" t="s">
        <v>81</v>
      </c>
      <c r="R133" s="39" t="s">
        <v>81</v>
      </c>
      <c r="S133" s="39" t="s">
        <v>81</v>
      </c>
      <c r="T133" s="39">
        <v>600</v>
      </c>
      <c r="U133" s="39">
        <v>2</v>
      </c>
      <c r="V133" s="39">
        <v>2</v>
      </c>
      <c r="W133" s="39">
        <v>0</v>
      </c>
      <c r="X133" s="39">
        <v>0</v>
      </c>
      <c r="Y133" s="39">
        <v>0</v>
      </c>
      <c r="Z133" s="39"/>
      <c r="AA133" s="39"/>
      <c r="AB133" s="39">
        <v>1231</v>
      </c>
      <c r="AC133" s="39">
        <v>1060</v>
      </c>
      <c r="AD133" s="39">
        <v>19.3</v>
      </c>
      <c r="AE133" s="39"/>
      <c r="AF133" s="39"/>
      <c r="AG133" s="39"/>
      <c r="AH133" s="39"/>
      <c r="AI133" s="39"/>
      <c r="AJ133" s="39">
        <v>56.03</v>
      </c>
      <c r="AK133" s="39"/>
      <c r="AL133" s="39"/>
      <c r="AM133" s="39"/>
      <c r="AN133" s="40"/>
      <c r="AO133" s="40" t="s">
        <v>262</v>
      </c>
      <c r="AP133" s="44">
        <v>33</v>
      </c>
      <c r="AQ133" s="41" t="s">
        <v>83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</row>
    <row r="134" spans="1:61" s="15" customFormat="1" ht="16.5">
      <c r="A134" s="37">
        <v>131</v>
      </c>
      <c r="B134" s="39"/>
      <c r="C134" s="74" t="s">
        <v>261</v>
      </c>
      <c r="D134" s="86">
        <f>IFERROR(VLOOKUP(C134, $C$2:D133, 2, FALSE), MAX($D$2:D133)+1)</f>
        <v>24</v>
      </c>
      <c r="E134" s="39">
        <v>86.2</v>
      </c>
      <c r="F134" s="39">
        <v>6</v>
      </c>
      <c r="G134" s="39">
        <v>0</v>
      </c>
      <c r="H134" s="39">
        <v>5</v>
      </c>
      <c r="I134" s="39">
        <v>0.5</v>
      </c>
      <c r="J134" s="39">
        <v>0</v>
      </c>
      <c r="K134" s="39">
        <v>0</v>
      </c>
      <c r="L134" s="39">
        <v>0</v>
      </c>
      <c r="M134" s="39">
        <v>0</v>
      </c>
      <c r="N134" s="39">
        <v>2</v>
      </c>
      <c r="O134" s="39" t="s">
        <v>81</v>
      </c>
      <c r="P134" s="39" t="s">
        <v>81</v>
      </c>
      <c r="Q134" s="39" t="s">
        <v>81</v>
      </c>
      <c r="R134" s="39" t="s">
        <v>81</v>
      </c>
      <c r="S134" s="39" t="s">
        <v>81</v>
      </c>
      <c r="T134" s="39">
        <v>955</v>
      </c>
      <c r="U134" s="39">
        <v>1</v>
      </c>
      <c r="V134" s="39">
        <v>1</v>
      </c>
      <c r="W134" s="39">
        <v>0</v>
      </c>
      <c r="X134" s="39">
        <v>0</v>
      </c>
      <c r="Y134" s="39">
        <v>0</v>
      </c>
      <c r="Z134" s="39"/>
      <c r="AA134" s="39"/>
      <c r="AB134" s="39">
        <v>1197</v>
      </c>
      <c r="AC134" s="39">
        <v>1055</v>
      </c>
      <c r="AD134" s="39">
        <v>14.9</v>
      </c>
      <c r="AE134" s="39"/>
      <c r="AF134" s="39"/>
      <c r="AG134" s="39"/>
      <c r="AH134" s="39"/>
      <c r="AI134" s="39"/>
      <c r="AJ134" s="39">
        <v>62.26</v>
      </c>
      <c r="AK134" s="39"/>
      <c r="AL134" s="39"/>
      <c r="AM134" s="39"/>
      <c r="AN134" s="40"/>
      <c r="AO134" s="40" t="s">
        <v>262</v>
      </c>
      <c r="AP134" s="44">
        <v>33</v>
      </c>
      <c r="AQ134" s="41" t="s">
        <v>83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 spans="1:61" s="15" customFormat="1" ht="16.5">
      <c r="A135" s="37">
        <v>140</v>
      </c>
      <c r="B135" s="39"/>
      <c r="C135" s="74" t="s">
        <v>263</v>
      </c>
      <c r="D135" s="86">
        <f>IFERROR(VLOOKUP(C135, $C$2:D134, 2, FALSE), MAX($D$2:D134)+1)</f>
        <v>25</v>
      </c>
      <c r="E135" s="39"/>
      <c r="F135" s="39">
        <v>6.17</v>
      </c>
      <c r="G135" s="39">
        <v>1.93</v>
      </c>
      <c r="H135" s="39">
        <v>3.01</v>
      </c>
      <c r="I135" s="39">
        <v>0</v>
      </c>
      <c r="J135" s="39">
        <v>0</v>
      </c>
      <c r="K135" s="39">
        <v>2.0099999999999998</v>
      </c>
      <c r="L135" s="39">
        <v>1.41</v>
      </c>
      <c r="M135" s="39">
        <v>0</v>
      </c>
      <c r="N135" s="39">
        <v>1.97</v>
      </c>
      <c r="O135" s="39" t="s">
        <v>81</v>
      </c>
      <c r="P135" s="39" t="s">
        <v>81</v>
      </c>
      <c r="Q135" s="39" t="s">
        <v>81</v>
      </c>
      <c r="R135" s="39" t="s">
        <v>81</v>
      </c>
      <c r="S135" s="39" t="s">
        <v>81</v>
      </c>
      <c r="T135" s="39" t="s">
        <v>81</v>
      </c>
      <c r="U135" s="39" t="s">
        <v>81</v>
      </c>
      <c r="V135" s="39" t="s">
        <v>81</v>
      </c>
      <c r="W135" s="39" t="s">
        <v>81</v>
      </c>
      <c r="X135" s="39" t="s">
        <v>81</v>
      </c>
      <c r="Y135" s="39" t="s">
        <v>81</v>
      </c>
      <c r="Z135" s="39"/>
      <c r="AA135" s="39"/>
      <c r="AB135" s="39">
        <v>1183</v>
      </c>
      <c r="AC135" s="39">
        <v>1136</v>
      </c>
      <c r="AD135" s="39">
        <v>7.5</v>
      </c>
      <c r="AE135" s="39"/>
      <c r="AF135" s="39"/>
      <c r="AG135" s="39"/>
      <c r="AH135" s="39"/>
      <c r="AI135" s="39"/>
      <c r="AJ135" s="39"/>
      <c r="AK135" s="39">
        <v>110</v>
      </c>
      <c r="AL135" s="39"/>
      <c r="AM135" s="39"/>
      <c r="AN135" s="40"/>
      <c r="AO135" s="40" t="s">
        <v>264</v>
      </c>
      <c r="AP135" s="44">
        <v>36</v>
      </c>
      <c r="AQ135" s="41" t="s">
        <v>83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 spans="1:61" s="15" customFormat="1" ht="16.5">
      <c r="A136" s="42">
        <v>141</v>
      </c>
      <c r="B136" s="39"/>
      <c r="C136" s="74" t="s">
        <v>263</v>
      </c>
      <c r="D136" s="86">
        <f>IFERROR(VLOOKUP(C136, $C$2:D135, 2, FALSE), MAX($D$2:D135)+1)</f>
        <v>25</v>
      </c>
      <c r="E136" s="39"/>
      <c r="F136" s="39">
        <v>6.17</v>
      </c>
      <c r="G136" s="39">
        <v>1.93</v>
      </c>
      <c r="H136" s="39">
        <v>3.01</v>
      </c>
      <c r="I136" s="39">
        <v>0</v>
      </c>
      <c r="J136" s="39">
        <v>0</v>
      </c>
      <c r="K136" s="39">
        <v>2.0099999999999998</v>
      </c>
      <c r="L136" s="39">
        <v>1.41</v>
      </c>
      <c r="M136" s="39">
        <v>0</v>
      </c>
      <c r="N136" s="39">
        <v>1.97</v>
      </c>
      <c r="O136" s="39" t="s">
        <v>81</v>
      </c>
      <c r="P136" s="39" t="s">
        <v>81</v>
      </c>
      <c r="Q136" s="39" t="s">
        <v>81</v>
      </c>
      <c r="R136" s="39" t="s">
        <v>81</v>
      </c>
      <c r="S136" s="39" t="s">
        <v>81</v>
      </c>
      <c r="T136" s="39">
        <v>880</v>
      </c>
      <c r="U136" s="39">
        <v>1</v>
      </c>
      <c r="V136" s="39">
        <v>2</v>
      </c>
      <c r="W136" s="39">
        <v>590</v>
      </c>
      <c r="X136" s="39">
        <v>2</v>
      </c>
      <c r="Y136" s="39"/>
      <c r="Z136" s="39"/>
      <c r="AA136" s="39"/>
      <c r="AB136" s="39">
        <v>1145</v>
      </c>
      <c r="AC136" s="39"/>
      <c r="AD136" s="39">
        <v>12.5</v>
      </c>
      <c r="AE136" s="39"/>
      <c r="AF136" s="39"/>
      <c r="AG136" s="39"/>
      <c r="AH136" s="39"/>
      <c r="AI136" s="39"/>
      <c r="AJ136" s="39"/>
      <c r="AK136" s="39">
        <v>270</v>
      </c>
      <c r="AL136" s="39"/>
      <c r="AM136" s="39"/>
      <c r="AN136" s="40"/>
      <c r="AO136" s="40" t="s">
        <v>264</v>
      </c>
      <c r="AP136" s="76">
        <v>36</v>
      </c>
      <c r="AQ136" s="38" t="s">
        <v>83</v>
      </c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 spans="1:61" s="15" customFormat="1" ht="16.5">
      <c r="A137" s="42">
        <v>149</v>
      </c>
      <c r="B137" s="39"/>
      <c r="C137" s="74" t="s">
        <v>265</v>
      </c>
      <c r="D137" s="86">
        <f>IFERROR(VLOOKUP(C137, $C$2:D136, 2, FALSE), MAX($D$2:D136)+1)</f>
        <v>26</v>
      </c>
      <c r="E137" s="39">
        <v>83.978999999999999</v>
      </c>
      <c r="F137" s="39">
        <v>5.93</v>
      </c>
      <c r="G137" s="39">
        <v>2.0299999999999998</v>
      </c>
      <c r="H137" s="39">
        <v>2.04</v>
      </c>
      <c r="I137" s="39">
        <v>1.99</v>
      </c>
      <c r="J137" s="39">
        <v>0</v>
      </c>
      <c r="K137" s="39">
        <v>0</v>
      </c>
      <c r="L137" s="78">
        <v>2</v>
      </c>
      <c r="M137" s="39">
        <v>0</v>
      </c>
      <c r="N137" s="39">
        <v>1.97</v>
      </c>
      <c r="O137" s="39" t="s">
        <v>81</v>
      </c>
      <c r="P137" s="39" t="s">
        <v>81</v>
      </c>
      <c r="Q137" s="39" t="s">
        <v>81</v>
      </c>
      <c r="R137" s="39" t="s">
        <v>81</v>
      </c>
      <c r="S137" s="39" t="s">
        <v>81</v>
      </c>
      <c r="T137" s="39" t="s">
        <v>81</v>
      </c>
      <c r="U137" s="39" t="s">
        <v>81</v>
      </c>
      <c r="V137" s="39" t="s">
        <v>81</v>
      </c>
      <c r="W137" s="39" t="s">
        <v>81</v>
      </c>
      <c r="X137" s="39" t="s">
        <v>81</v>
      </c>
      <c r="Y137" s="39" t="s">
        <v>81</v>
      </c>
      <c r="Z137" s="39"/>
      <c r="AA137" s="39"/>
      <c r="AB137" s="39">
        <v>1025</v>
      </c>
      <c r="AC137" s="39">
        <v>943</v>
      </c>
      <c r="AD137" s="39">
        <v>6</v>
      </c>
      <c r="AE137" s="39">
        <v>14.7</v>
      </c>
      <c r="AF137" s="39"/>
      <c r="AG137" s="39"/>
      <c r="AH137" s="39"/>
      <c r="AI137" s="39"/>
      <c r="AJ137" s="39"/>
      <c r="AK137" s="39"/>
      <c r="AL137" s="39"/>
      <c r="AM137" s="39"/>
      <c r="AN137" s="40"/>
      <c r="AO137" s="40" t="s">
        <v>266</v>
      </c>
      <c r="AP137" s="76">
        <v>39</v>
      </c>
      <c r="AQ137" s="41" t="s">
        <v>83</v>
      </c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1:61" s="15" customFormat="1" ht="16.5">
      <c r="A138" s="37">
        <v>150</v>
      </c>
      <c r="B138" s="39"/>
      <c r="C138" s="74" t="s">
        <v>265</v>
      </c>
      <c r="D138" s="86">
        <f>IFERROR(VLOOKUP(C138, $C$2:D137, 2, FALSE), MAX($D$2:D137)+1)</f>
        <v>26</v>
      </c>
      <c r="E138" s="39">
        <v>83.978999999999999</v>
      </c>
      <c r="F138" s="39">
        <v>5.93</v>
      </c>
      <c r="G138" s="39">
        <v>2.0299999999999998</v>
      </c>
      <c r="H138" s="39">
        <v>2.04</v>
      </c>
      <c r="I138" s="39">
        <v>1.99</v>
      </c>
      <c r="J138" s="39">
        <v>0</v>
      </c>
      <c r="K138" s="39">
        <v>0</v>
      </c>
      <c r="L138" s="78">
        <v>2</v>
      </c>
      <c r="M138" s="39">
        <v>0</v>
      </c>
      <c r="N138" s="39">
        <v>1.97</v>
      </c>
      <c r="O138" s="39" t="s">
        <v>81</v>
      </c>
      <c r="P138" s="39" t="s">
        <v>81</v>
      </c>
      <c r="Q138" s="39" t="s">
        <v>81</v>
      </c>
      <c r="R138" s="39" t="s">
        <v>81</v>
      </c>
      <c r="S138" s="39" t="s">
        <v>81</v>
      </c>
      <c r="T138" s="39">
        <v>900</v>
      </c>
      <c r="U138" s="39">
        <v>2</v>
      </c>
      <c r="V138" s="39">
        <v>2</v>
      </c>
      <c r="W138" s="39">
        <v>0</v>
      </c>
      <c r="X138" s="39">
        <v>0</v>
      </c>
      <c r="Y138" s="39">
        <v>0</v>
      </c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40"/>
      <c r="AO138" s="40" t="s">
        <v>266</v>
      </c>
      <c r="AP138" s="44">
        <v>39</v>
      </c>
      <c r="AQ138" s="41" t="s">
        <v>83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1:61" s="15" customFormat="1" ht="16.5">
      <c r="A139" s="37">
        <v>151</v>
      </c>
      <c r="B139" s="39"/>
      <c r="C139" s="74" t="s">
        <v>265</v>
      </c>
      <c r="D139" s="86">
        <f>IFERROR(VLOOKUP(C139, $C$2:D138, 2, FALSE), MAX($D$2:D138)+1)</f>
        <v>26</v>
      </c>
      <c r="E139" s="39">
        <v>83.978999999999999</v>
      </c>
      <c r="F139" s="39">
        <v>5.93</v>
      </c>
      <c r="G139" s="39">
        <v>2.0299999999999998</v>
      </c>
      <c r="H139" s="39">
        <v>2.04</v>
      </c>
      <c r="I139" s="39">
        <v>1.99</v>
      </c>
      <c r="J139" s="39">
        <v>0</v>
      </c>
      <c r="K139" s="39">
        <v>0</v>
      </c>
      <c r="L139" s="78">
        <v>2</v>
      </c>
      <c r="M139" s="39">
        <v>0</v>
      </c>
      <c r="N139" s="39">
        <v>1.97</v>
      </c>
      <c r="O139" s="39" t="s">
        <v>81</v>
      </c>
      <c r="P139" s="39" t="s">
        <v>81</v>
      </c>
      <c r="Q139" s="39" t="s">
        <v>81</v>
      </c>
      <c r="R139" s="39" t="s">
        <v>81</v>
      </c>
      <c r="S139" s="39" t="s">
        <v>81</v>
      </c>
      <c r="T139" s="39">
        <v>920</v>
      </c>
      <c r="U139" s="39">
        <v>2</v>
      </c>
      <c r="V139" s="39">
        <v>2</v>
      </c>
      <c r="W139" s="39">
        <v>540</v>
      </c>
      <c r="X139" s="39">
        <v>4</v>
      </c>
      <c r="Y139" s="39">
        <v>2</v>
      </c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40"/>
      <c r="AO139" s="40" t="s">
        <v>266</v>
      </c>
      <c r="AP139" s="44">
        <v>39</v>
      </c>
      <c r="AQ139" s="38" t="s">
        <v>83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1:61" s="15" customFormat="1" ht="16.5">
      <c r="A140" s="37">
        <v>152</v>
      </c>
      <c r="B140" s="39"/>
      <c r="C140" s="74" t="s">
        <v>265</v>
      </c>
      <c r="D140" s="86">
        <f>IFERROR(VLOOKUP(C140, $C$2:D139, 2, FALSE), MAX($D$2:D139)+1)</f>
        <v>26</v>
      </c>
      <c r="E140" s="39">
        <v>83.978999999999999</v>
      </c>
      <c r="F140" s="39">
        <v>5.93</v>
      </c>
      <c r="G140" s="39">
        <v>2.0299999999999998</v>
      </c>
      <c r="H140" s="39">
        <v>2.04</v>
      </c>
      <c r="I140" s="39">
        <v>1.99</v>
      </c>
      <c r="J140" s="39">
        <v>0</v>
      </c>
      <c r="K140" s="39">
        <v>0</v>
      </c>
      <c r="L140" s="78">
        <v>2</v>
      </c>
      <c r="M140" s="39">
        <v>0</v>
      </c>
      <c r="N140" s="39">
        <v>1.97</v>
      </c>
      <c r="O140" s="39" t="s">
        <v>81</v>
      </c>
      <c r="P140" s="39" t="s">
        <v>81</v>
      </c>
      <c r="Q140" s="39" t="s">
        <v>81</v>
      </c>
      <c r="R140" s="39" t="s">
        <v>81</v>
      </c>
      <c r="S140" s="39" t="s">
        <v>81</v>
      </c>
      <c r="T140" s="39">
        <v>940</v>
      </c>
      <c r="U140" s="39">
        <v>2</v>
      </c>
      <c r="V140" s="39">
        <v>2</v>
      </c>
      <c r="W140" s="39">
        <v>0</v>
      </c>
      <c r="X140" s="39">
        <v>0</v>
      </c>
      <c r="Y140" s="39">
        <v>0</v>
      </c>
      <c r="Z140" s="39"/>
      <c r="AA140" s="39"/>
      <c r="AB140" s="39">
        <v>1197.4000000000001</v>
      </c>
      <c r="AC140" s="39">
        <v>1080.7</v>
      </c>
      <c r="AD140" s="39">
        <v>7.8</v>
      </c>
      <c r="AE140" s="39">
        <v>19.2</v>
      </c>
      <c r="AF140" s="39"/>
      <c r="AG140" s="39"/>
      <c r="AH140" s="39"/>
      <c r="AI140" s="39"/>
      <c r="AJ140" s="39"/>
      <c r="AK140" s="39"/>
      <c r="AL140" s="39"/>
      <c r="AM140" s="39"/>
      <c r="AN140" s="40"/>
      <c r="AO140" s="40" t="s">
        <v>266</v>
      </c>
      <c r="AP140" s="44">
        <v>39</v>
      </c>
      <c r="AQ140" s="41" t="s">
        <v>83</v>
      </c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 spans="1:61" s="15" customFormat="1" ht="16.5">
      <c r="A141" s="42">
        <v>163</v>
      </c>
      <c r="B141" s="39"/>
      <c r="C141" s="74" t="s">
        <v>267</v>
      </c>
      <c r="D141" s="86">
        <f>IFERROR(VLOOKUP(C141, $C$2:D140, 2, FALSE), MAX($D$2:D140)+1)</f>
        <v>27</v>
      </c>
      <c r="E141" s="39">
        <v>86.7</v>
      </c>
      <c r="F141" s="39">
        <v>4.8</v>
      </c>
      <c r="G141" s="39">
        <v>4.2</v>
      </c>
      <c r="H141" s="39">
        <v>2</v>
      </c>
      <c r="I141" s="39">
        <v>0</v>
      </c>
      <c r="J141" s="39">
        <v>0</v>
      </c>
      <c r="K141" s="39">
        <v>0</v>
      </c>
      <c r="L141" s="39">
        <v>0</v>
      </c>
      <c r="M141" s="39">
        <v>0</v>
      </c>
      <c r="N141" s="39">
        <v>2.2999999999999998</v>
      </c>
      <c r="O141" s="39" t="s">
        <v>81</v>
      </c>
      <c r="P141" s="39">
        <v>2</v>
      </c>
      <c r="Q141" s="39" t="s">
        <v>81</v>
      </c>
      <c r="R141" s="39">
        <v>50</v>
      </c>
      <c r="S141" s="39" t="s">
        <v>81</v>
      </c>
      <c r="T141" s="39">
        <v>950</v>
      </c>
      <c r="U141" s="39">
        <v>1</v>
      </c>
      <c r="V141" s="39">
        <v>2</v>
      </c>
      <c r="W141" s="39">
        <v>590</v>
      </c>
      <c r="X141" s="39">
        <v>8</v>
      </c>
      <c r="Y141" s="39">
        <v>2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>
        <v>33.200000000000003</v>
      </c>
      <c r="AM141" s="39"/>
      <c r="AN141" s="40"/>
      <c r="AO141" s="40" t="s">
        <v>268</v>
      </c>
      <c r="AP141" s="76">
        <v>41</v>
      </c>
      <c r="AQ141" s="41" t="s">
        <v>83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</row>
    <row r="142" spans="1:61" s="25" customFormat="1" ht="16.5">
      <c r="A142" s="37">
        <v>164</v>
      </c>
      <c r="B142" s="39"/>
      <c r="C142" s="74" t="s">
        <v>267</v>
      </c>
      <c r="D142" s="86">
        <f>IFERROR(VLOOKUP(C142, $C$2:D141, 2, FALSE), MAX($D$2:D141)+1)</f>
        <v>27</v>
      </c>
      <c r="E142" s="39">
        <v>85.8</v>
      </c>
      <c r="F142" s="39">
        <v>4.8</v>
      </c>
      <c r="G142" s="39">
        <v>4.0999999999999996</v>
      </c>
      <c r="H142" s="39">
        <v>2</v>
      </c>
      <c r="I142" s="39">
        <v>0</v>
      </c>
      <c r="J142" s="39">
        <v>0</v>
      </c>
      <c r="K142" s="39">
        <v>0</v>
      </c>
      <c r="L142" s="39">
        <v>0</v>
      </c>
      <c r="M142" s="39">
        <v>0</v>
      </c>
      <c r="N142" s="39">
        <v>2.2000000000000002</v>
      </c>
      <c r="O142" s="39" t="s">
        <v>81</v>
      </c>
      <c r="P142" s="39">
        <v>2</v>
      </c>
      <c r="Q142" s="39" t="s">
        <v>81</v>
      </c>
      <c r="R142" s="39">
        <v>50</v>
      </c>
      <c r="S142" s="39" t="s">
        <v>81</v>
      </c>
      <c r="T142" s="39">
        <v>950</v>
      </c>
      <c r="U142" s="39">
        <v>1</v>
      </c>
      <c r="V142" s="39">
        <v>2</v>
      </c>
      <c r="W142" s="39">
        <v>590</v>
      </c>
      <c r="X142" s="39">
        <v>8</v>
      </c>
      <c r="Y142" s="39">
        <v>2</v>
      </c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>
        <v>16.600000000000001</v>
      </c>
      <c r="AM142" s="39"/>
      <c r="AN142" s="40"/>
      <c r="AO142" s="40" t="s">
        <v>268</v>
      </c>
      <c r="AP142" s="44">
        <v>41</v>
      </c>
      <c r="AQ142" s="38" t="s">
        <v>83</v>
      </c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 spans="1:61" s="25" customFormat="1" ht="16.5">
      <c r="A143" s="42">
        <v>165</v>
      </c>
      <c r="B143" s="39"/>
      <c r="C143" s="74" t="s">
        <v>267</v>
      </c>
      <c r="D143" s="86">
        <f>IFERROR(VLOOKUP(C143, $C$2:D142, 2, FALSE), MAX($D$2:D142)+1)</f>
        <v>27</v>
      </c>
      <c r="E143" s="39">
        <v>82.4</v>
      </c>
      <c r="F143" s="39">
        <v>5</v>
      </c>
      <c r="G143" s="39">
        <v>4</v>
      </c>
      <c r="H143" s="39">
        <v>2.1</v>
      </c>
      <c r="I143" s="39">
        <v>0</v>
      </c>
      <c r="J143" s="39">
        <v>0</v>
      </c>
      <c r="K143" s="39">
        <v>0</v>
      </c>
      <c r="L143" s="39">
        <v>0</v>
      </c>
      <c r="M143" s="39">
        <v>0</v>
      </c>
      <c r="N143" s="39">
        <v>2.4</v>
      </c>
      <c r="O143" s="39" t="s">
        <v>81</v>
      </c>
      <c r="P143" s="39">
        <v>2</v>
      </c>
      <c r="Q143" s="39" t="s">
        <v>81</v>
      </c>
      <c r="R143" s="39">
        <v>50</v>
      </c>
      <c r="S143" s="39" t="s">
        <v>81</v>
      </c>
      <c r="T143" s="39">
        <v>950</v>
      </c>
      <c r="U143" s="39">
        <v>1</v>
      </c>
      <c r="V143" s="39">
        <v>2</v>
      </c>
      <c r="W143" s="39">
        <v>590</v>
      </c>
      <c r="X143" s="39">
        <v>8</v>
      </c>
      <c r="Y143" s="39">
        <v>2</v>
      </c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>
        <v>6.3</v>
      </c>
      <c r="AM143" s="39"/>
      <c r="AN143" s="40"/>
      <c r="AO143" s="40" t="s">
        <v>268</v>
      </c>
      <c r="AP143" s="76">
        <v>41</v>
      </c>
      <c r="AQ143" s="41" t="s">
        <v>83</v>
      </c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 spans="1:61" s="15" customFormat="1" ht="16.5">
      <c r="A144" s="37">
        <v>175</v>
      </c>
      <c r="B144" s="39"/>
      <c r="C144" s="74" t="s">
        <v>267</v>
      </c>
      <c r="D144" s="86">
        <f>IFERROR(VLOOKUP(C144, $C$2:D143, 2, FALSE), MAX($D$2:D143)+1)</f>
        <v>27</v>
      </c>
      <c r="E144" s="39">
        <v>88</v>
      </c>
      <c r="F144" s="39">
        <v>5.7</v>
      </c>
      <c r="G144" s="39">
        <v>1.2</v>
      </c>
      <c r="H144" s="39">
        <v>3.8</v>
      </c>
      <c r="I144" s="39">
        <v>0</v>
      </c>
      <c r="J144" s="39">
        <v>0</v>
      </c>
      <c r="K144" s="39">
        <v>0</v>
      </c>
      <c r="L144" s="39">
        <v>0</v>
      </c>
      <c r="M144" s="39">
        <v>0</v>
      </c>
      <c r="N144" s="39">
        <v>1.3</v>
      </c>
      <c r="O144" s="39" t="s">
        <v>81</v>
      </c>
      <c r="P144" s="39" t="s">
        <v>81</v>
      </c>
      <c r="Q144" s="39" t="s">
        <v>81</v>
      </c>
      <c r="R144" s="39" t="s">
        <v>81</v>
      </c>
      <c r="S144" s="39" t="s">
        <v>81</v>
      </c>
      <c r="T144" s="39">
        <v>940</v>
      </c>
      <c r="U144" s="39" t="s">
        <v>81</v>
      </c>
      <c r="V144" s="39">
        <v>1</v>
      </c>
      <c r="W144" s="39">
        <v>0</v>
      </c>
      <c r="X144" s="39">
        <v>0</v>
      </c>
      <c r="Y144" s="39">
        <v>0</v>
      </c>
      <c r="Z144" s="39"/>
      <c r="AA144" s="39"/>
      <c r="AB144" s="39">
        <v>1040</v>
      </c>
      <c r="AC144" s="39">
        <v>970</v>
      </c>
      <c r="AD144" s="39">
        <v>15</v>
      </c>
      <c r="AE144" s="39">
        <v>5</v>
      </c>
      <c r="AF144" s="39"/>
      <c r="AG144" s="39"/>
      <c r="AH144" s="39"/>
      <c r="AI144" s="39"/>
      <c r="AJ144" s="39"/>
      <c r="AK144" s="39"/>
      <c r="AL144" s="39">
        <v>510</v>
      </c>
      <c r="AM144" s="39"/>
      <c r="AN144" s="40"/>
      <c r="AO144" s="40" t="s">
        <v>269</v>
      </c>
      <c r="AP144" s="44">
        <v>44</v>
      </c>
      <c r="AQ144" s="41" t="s">
        <v>83</v>
      </c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 spans="1:61" s="25" customFormat="1" ht="16.5">
      <c r="A145" s="37">
        <v>176</v>
      </c>
      <c r="B145" s="39"/>
      <c r="C145" s="74" t="s">
        <v>267</v>
      </c>
      <c r="D145" s="86">
        <f>IFERROR(VLOOKUP(C145, $C$2:D144, 2, FALSE), MAX($D$2:D144)+1)</f>
        <v>27</v>
      </c>
      <c r="E145" s="39">
        <v>88</v>
      </c>
      <c r="F145" s="39">
        <v>5.7</v>
      </c>
      <c r="G145" s="39">
        <v>1.2</v>
      </c>
      <c r="H145" s="39">
        <v>3.8</v>
      </c>
      <c r="I145" s="39">
        <v>0</v>
      </c>
      <c r="J145" s="39">
        <v>0</v>
      </c>
      <c r="K145" s="39">
        <v>0</v>
      </c>
      <c r="L145" s="39">
        <v>0</v>
      </c>
      <c r="M145" s="39">
        <v>0</v>
      </c>
      <c r="N145" s="39">
        <v>1.3</v>
      </c>
      <c r="O145" s="39" t="s">
        <v>81</v>
      </c>
      <c r="P145" s="39" t="s">
        <v>81</v>
      </c>
      <c r="Q145" s="39" t="s">
        <v>81</v>
      </c>
      <c r="R145" s="39" t="s">
        <v>81</v>
      </c>
      <c r="S145" s="39" t="s">
        <v>81</v>
      </c>
      <c r="T145" s="39">
        <v>940</v>
      </c>
      <c r="U145" s="39" t="s">
        <v>81</v>
      </c>
      <c r="V145" s="39">
        <v>1</v>
      </c>
      <c r="W145" s="39">
        <v>0</v>
      </c>
      <c r="X145" s="39">
        <v>0</v>
      </c>
      <c r="Y145" s="39">
        <v>0</v>
      </c>
      <c r="Z145" s="39"/>
      <c r="AA145" s="39"/>
      <c r="AB145" s="39">
        <v>1150</v>
      </c>
      <c r="AC145" s="39">
        <v>1080</v>
      </c>
      <c r="AD145" s="39">
        <v>10</v>
      </c>
      <c r="AE145" s="39">
        <v>1.3</v>
      </c>
      <c r="AF145" s="39"/>
      <c r="AG145" s="39"/>
      <c r="AH145" s="39"/>
      <c r="AI145" s="39"/>
      <c r="AJ145" s="39"/>
      <c r="AK145" s="39"/>
      <c r="AL145" s="39">
        <v>254</v>
      </c>
      <c r="AM145" s="39"/>
      <c r="AN145" s="40"/>
      <c r="AO145" s="40" t="s">
        <v>269</v>
      </c>
      <c r="AP145" s="44">
        <v>44</v>
      </c>
      <c r="AQ145" s="38" t="s">
        <v>83</v>
      </c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</row>
    <row r="146" spans="1:61" s="25" customFormat="1" ht="16.5">
      <c r="A146" s="37">
        <v>177</v>
      </c>
      <c r="B146" s="39"/>
      <c r="C146" s="74" t="s">
        <v>267</v>
      </c>
      <c r="D146" s="86">
        <f>IFERROR(VLOOKUP(C146, $C$2:D145, 2, FALSE), MAX($D$2:D145)+1)</f>
        <v>27</v>
      </c>
      <c r="E146" s="39">
        <v>88</v>
      </c>
      <c r="F146" s="39">
        <v>5.7</v>
      </c>
      <c r="G146" s="39">
        <v>1.2</v>
      </c>
      <c r="H146" s="39">
        <v>3.8</v>
      </c>
      <c r="I146" s="39">
        <v>0</v>
      </c>
      <c r="J146" s="39">
        <v>0</v>
      </c>
      <c r="K146" s="39">
        <v>0</v>
      </c>
      <c r="L146" s="39">
        <v>0</v>
      </c>
      <c r="M146" s="39">
        <v>0</v>
      </c>
      <c r="N146" s="39">
        <v>1.3</v>
      </c>
      <c r="O146" s="39" t="s">
        <v>81</v>
      </c>
      <c r="P146" s="39" t="s">
        <v>81</v>
      </c>
      <c r="Q146" s="39" t="s">
        <v>81</v>
      </c>
      <c r="R146" s="39" t="s">
        <v>81</v>
      </c>
      <c r="S146" s="39" t="s">
        <v>81</v>
      </c>
      <c r="T146" s="39">
        <v>940</v>
      </c>
      <c r="U146" s="39" t="s">
        <v>81</v>
      </c>
      <c r="V146" s="39">
        <v>1</v>
      </c>
      <c r="W146" s="39">
        <v>0</v>
      </c>
      <c r="X146" s="39">
        <v>0</v>
      </c>
      <c r="Y146" s="39">
        <v>0</v>
      </c>
      <c r="Z146" s="39"/>
      <c r="AA146" s="39"/>
      <c r="AB146" s="39">
        <v>1230</v>
      </c>
      <c r="AC146" s="39">
        <v>1150</v>
      </c>
      <c r="AD146" s="39">
        <v>11</v>
      </c>
      <c r="AE146" s="39">
        <v>3.8</v>
      </c>
      <c r="AF146" s="39"/>
      <c r="AG146" s="39"/>
      <c r="AH146" s="39"/>
      <c r="AI146" s="39"/>
      <c r="AJ146" s="39"/>
      <c r="AK146" s="39"/>
      <c r="AL146" s="39">
        <v>246</v>
      </c>
      <c r="AM146" s="39"/>
      <c r="AN146" s="40"/>
      <c r="AO146" s="40" t="s">
        <v>269</v>
      </c>
      <c r="AP146" s="44">
        <v>44</v>
      </c>
      <c r="AQ146" s="41" t="s">
        <v>83</v>
      </c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</row>
    <row r="147" spans="1:61" s="12" customFormat="1" ht="16.5">
      <c r="A147" s="10">
        <v>169</v>
      </c>
      <c r="B147" s="10"/>
      <c r="C147" s="74" t="s">
        <v>271</v>
      </c>
      <c r="D147" s="86">
        <f>IFERROR(VLOOKUP(C147, $C$2:D146, 2, FALSE), MAX($D$2:D146)+1)</f>
        <v>28</v>
      </c>
      <c r="E147" s="10">
        <v>89.034999999999997</v>
      </c>
      <c r="F147" s="10">
        <v>6.2</v>
      </c>
      <c r="G147" s="10">
        <v>0.02</v>
      </c>
      <c r="H147" s="10">
        <v>0</v>
      </c>
      <c r="I147" s="10">
        <v>4.3</v>
      </c>
      <c r="J147" s="10">
        <v>0</v>
      </c>
      <c r="K147" s="10">
        <v>0</v>
      </c>
      <c r="L147" s="10">
        <v>0</v>
      </c>
      <c r="M147" s="10">
        <v>0.16</v>
      </c>
      <c r="N147" s="10">
        <v>0</v>
      </c>
      <c r="O147" s="10" t="s">
        <v>81</v>
      </c>
      <c r="P147" s="10" t="s">
        <v>81</v>
      </c>
      <c r="Q147" s="10" t="s">
        <v>81</v>
      </c>
      <c r="R147" s="10" t="s">
        <v>81</v>
      </c>
      <c r="S147" s="10" t="s">
        <v>81</v>
      </c>
      <c r="T147" s="10">
        <v>1416</v>
      </c>
      <c r="U147" s="10">
        <v>1</v>
      </c>
      <c r="V147" s="10">
        <v>1</v>
      </c>
      <c r="W147" s="10">
        <v>0</v>
      </c>
      <c r="X147" s="10">
        <v>0</v>
      </c>
      <c r="Y147" s="10">
        <v>0</v>
      </c>
      <c r="Z147" s="10"/>
      <c r="AA147" s="10"/>
      <c r="AB147" s="10">
        <v>965</v>
      </c>
      <c r="AC147" s="10">
        <v>900</v>
      </c>
      <c r="AD147" s="10">
        <v>17</v>
      </c>
      <c r="AE147" s="10">
        <v>8.5</v>
      </c>
      <c r="AF147" s="10"/>
      <c r="AG147" s="10"/>
      <c r="AH147" s="10"/>
      <c r="AI147" s="10"/>
      <c r="AJ147" s="10"/>
      <c r="AK147" s="10"/>
      <c r="AL147" s="10">
        <v>540</v>
      </c>
      <c r="AM147" s="10"/>
      <c r="AN147" s="11"/>
      <c r="AO147" s="11" t="s">
        <v>272</v>
      </c>
      <c r="AP147" s="10">
        <v>43</v>
      </c>
      <c r="AQ147" s="44" t="s">
        <v>83</v>
      </c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 spans="1:61" s="12" customFormat="1" ht="16.5">
      <c r="A148" s="10">
        <v>170</v>
      </c>
      <c r="B148" s="10"/>
      <c r="C148" s="74" t="s">
        <v>271</v>
      </c>
      <c r="D148" s="86">
        <f>IFERROR(VLOOKUP(C148, $C$2:D147, 2, FALSE), MAX($D$2:D147)+1)</f>
        <v>28</v>
      </c>
      <c r="E148" s="10">
        <v>89.034999999999997</v>
      </c>
      <c r="F148" s="10">
        <v>6.2</v>
      </c>
      <c r="G148" s="10">
        <v>0.02</v>
      </c>
      <c r="H148" s="10">
        <v>0</v>
      </c>
      <c r="I148" s="10">
        <v>4.3</v>
      </c>
      <c r="J148" s="10">
        <v>0</v>
      </c>
      <c r="K148" s="10">
        <v>0</v>
      </c>
      <c r="L148" s="10">
        <v>0</v>
      </c>
      <c r="M148" s="10">
        <v>0.16</v>
      </c>
      <c r="N148" s="10">
        <v>0</v>
      </c>
      <c r="O148" s="10" t="s">
        <v>81</v>
      </c>
      <c r="P148" s="10" t="s">
        <v>81</v>
      </c>
      <c r="Q148" s="10" t="s">
        <v>81</v>
      </c>
      <c r="R148" s="10" t="s">
        <v>81</v>
      </c>
      <c r="S148" s="10" t="s">
        <v>81</v>
      </c>
      <c r="T148" s="10">
        <v>1416</v>
      </c>
      <c r="U148" s="10">
        <v>1</v>
      </c>
      <c r="V148" s="10">
        <v>1</v>
      </c>
      <c r="W148" s="10">
        <v>0</v>
      </c>
      <c r="X148" s="10">
        <v>0</v>
      </c>
      <c r="Y148" s="10">
        <v>0</v>
      </c>
      <c r="Z148" s="10"/>
      <c r="AA148" s="10"/>
      <c r="AB148" s="10">
        <v>1435</v>
      </c>
      <c r="AC148" s="10">
        <v>1360</v>
      </c>
      <c r="AD148" s="10">
        <v>9</v>
      </c>
      <c r="AE148" s="10">
        <v>1.7</v>
      </c>
      <c r="AF148" s="10"/>
      <c r="AG148" s="10"/>
      <c r="AH148" s="10"/>
      <c r="AI148" s="10"/>
      <c r="AJ148" s="10"/>
      <c r="AK148" s="10"/>
      <c r="AL148" s="10">
        <v>150</v>
      </c>
      <c r="AM148" s="10"/>
      <c r="AN148" s="11"/>
      <c r="AO148" s="11" t="s">
        <v>272</v>
      </c>
      <c r="AP148" s="10">
        <v>43</v>
      </c>
      <c r="AQ148" s="44" t="s">
        <v>83</v>
      </c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</row>
    <row r="149" spans="1:61" s="12" customFormat="1" ht="16.5">
      <c r="A149" s="10">
        <v>171</v>
      </c>
      <c r="B149" s="10"/>
      <c r="C149" s="74" t="s">
        <v>271</v>
      </c>
      <c r="D149" s="86">
        <f>IFERROR(VLOOKUP(C149, $C$2:D148, 2, FALSE), MAX($D$2:D148)+1)</f>
        <v>28</v>
      </c>
      <c r="E149" s="10">
        <v>89.034999999999997</v>
      </c>
      <c r="F149" s="10">
        <v>6.2</v>
      </c>
      <c r="G149" s="10">
        <v>0.02</v>
      </c>
      <c r="H149" s="10">
        <v>0</v>
      </c>
      <c r="I149" s="10">
        <v>4.3</v>
      </c>
      <c r="J149" s="10">
        <v>0</v>
      </c>
      <c r="K149" s="10">
        <v>0</v>
      </c>
      <c r="L149" s="10">
        <v>0</v>
      </c>
      <c r="M149" s="10">
        <v>0.16</v>
      </c>
      <c r="N149" s="10">
        <v>0</v>
      </c>
      <c r="O149" s="10" t="s">
        <v>81</v>
      </c>
      <c r="P149" s="10" t="s">
        <v>81</v>
      </c>
      <c r="Q149" s="10" t="s">
        <v>81</v>
      </c>
      <c r="R149" s="10" t="s">
        <v>81</v>
      </c>
      <c r="S149" s="10" t="s">
        <v>81</v>
      </c>
      <c r="T149" s="10">
        <v>1416</v>
      </c>
      <c r="U149" s="10">
        <v>1</v>
      </c>
      <c r="V149" s="10">
        <v>1</v>
      </c>
      <c r="W149" s="10">
        <v>0</v>
      </c>
      <c r="X149" s="10">
        <v>0</v>
      </c>
      <c r="Y149" s="10">
        <v>0</v>
      </c>
      <c r="Z149" s="10"/>
      <c r="AA149" s="10"/>
      <c r="AB149" s="10">
        <v>1220</v>
      </c>
      <c r="AC149" s="10">
        <v>1180</v>
      </c>
      <c r="AD149" s="10">
        <v>16</v>
      </c>
      <c r="AE149" s="10">
        <v>9</v>
      </c>
      <c r="AF149" s="10"/>
      <c r="AG149" s="10"/>
      <c r="AH149" s="10"/>
      <c r="AI149" s="10"/>
      <c r="AJ149" s="10"/>
      <c r="AK149" s="10"/>
      <c r="AL149" s="10">
        <v>320</v>
      </c>
      <c r="AM149" s="10"/>
      <c r="AN149" s="11"/>
      <c r="AO149" s="11" t="s">
        <v>272</v>
      </c>
      <c r="AP149" s="10">
        <v>43</v>
      </c>
      <c r="AQ149" s="44" t="s">
        <v>83</v>
      </c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</row>
    <row r="150" spans="1:61" s="12" customFormat="1" ht="16.5">
      <c r="A150" s="10">
        <v>172</v>
      </c>
      <c r="B150" s="10"/>
      <c r="C150" s="74" t="s">
        <v>271</v>
      </c>
      <c r="D150" s="86">
        <f>IFERROR(VLOOKUP(C150, $C$2:D149, 2, FALSE), MAX($D$2:D149)+1)</f>
        <v>28</v>
      </c>
      <c r="E150" s="10">
        <v>89.034999999999997</v>
      </c>
      <c r="F150" s="10">
        <v>6.2</v>
      </c>
      <c r="G150" s="10">
        <v>0.02</v>
      </c>
      <c r="H150" s="10">
        <v>0</v>
      </c>
      <c r="I150" s="10">
        <v>4.3</v>
      </c>
      <c r="J150" s="10">
        <v>0</v>
      </c>
      <c r="K150" s="10">
        <v>0</v>
      </c>
      <c r="L150" s="10">
        <v>0</v>
      </c>
      <c r="M150" s="10">
        <v>0.16</v>
      </c>
      <c r="N150" s="10">
        <v>0</v>
      </c>
      <c r="O150" s="10" t="s">
        <v>81</v>
      </c>
      <c r="P150" s="10" t="s">
        <v>81</v>
      </c>
      <c r="Q150" s="10" t="s">
        <v>81</v>
      </c>
      <c r="R150" s="10" t="s">
        <v>81</v>
      </c>
      <c r="S150" s="10" t="s">
        <v>81</v>
      </c>
      <c r="T150" s="10">
        <v>1416</v>
      </c>
      <c r="U150" s="10">
        <v>1</v>
      </c>
      <c r="V150" s="10">
        <v>1</v>
      </c>
      <c r="W150" s="10">
        <v>0</v>
      </c>
      <c r="X150" s="10">
        <v>0</v>
      </c>
      <c r="Y150" s="10">
        <v>0</v>
      </c>
      <c r="Z150" s="10"/>
      <c r="AA150" s="10"/>
      <c r="AB150" s="10">
        <v>965</v>
      </c>
      <c r="AC150" s="10">
        <v>900</v>
      </c>
      <c r="AD150" s="10">
        <v>17</v>
      </c>
      <c r="AE150" s="10">
        <v>8.5</v>
      </c>
      <c r="AF150" s="10"/>
      <c r="AG150" s="10"/>
      <c r="AH150" s="10"/>
      <c r="AI150" s="10"/>
      <c r="AJ150" s="10">
        <v>610</v>
      </c>
      <c r="AK150" s="10"/>
      <c r="AL150" s="10"/>
      <c r="AM150" s="10"/>
      <c r="AN150" s="11"/>
      <c r="AO150" s="11" t="s">
        <v>272</v>
      </c>
      <c r="AP150" s="10">
        <v>43</v>
      </c>
      <c r="AQ150" s="44" t="s">
        <v>83</v>
      </c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</row>
    <row r="151" spans="1:61" s="12" customFormat="1" ht="16.5">
      <c r="A151" s="10">
        <v>173</v>
      </c>
      <c r="B151" s="10"/>
      <c r="C151" s="74" t="s">
        <v>271</v>
      </c>
      <c r="D151" s="86">
        <f>IFERROR(VLOOKUP(C151, $C$2:D150, 2, FALSE), MAX($D$2:D150)+1)</f>
        <v>28</v>
      </c>
      <c r="E151" s="10">
        <v>89.034999999999997</v>
      </c>
      <c r="F151" s="10">
        <v>6.2</v>
      </c>
      <c r="G151" s="10">
        <v>0.02</v>
      </c>
      <c r="H151" s="10">
        <v>0</v>
      </c>
      <c r="I151" s="10">
        <v>4.3</v>
      </c>
      <c r="J151" s="10">
        <v>0</v>
      </c>
      <c r="K151" s="10">
        <v>0</v>
      </c>
      <c r="L151" s="10">
        <v>0</v>
      </c>
      <c r="M151" s="10">
        <v>0.16</v>
      </c>
      <c r="N151" s="10">
        <v>0</v>
      </c>
      <c r="O151" s="10" t="s">
        <v>81</v>
      </c>
      <c r="P151" s="10" t="s">
        <v>81</v>
      </c>
      <c r="Q151" s="10" t="s">
        <v>81</v>
      </c>
      <c r="R151" s="10" t="s">
        <v>81</v>
      </c>
      <c r="S151" s="10" t="s">
        <v>81</v>
      </c>
      <c r="T151" s="10">
        <v>1416</v>
      </c>
      <c r="U151" s="10">
        <v>1</v>
      </c>
      <c r="V151" s="10">
        <v>1</v>
      </c>
      <c r="W151" s="10">
        <v>0</v>
      </c>
      <c r="X151" s="10">
        <v>0</v>
      </c>
      <c r="Y151" s="10">
        <v>0</v>
      </c>
      <c r="Z151" s="10"/>
      <c r="AA151" s="10"/>
      <c r="AB151" s="10">
        <v>1435</v>
      </c>
      <c r="AC151" s="10">
        <v>1360</v>
      </c>
      <c r="AD151" s="10">
        <v>9</v>
      </c>
      <c r="AE151" s="10">
        <v>1.7</v>
      </c>
      <c r="AF151" s="10"/>
      <c r="AG151" s="10"/>
      <c r="AH151" s="10"/>
      <c r="AI151" s="10"/>
      <c r="AJ151" s="10">
        <v>330</v>
      </c>
      <c r="AK151" s="10"/>
      <c r="AL151" s="10"/>
      <c r="AM151" s="10"/>
      <c r="AN151" s="11"/>
      <c r="AO151" s="11" t="s">
        <v>272</v>
      </c>
      <c r="AP151" s="10">
        <v>43</v>
      </c>
      <c r="AQ151" s="44" t="s">
        <v>83</v>
      </c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</row>
    <row r="152" spans="1:61" s="12" customFormat="1" ht="16.5">
      <c r="A152" s="10">
        <v>174</v>
      </c>
      <c r="B152" s="10"/>
      <c r="C152" s="74" t="s">
        <v>271</v>
      </c>
      <c r="D152" s="86">
        <f>IFERROR(VLOOKUP(C152, $C$2:D151, 2, FALSE), MAX($D$2:D151)+1)</f>
        <v>28</v>
      </c>
      <c r="E152" s="10">
        <v>89.034999999999997</v>
      </c>
      <c r="F152" s="10">
        <v>6.2</v>
      </c>
      <c r="G152" s="10">
        <v>0.02</v>
      </c>
      <c r="H152" s="10">
        <v>0</v>
      </c>
      <c r="I152" s="10">
        <v>4.3</v>
      </c>
      <c r="J152" s="10">
        <v>0</v>
      </c>
      <c r="K152" s="10">
        <v>0</v>
      </c>
      <c r="L152" s="10">
        <v>0</v>
      </c>
      <c r="M152" s="10">
        <v>0.16</v>
      </c>
      <c r="N152" s="10">
        <v>0</v>
      </c>
      <c r="O152" s="10" t="s">
        <v>81</v>
      </c>
      <c r="P152" s="10" t="s">
        <v>81</v>
      </c>
      <c r="Q152" s="10" t="s">
        <v>81</v>
      </c>
      <c r="R152" s="10" t="s">
        <v>81</v>
      </c>
      <c r="S152" s="10" t="s">
        <v>81</v>
      </c>
      <c r="T152" s="10">
        <v>1416</v>
      </c>
      <c r="U152" s="10">
        <v>1</v>
      </c>
      <c r="V152" s="10">
        <v>1</v>
      </c>
      <c r="W152" s="10">
        <v>0</v>
      </c>
      <c r="X152" s="10">
        <v>0</v>
      </c>
      <c r="Y152" s="10">
        <v>0</v>
      </c>
      <c r="Z152" s="10"/>
      <c r="AA152" s="10"/>
      <c r="AB152" s="10">
        <v>1220</v>
      </c>
      <c r="AC152" s="10">
        <v>1180</v>
      </c>
      <c r="AD152" s="10">
        <v>16</v>
      </c>
      <c r="AE152" s="10">
        <v>9</v>
      </c>
      <c r="AF152" s="10"/>
      <c r="AG152" s="10"/>
      <c r="AH152" s="10"/>
      <c r="AI152" s="10"/>
      <c r="AJ152" s="10">
        <v>420</v>
      </c>
      <c r="AK152" s="10"/>
      <c r="AL152" s="10"/>
      <c r="AM152" s="10"/>
      <c r="AN152" s="11"/>
      <c r="AO152" s="11" t="s">
        <v>272</v>
      </c>
      <c r="AP152" s="10">
        <v>43</v>
      </c>
      <c r="AQ152" s="44" t="s">
        <v>83</v>
      </c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</row>
    <row r="153" spans="1:61" ht="16.5">
      <c r="A153" s="44">
        <v>25</v>
      </c>
      <c r="B153" s="10"/>
      <c r="C153" s="74" t="s">
        <v>195</v>
      </c>
      <c r="D153" s="86">
        <f>IFERROR(VLOOKUP(C153, $C$2:D152, 2, FALSE), MAX($D$2:D152)+1)</f>
        <v>29</v>
      </c>
      <c r="E153" s="44">
        <v>88.3</v>
      </c>
      <c r="F153" s="10">
        <v>6.1</v>
      </c>
      <c r="G153" s="44">
        <v>0.8</v>
      </c>
      <c r="H153" s="44">
        <v>0.8</v>
      </c>
      <c r="I153" s="85">
        <v>4</v>
      </c>
      <c r="J153" s="44">
        <v>0</v>
      </c>
      <c r="K153" s="44">
        <v>0</v>
      </c>
      <c r="L153" s="10">
        <v>0</v>
      </c>
      <c r="M153" s="10">
        <v>0</v>
      </c>
      <c r="N153" s="44">
        <v>0</v>
      </c>
      <c r="O153" s="10" t="s">
        <v>81</v>
      </c>
      <c r="P153" s="10" t="s">
        <v>81</v>
      </c>
      <c r="Q153" s="10" t="s">
        <v>81</v>
      </c>
      <c r="R153" s="10" t="s">
        <v>81</v>
      </c>
      <c r="S153" s="10" t="s">
        <v>81</v>
      </c>
      <c r="T153" s="10">
        <v>955</v>
      </c>
      <c r="U153" s="10">
        <v>1</v>
      </c>
      <c r="V153" s="10">
        <v>3</v>
      </c>
      <c r="W153" s="10">
        <v>500</v>
      </c>
      <c r="X153" s="10">
        <v>2</v>
      </c>
      <c r="Y153" s="10">
        <v>2</v>
      </c>
      <c r="Z153" s="44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>
        <v>55.7</v>
      </c>
      <c r="AM153" s="10"/>
      <c r="AN153" s="11"/>
      <c r="AO153" s="11" t="s">
        <v>196</v>
      </c>
      <c r="AP153" s="10">
        <v>4</v>
      </c>
      <c r="AQ153" s="73" t="s">
        <v>83</v>
      </c>
    </row>
    <row r="154" spans="1:61" ht="16.5">
      <c r="A154" s="44">
        <v>79</v>
      </c>
      <c r="B154" s="10"/>
      <c r="C154" s="74" t="s">
        <v>277</v>
      </c>
      <c r="D154" s="86">
        <f>IFERROR(VLOOKUP(C154, $C$2:D153, 2, FALSE), MAX($D$2:D153)+1)</f>
        <v>30</v>
      </c>
      <c r="E154" s="44"/>
      <c r="F154" s="10">
        <v>4.7</v>
      </c>
      <c r="G154" s="44">
        <v>0</v>
      </c>
      <c r="H154" s="44">
        <v>6.26</v>
      </c>
      <c r="I154" s="10">
        <v>0</v>
      </c>
      <c r="J154" s="44">
        <v>0</v>
      </c>
      <c r="K154" s="44">
        <v>0</v>
      </c>
      <c r="L154" s="10">
        <v>2.85</v>
      </c>
      <c r="M154" s="10">
        <v>0</v>
      </c>
      <c r="N154" s="44">
        <v>0</v>
      </c>
      <c r="O154" s="10" t="s">
        <v>81</v>
      </c>
      <c r="P154" s="10">
        <v>2</v>
      </c>
      <c r="Q154" s="10" t="s">
        <v>81</v>
      </c>
      <c r="R154" s="10" t="s">
        <v>81</v>
      </c>
      <c r="S154" s="10" t="s">
        <v>81</v>
      </c>
      <c r="T154" s="10">
        <v>890</v>
      </c>
      <c r="U154" s="10">
        <v>0.5</v>
      </c>
      <c r="V154" s="10">
        <v>1</v>
      </c>
      <c r="W154" s="10">
        <v>0</v>
      </c>
      <c r="X154" s="10">
        <v>0</v>
      </c>
      <c r="Y154" s="10">
        <v>0</v>
      </c>
      <c r="Z154" s="44"/>
      <c r="AA154" s="10"/>
      <c r="AB154" s="10">
        <v>993.4</v>
      </c>
      <c r="AC154" s="10">
        <v>370.3</v>
      </c>
      <c r="AD154" s="10">
        <v>21.8</v>
      </c>
      <c r="AE154" s="10"/>
      <c r="AF154" s="10"/>
      <c r="AG154" s="10"/>
      <c r="AH154" s="10"/>
      <c r="AI154" s="10"/>
      <c r="AJ154" s="10"/>
      <c r="AK154" s="10">
        <v>8.6999999999999993</v>
      </c>
      <c r="AL154" s="10"/>
      <c r="AM154" s="10"/>
      <c r="AN154" s="11"/>
      <c r="AO154" s="11" t="s">
        <v>278</v>
      </c>
      <c r="AP154" s="10">
        <v>17</v>
      </c>
      <c r="AQ154" s="73" t="s">
        <v>83</v>
      </c>
    </row>
    <row r="155" spans="1:61" ht="16.5">
      <c r="A155" s="44">
        <v>80</v>
      </c>
      <c r="B155" s="10"/>
      <c r="C155" s="74" t="s">
        <v>279</v>
      </c>
      <c r="D155" s="86">
        <f>IFERROR(VLOOKUP(C155, $C$2:D154, 2, FALSE), MAX($D$2:D154)+1)</f>
        <v>31</v>
      </c>
      <c r="E155" s="44"/>
      <c r="F155" s="10">
        <v>0</v>
      </c>
      <c r="G155" s="44">
        <v>0</v>
      </c>
      <c r="H155" s="44">
        <v>0</v>
      </c>
      <c r="I155" s="10">
        <v>0</v>
      </c>
      <c r="J155" s="44">
        <v>0</v>
      </c>
      <c r="K155" s="44">
        <v>0</v>
      </c>
      <c r="L155" s="10">
        <v>8.52</v>
      </c>
      <c r="M155" s="10">
        <v>0</v>
      </c>
      <c r="N155" s="44">
        <v>1.48</v>
      </c>
      <c r="O155" s="10" t="s">
        <v>81</v>
      </c>
      <c r="P155" s="10">
        <v>2</v>
      </c>
      <c r="Q155" s="10" t="s">
        <v>81</v>
      </c>
      <c r="R155" s="10" t="s">
        <v>81</v>
      </c>
      <c r="S155" s="10" t="s">
        <v>81</v>
      </c>
      <c r="T155" s="10">
        <v>760</v>
      </c>
      <c r="U155" s="10">
        <v>0.5</v>
      </c>
      <c r="V155" s="10">
        <v>1</v>
      </c>
      <c r="W155" s="10">
        <v>0</v>
      </c>
      <c r="X155" s="10">
        <v>0</v>
      </c>
      <c r="Y155" s="10">
        <v>0</v>
      </c>
      <c r="Z155" s="44"/>
      <c r="AA155" s="10"/>
      <c r="AB155" s="10">
        <v>806.3</v>
      </c>
      <c r="AC155" s="10">
        <v>428.2</v>
      </c>
      <c r="AD155" s="10">
        <v>44.8</v>
      </c>
      <c r="AE155" s="10"/>
      <c r="AF155" s="10"/>
      <c r="AG155" s="10"/>
      <c r="AH155" s="10"/>
      <c r="AI155" s="10"/>
      <c r="AJ155" s="10"/>
      <c r="AK155" s="10">
        <v>44.6</v>
      </c>
      <c r="AL155" s="10"/>
      <c r="AM155" s="10"/>
      <c r="AN155" s="11"/>
      <c r="AO155" s="11" t="s">
        <v>278</v>
      </c>
      <c r="AP155" s="10">
        <v>17</v>
      </c>
      <c r="AQ155" s="73" t="s">
        <v>83</v>
      </c>
    </row>
    <row r="156" spans="1:61">
      <c r="A156">
        <v>2</v>
      </c>
      <c r="D156"/>
      <c r="E156">
        <v>88.1</v>
      </c>
      <c r="F156">
        <v>6</v>
      </c>
      <c r="G156">
        <v>2.2000000000000002</v>
      </c>
      <c r="H156">
        <v>1.2</v>
      </c>
      <c r="I156">
        <v>0</v>
      </c>
      <c r="J156">
        <v>0</v>
      </c>
      <c r="K156">
        <v>2.5</v>
      </c>
      <c r="L156">
        <v>0</v>
      </c>
      <c r="M156">
        <v>0</v>
      </c>
      <c r="N156">
        <v>0</v>
      </c>
      <c r="O156">
        <v>2</v>
      </c>
      <c r="P156">
        <v>3</v>
      </c>
      <c r="T156">
        <v>970</v>
      </c>
      <c r="U156">
        <v>120</v>
      </c>
      <c r="V156">
        <v>3</v>
      </c>
      <c r="W156">
        <v>0</v>
      </c>
      <c r="X156">
        <v>0</v>
      </c>
      <c r="Y156" t="s">
        <v>335</v>
      </c>
      <c r="AB156">
        <v>793</v>
      </c>
      <c r="AC156">
        <v>731</v>
      </c>
      <c r="AD156">
        <v>14.5</v>
      </c>
      <c r="AL156">
        <v>128.82499999999999</v>
      </c>
      <c r="AO156" t="s">
        <v>193</v>
      </c>
      <c r="AP156">
        <v>1</v>
      </c>
      <c r="AQ156" t="s">
        <v>336</v>
      </c>
    </row>
    <row r="157" spans="1:61">
      <c r="A157">
        <v>3</v>
      </c>
      <c r="D157"/>
      <c r="E157">
        <v>88.1</v>
      </c>
      <c r="F157">
        <v>6</v>
      </c>
      <c r="G157">
        <v>2.2000000000000002</v>
      </c>
      <c r="H157">
        <v>1.2</v>
      </c>
      <c r="I157">
        <v>0</v>
      </c>
      <c r="J157">
        <v>0</v>
      </c>
      <c r="K157">
        <v>2.5</v>
      </c>
      <c r="L157">
        <v>0</v>
      </c>
      <c r="M157">
        <v>0</v>
      </c>
      <c r="N157">
        <v>0</v>
      </c>
      <c r="O157">
        <v>2</v>
      </c>
      <c r="P157">
        <v>3</v>
      </c>
      <c r="T157">
        <v>970</v>
      </c>
      <c r="U157">
        <v>120</v>
      </c>
      <c r="V157">
        <v>2</v>
      </c>
      <c r="W157">
        <v>0</v>
      </c>
      <c r="X157">
        <v>0</v>
      </c>
      <c r="Y157" t="s">
        <v>335</v>
      </c>
      <c r="AB157">
        <v>880</v>
      </c>
      <c r="AC157">
        <v>763</v>
      </c>
      <c r="AD157">
        <v>12.6</v>
      </c>
      <c r="AL157">
        <v>108.28749999999999</v>
      </c>
      <c r="AO157" t="s">
        <v>337</v>
      </c>
      <c r="AP157">
        <v>1</v>
      </c>
      <c r="AQ157" t="s">
        <v>336</v>
      </c>
    </row>
    <row r="158" spans="1:61">
      <c r="A158">
        <v>4</v>
      </c>
      <c r="D158"/>
      <c r="E158">
        <v>88.1</v>
      </c>
      <c r="F158">
        <v>6</v>
      </c>
      <c r="G158">
        <v>2.2000000000000002</v>
      </c>
      <c r="H158">
        <v>1.2</v>
      </c>
      <c r="I158">
        <v>0</v>
      </c>
      <c r="J158">
        <v>0</v>
      </c>
      <c r="K158">
        <v>2.5</v>
      </c>
      <c r="L158">
        <v>0</v>
      </c>
      <c r="M158">
        <v>0</v>
      </c>
      <c r="N158">
        <v>0</v>
      </c>
      <c r="O158">
        <v>2</v>
      </c>
      <c r="P158">
        <v>3</v>
      </c>
      <c r="T158">
        <v>970</v>
      </c>
      <c r="U158">
        <v>120</v>
      </c>
      <c r="V158">
        <v>1</v>
      </c>
      <c r="W158">
        <v>600</v>
      </c>
      <c r="X158">
        <v>300</v>
      </c>
      <c r="Y158">
        <v>2</v>
      </c>
      <c r="AB158">
        <v>984</v>
      </c>
      <c r="AC158">
        <v>918</v>
      </c>
      <c r="AD158">
        <v>10.1</v>
      </c>
      <c r="AL158">
        <v>63.725000000000001</v>
      </c>
      <c r="AO158" t="s">
        <v>338</v>
      </c>
      <c r="AP158">
        <v>1</v>
      </c>
      <c r="AQ158" t="s">
        <v>336</v>
      </c>
    </row>
    <row r="159" spans="1:61">
      <c r="A159">
        <v>5</v>
      </c>
      <c r="D159"/>
      <c r="E159">
        <v>88.3</v>
      </c>
      <c r="F159">
        <v>6.1</v>
      </c>
      <c r="G159">
        <v>0.8</v>
      </c>
      <c r="H159">
        <v>0.8</v>
      </c>
      <c r="I159">
        <v>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3</v>
      </c>
      <c r="T159">
        <v>910</v>
      </c>
      <c r="U159">
        <v>120</v>
      </c>
      <c r="V159">
        <v>1</v>
      </c>
      <c r="W159">
        <v>500</v>
      </c>
      <c r="X159">
        <v>120</v>
      </c>
      <c r="Y159">
        <v>2</v>
      </c>
      <c r="AB159">
        <v>1225</v>
      </c>
      <c r="AD159">
        <v>13.14</v>
      </c>
      <c r="AL159">
        <v>21.98</v>
      </c>
      <c r="AO159" t="s">
        <v>196</v>
      </c>
      <c r="AP159">
        <v>2</v>
      </c>
      <c r="AQ159" t="s">
        <v>336</v>
      </c>
    </row>
    <row r="160" spans="1:61">
      <c r="A160">
        <v>6</v>
      </c>
      <c r="D160"/>
      <c r="E160">
        <v>90</v>
      </c>
      <c r="F160">
        <v>6</v>
      </c>
      <c r="G160">
        <v>0</v>
      </c>
      <c r="H160">
        <v>0</v>
      </c>
      <c r="I160">
        <v>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3</v>
      </c>
      <c r="T160">
        <v>700</v>
      </c>
      <c r="U160">
        <v>240</v>
      </c>
      <c r="V160">
        <v>2</v>
      </c>
      <c r="W160">
        <v>0</v>
      </c>
      <c r="X160">
        <v>0</v>
      </c>
      <c r="Y160" t="s">
        <v>335</v>
      </c>
      <c r="AL160">
        <v>53.3</v>
      </c>
      <c r="AO160" t="s">
        <v>198</v>
      </c>
      <c r="AP160">
        <v>3</v>
      </c>
      <c r="AQ160" t="s">
        <v>336</v>
      </c>
    </row>
    <row r="161" spans="1:43">
      <c r="A161">
        <v>7</v>
      </c>
      <c r="D161"/>
      <c r="E161">
        <v>93.5</v>
      </c>
      <c r="F161">
        <v>2.5</v>
      </c>
      <c r="G161">
        <v>3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2</v>
      </c>
      <c r="T161">
        <v>950</v>
      </c>
      <c r="U161">
        <v>60</v>
      </c>
      <c r="V161">
        <v>3</v>
      </c>
      <c r="W161">
        <v>0</v>
      </c>
      <c r="X161">
        <v>0</v>
      </c>
      <c r="Y161" t="s">
        <v>335</v>
      </c>
      <c r="AL161">
        <v>83.56</v>
      </c>
      <c r="AO161" t="s">
        <v>194</v>
      </c>
      <c r="AP161">
        <v>4</v>
      </c>
      <c r="AQ161" t="s">
        <v>336</v>
      </c>
    </row>
    <row r="162" spans="1:43">
      <c r="A162">
        <v>8</v>
      </c>
      <c r="D162"/>
      <c r="E162">
        <v>94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2</v>
      </c>
      <c r="T162">
        <v>830</v>
      </c>
      <c r="U162">
        <v>120</v>
      </c>
      <c r="V162">
        <v>2</v>
      </c>
      <c r="W162">
        <v>0</v>
      </c>
      <c r="X162">
        <v>0</v>
      </c>
      <c r="Y162" t="s">
        <v>335</v>
      </c>
      <c r="AB162">
        <v>841</v>
      </c>
      <c r="AD162">
        <v>0.15</v>
      </c>
      <c r="AL162">
        <v>37.25</v>
      </c>
      <c r="AO162" t="s">
        <v>228</v>
      </c>
      <c r="AP162">
        <v>5</v>
      </c>
      <c r="AQ162" t="s">
        <v>336</v>
      </c>
    </row>
    <row r="163" spans="1:43">
      <c r="A163">
        <v>9</v>
      </c>
      <c r="D163"/>
      <c r="E163">
        <v>92</v>
      </c>
      <c r="F163">
        <v>6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2</v>
      </c>
      <c r="T163">
        <v>830</v>
      </c>
      <c r="U163">
        <v>120</v>
      </c>
      <c r="V163">
        <v>2</v>
      </c>
      <c r="W163">
        <v>0</v>
      </c>
      <c r="X163">
        <v>0</v>
      </c>
      <c r="Y163" t="s">
        <v>335</v>
      </c>
      <c r="AB163">
        <v>835</v>
      </c>
      <c r="AD163">
        <v>0.14000000000000001</v>
      </c>
      <c r="AL163">
        <v>78.5</v>
      </c>
      <c r="AO163" t="s">
        <v>228</v>
      </c>
      <c r="AP163">
        <v>5</v>
      </c>
      <c r="AQ163" t="s">
        <v>336</v>
      </c>
    </row>
    <row r="164" spans="1:43">
      <c r="A164">
        <v>10</v>
      </c>
      <c r="D164"/>
      <c r="E164">
        <v>91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2</v>
      </c>
      <c r="P164">
        <v>2</v>
      </c>
      <c r="T164">
        <v>830</v>
      </c>
      <c r="U164">
        <v>120</v>
      </c>
      <c r="V164">
        <v>2</v>
      </c>
      <c r="W164">
        <v>0</v>
      </c>
      <c r="X164">
        <v>0</v>
      </c>
      <c r="Y164" t="s">
        <v>335</v>
      </c>
      <c r="AB164">
        <v>844</v>
      </c>
      <c r="AD164">
        <v>0.14000000000000001</v>
      </c>
      <c r="AL164">
        <v>79.125</v>
      </c>
      <c r="AO164" t="s">
        <v>228</v>
      </c>
      <c r="AP164">
        <v>5</v>
      </c>
      <c r="AQ164" t="s">
        <v>336</v>
      </c>
    </row>
    <row r="165" spans="1:43">
      <c r="A165">
        <v>11</v>
      </c>
      <c r="D165"/>
      <c r="E165">
        <v>85</v>
      </c>
      <c r="F165">
        <v>0</v>
      </c>
      <c r="G165">
        <v>0</v>
      </c>
      <c r="H165">
        <v>15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t="s">
        <v>339</v>
      </c>
      <c r="T165">
        <v>900</v>
      </c>
      <c r="U165">
        <v>60</v>
      </c>
      <c r="V165">
        <v>1</v>
      </c>
      <c r="W165">
        <v>0</v>
      </c>
      <c r="X165">
        <v>0</v>
      </c>
      <c r="Y165" t="s">
        <v>335</v>
      </c>
      <c r="AB165">
        <v>701</v>
      </c>
      <c r="AC165">
        <v>440</v>
      </c>
      <c r="AD165">
        <v>47</v>
      </c>
      <c r="AL165">
        <v>252</v>
      </c>
      <c r="AO165" t="s">
        <v>131</v>
      </c>
      <c r="AP165">
        <v>6</v>
      </c>
      <c r="AQ165" t="s">
        <v>336</v>
      </c>
    </row>
    <row r="166" spans="1:43">
      <c r="A166">
        <v>12</v>
      </c>
      <c r="D166"/>
      <c r="E166">
        <v>84</v>
      </c>
      <c r="F166">
        <v>0</v>
      </c>
      <c r="G166">
        <v>0</v>
      </c>
      <c r="H166">
        <v>15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 t="s">
        <v>339</v>
      </c>
      <c r="T166">
        <v>900</v>
      </c>
      <c r="U166">
        <v>60</v>
      </c>
      <c r="V166">
        <v>1</v>
      </c>
      <c r="W166">
        <v>0</v>
      </c>
      <c r="X166">
        <v>0</v>
      </c>
      <c r="Y166" t="s">
        <v>335</v>
      </c>
      <c r="AB166">
        <v>845</v>
      </c>
      <c r="AC166">
        <v>845</v>
      </c>
      <c r="AD166">
        <v>22</v>
      </c>
      <c r="AL166">
        <v>64</v>
      </c>
      <c r="AO166" t="s">
        <v>340</v>
      </c>
      <c r="AP166">
        <v>6</v>
      </c>
      <c r="AQ166" t="s">
        <v>336</v>
      </c>
    </row>
    <row r="167" spans="1:43">
      <c r="A167">
        <v>13</v>
      </c>
      <c r="D167"/>
      <c r="E167">
        <v>88</v>
      </c>
      <c r="F167">
        <v>6</v>
      </c>
      <c r="G167">
        <v>2</v>
      </c>
      <c r="H167">
        <v>1</v>
      </c>
      <c r="I167">
        <v>0</v>
      </c>
      <c r="J167">
        <v>0</v>
      </c>
      <c r="K167">
        <v>3</v>
      </c>
      <c r="L167">
        <v>0</v>
      </c>
      <c r="M167">
        <v>0</v>
      </c>
      <c r="N167">
        <v>0</v>
      </c>
      <c r="O167">
        <v>2</v>
      </c>
      <c r="P167">
        <v>1</v>
      </c>
      <c r="T167">
        <v>0</v>
      </c>
      <c r="U167">
        <v>0</v>
      </c>
      <c r="V167" t="s">
        <v>341</v>
      </c>
      <c r="W167">
        <v>0</v>
      </c>
      <c r="X167">
        <v>0</v>
      </c>
      <c r="Y167" t="s">
        <v>335</v>
      </c>
      <c r="AL167">
        <v>63.75</v>
      </c>
      <c r="AO167" t="s">
        <v>252</v>
      </c>
      <c r="AP167">
        <v>7</v>
      </c>
      <c r="AQ167" t="s">
        <v>336</v>
      </c>
    </row>
    <row r="168" spans="1:43">
      <c r="A168">
        <v>14</v>
      </c>
      <c r="D168"/>
      <c r="E168">
        <v>88.6</v>
      </c>
      <c r="F168">
        <v>6.1</v>
      </c>
      <c r="G168">
        <v>0.65</v>
      </c>
      <c r="H168">
        <v>0.65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3</v>
      </c>
      <c r="T168">
        <v>0</v>
      </c>
      <c r="U168">
        <v>0</v>
      </c>
      <c r="V168" t="s">
        <v>341</v>
      </c>
      <c r="W168">
        <v>0</v>
      </c>
      <c r="X168">
        <v>0</v>
      </c>
      <c r="Y168" t="s">
        <v>335</v>
      </c>
      <c r="AL168">
        <v>32.5</v>
      </c>
      <c r="AO168" t="s">
        <v>342</v>
      </c>
      <c r="AP168">
        <v>8</v>
      </c>
      <c r="AQ168" t="s">
        <v>336</v>
      </c>
    </row>
    <row r="169" spans="1:43">
      <c r="A169">
        <v>15</v>
      </c>
      <c r="D169"/>
      <c r="E169">
        <v>88.6</v>
      </c>
      <c r="F169">
        <v>6.1</v>
      </c>
      <c r="G169">
        <v>0.65</v>
      </c>
      <c r="H169">
        <v>0.65</v>
      </c>
      <c r="I169">
        <v>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3</v>
      </c>
      <c r="T169">
        <v>910</v>
      </c>
      <c r="U169">
        <v>120</v>
      </c>
      <c r="V169">
        <v>2</v>
      </c>
      <c r="W169">
        <v>500</v>
      </c>
      <c r="X169">
        <v>120</v>
      </c>
      <c r="Y169">
        <v>2</v>
      </c>
      <c r="AL169">
        <v>20</v>
      </c>
      <c r="AO169" t="s">
        <v>342</v>
      </c>
      <c r="AP169">
        <v>8</v>
      </c>
      <c r="AQ169" t="s">
        <v>336</v>
      </c>
    </row>
    <row r="170" spans="1:43">
      <c r="A170">
        <v>16</v>
      </c>
      <c r="D170"/>
      <c r="E170">
        <v>88.6</v>
      </c>
      <c r="F170">
        <v>6.1</v>
      </c>
      <c r="G170">
        <v>0.65</v>
      </c>
      <c r="H170">
        <v>0.65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3</v>
      </c>
      <c r="T170">
        <v>910</v>
      </c>
      <c r="U170">
        <v>60</v>
      </c>
      <c r="V170">
        <v>3</v>
      </c>
      <c r="W170">
        <v>0</v>
      </c>
      <c r="X170">
        <v>0</v>
      </c>
      <c r="Y170" t="s">
        <v>335</v>
      </c>
      <c r="AL170">
        <v>55</v>
      </c>
      <c r="AO170" t="s">
        <v>342</v>
      </c>
      <c r="AP170">
        <v>8</v>
      </c>
      <c r="AQ170" t="s">
        <v>336</v>
      </c>
    </row>
    <row r="171" spans="1:43">
      <c r="A171">
        <v>17</v>
      </c>
      <c r="D171"/>
      <c r="E171">
        <v>81.05</v>
      </c>
      <c r="F171">
        <v>5.01</v>
      </c>
      <c r="G171">
        <v>1</v>
      </c>
      <c r="H171">
        <v>4.97</v>
      </c>
      <c r="I171">
        <v>4.9800000000000004</v>
      </c>
      <c r="J171">
        <v>0</v>
      </c>
      <c r="K171">
        <v>0</v>
      </c>
      <c r="L171">
        <v>2.99</v>
      </c>
      <c r="M171">
        <v>0</v>
      </c>
      <c r="N171">
        <v>0</v>
      </c>
      <c r="O171">
        <v>2</v>
      </c>
      <c r="P171">
        <v>2</v>
      </c>
      <c r="T171">
        <v>860</v>
      </c>
      <c r="U171">
        <v>120</v>
      </c>
      <c r="V171">
        <v>3</v>
      </c>
      <c r="W171">
        <v>610</v>
      </c>
      <c r="X171">
        <v>180</v>
      </c>
      <c r="Y171">
        <v>2</v>
      </c>
      <c r="AB171">
        <v>1155.24</v>
      </c>
      <c r="AD171">
        <v>10.45</v>
      </c>
      <c r="AL171">
        <v>15.33</v>
      </c>
      <c r="AO171" t="s">
        <v>148</v>
      </c>
      <c r="AP171">
        <v>9</v>
      </c>
      <c r="AQ171" t="s">
        <v>336</v>
      </c>
    </row>
    <row r="172" spans="1:43">
      <c r="A172">
        <v>18</v>
      </c>
      <c r="D172"/>
      <c r="E172">
        <v>81.05</v>
      </c>
      <c r="F172">
        <v>5.01</v>
      </c>
      <c r="G172">
        <v>1</v>
      </c>
      <c r="H172">
        <v>4.97</v>
      </c>
      <c r="I172">
        <v>4.9800000000000004</v>
      </c>
      <c r="J172">
        <v>0</v>
      </c>
      <c r="K172">
        <v>0</v>
      </c>
      <c r="L172">
        <v>2.99</v>
      </c>
      <c r="M172">
        <v>0</v>
      </c>
      <c r="N172">
        <v>0</v>
      </c>
      <c r="O172">
        <v>2</v>
      </c>
      <c r="P172">
        <v>2</v>
      </c>
      <c r="T172">
        <v>860</v>
      </c>
      <c r="U172">
        <v>120</v>
      </c>
      <c r="V172">
        <v>3</v>
      </c>
      <c r="W172">
        <v>640</v>
      </c>
      <c r="X172">
        <v>180</v>
      </c>
      <c r="Y172">
        <v>2</v>
      </c>
      <c r="AB172">
        <v>1122.02</v>
      </c>
      <c r="AD172">
        <v>11.2</v>
      </c>
      <c r="AL172">
        <v>19.28</v>
      </c>
      <c r="AO172" t="s">
        <v>343</v>
      </c>
      <c r="AP172">
        <v>9</v>
      </c>
      <c r="AQ172" t="s">
        <v>336</v>
      </c>
    </row>
    <row r="173" spans="1:43">
      <c r="A173">
        <v>19</v>
      </c>
      <c r="D173"/>
      <c r="E173">
        <v>81.05</v>
      </c>
      <c r="F173">
        <v>5.01</v>
      </c>
      <c r="G173">
        <v>1</v>
      </c>
      <c r="H173">
        <v>4.97</v>
      </c>
      <c r="I173">
        <v>4.9800000000000004</v>
      </c>
      <c r="J173">
        <v>0</v>
      </c>
      <c r="K173">
        <v>0</v>
      </c>
      <c r="L173">
        <v>2.99</v>
      </c>
      <c r="M173">
        <v>0</v>
      </c>
      <c r="N173">
        <v>0</v>
      </c>
      <c r="O173">
        <v>2</v>
      </c>
      <c r="P173">
        <v>2</v>
      </c>
      <c r="T173">
        <v>860</v>
      </c>
      <c r="U173">
        <v>120</v>
      </c>
      <c r="V173">
        <v>3</v>
      </c>
      <c r="W173">
        <v>670</v>
      </c>
      <c r="X173">
        <v>180</v>
      </c>
      <c r="Y173">
        <v>2</v>
      </c>
      <c r="AB173">
        <v>949.11</v>
      </c>
      <c r="AD173">
        <v>13.09</v>
      </c>
      <c r="AL173">
        <v>28.19</v>
      </c>
      <c r="AO173" t="s">
        <v>344</v>
      </c>
      <c r="AP173">
        <v>9</v>
      </c>
      <c r="AQ173" t="s">
        <v>336</v>
      </c>
    </row>
    <row r="174" spans="1:43">
      <c r="A174">
        <v>20</v>
      </c>
      <c r="D174"/>
      <c r="E174">
        <v>90</v>
      </c>
      <c r="F174">
        <v>6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2</v>
      </c>
      <c r="T174">
        <v>800</v>
      </c>
      <c r="U174">
        <v>60</v>
      </c>
      <c r="V174">
        <v>2</v>
      </c>
      <c r="W174">
        <v>0</v>
      </c>
      <c r="X174">
        <v>0</v>
      </c>
      <c r="Y174" t="s">
        <v>335</v>
      </c>
      <c r="AB174">
        <v>924</v>
      </c>
      <c r="AC174">
        <v>813</v>
      </c>
      <c r="AD174">
        <v>14.5</v>
      </c>
      <c r="AF174">
        <v>50</v>
      </c>
      <c r="AL174">
        <v>50</v>
      </c>
      <c r="AO174" t="s">
        <v>120</v>
      </c>
      <c r="AP174">
        <v>10</v>
      </c>
      <c r="AQ174" t="s">
        <v>336</v>
      </c>
    </row>
    <row r="175" spans="1:43">
      <c r="A175">
        <v>21</v>
      </c>
      <c r="D175"/>
      <c r="E175">
        <v>90</v>
      </c>
      <c r="F175">
        <v>6</v>
      </c>
      <c r="G175">
        <v>0</v>
      </c>
      <c r="H175">
        <v>0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2</v>
      </c>
      <c r="T175">
        <v>900</v>
      </c>
      <c r="U175">
        <v>60</v>
      </c>
      <c r="V175">
        <v>2</v>
      </c>
      <c r="W175">
        <v>0</v>
      </c>
      <c r="X175">
        <v>0</v>
      </c>
      <c r="Y175" t="s">
        <v>335</v>
      </c>
      <c r="AB175">
        <v>930</v>
      </c>
      <c r="AC175">
        <v>826</v>
      </c>
      <c r="AD175">
        <v>16</v>
      </c>
      <c r="AF175">
        <v>53</v>
      </c>
      <c r="AL175">
        <v>85</v>
      </c>
      <c r="AO175" t="s">
        <v>345</v>
      </c>
      <c r="AP175">
        <v>10</v>
      </c>
      <c r="AQ175" t="s">
        <v>336</v>
      </c>
    </row>
    <row r="176" spans="1:43">
      <c r="A176">
        <v>22</v>
      </c>
      <c r="D176"/>
      <c r="E176">
        <v>90</v>
      </c>
      <c r="F176">
        <v>6</v>
      </c>
      <c r="G176">
        <v>0</v>
      </c>
      <c r="H176">
        <v>0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2</v>
      </c>
      <c r="T176">
        <v>1000</v>
      </c>
      <c r="U176">
        <v>60</v>
      </c>
      <c r="V176">
        <v>2</v>
      </c>
      <c r="W176">
        <v>0</v>
      </c>
      <c r="X176">
        <v>0</v>
      </c>
      <c r="Y176" t="s">
        <v>335</v>
      </c>
      <c r="AB176">
        <v>975</v>
      </c>
      <c r="AC176">
        <v>798</v>
      </c>
      <c r="AD176">
        <v>12</v>
      </c>
      <c r="AF176">
        <v>34</v>
      </c>
      <c r="AL176">
        <v>60</v>
      </c>
      <c r="AO176" t="s">
        <v>346</v>
      </c>
      <c r="AP176">
        <v>10</v>
      </c>
      <c r="AQ176" t="s">
        <v>336</v>
      </c>
    </row>
    <row r="177" spans="1:43">
      <c r="A177">
        <v>23</v>
      </c>
      <c r="D177"/>
      <c r="E177">
        <v>90</v>
      </c>
      <c r="F177">
        <v>6</v>
      </c>
      <c r="G177">
        <v>0</v>
      </c>
      <c r="H177">
        <v>0</v>
      </c>
      <c r="I177">
        <v>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2</v>
      </c>
      <c r="T177">
        <v>1000</v>
      </c>
      <c r="U177">
        <v>60</v>
      </c>
      <c r="V177">
        <v>2</v>
      </c>
      <c r="W177">
        <v>0</v>
      </c>
      <c r="X177">
        <v>0</v>
      </c>
      <c r="Y177" t="s">
        <v>335</v>
      </c>
      <c r="AB177">
        <v>881</v>
      </c>
      <c r="AC177">
        <v>743</v>
      </c>
      <c r="AD177">
        <v>14</v>
      </c>
      <c r="AF177">
        <v>38</v>
      </c>
      <c r="AL177">
        <v>63</v>
      </c>
      <c r="AO177" t="s">
        <v>347</v>
      </c>
      <c r="AP177">
        <v>10</v>
      </c>
      <c r="AQ177" t="s">
        <v>336</v>
      </c>
    </row>
    <row r="178" spans="1:43">
      <c r="A178">
        <v>24</v>
      </c>
      <c r="D178"/>
      <c r="E178">
        <v>81</v>
      </c>
      <c r="F178">
        <v>5</v>
      </c>
      <c r="G178">
        <v>1</v>
      </c>
      <c r="H178">
        <v>5</v>
      </c>
      <c r="I178">
        <v>5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2</v>
      </c>
      <c r="P178" t="s">
        <v>341</v>
      </c>
      <c r="T178">
        <v>840</v>
      </c>
      <c r="U178">
        <v>90</v>
      </c>
      <c r="V178">
        <v>2</v>
      </c>
      <c r="W178">
        <v>580</v>
      </c>
      <c r="X178">
        <v>480</v>
      </c>
      <c r="Y178">
        <v>2</v>
      </c>
      <c r="AB178">
        <v>1154</v>
      </c>
      <c r="AD178">
        <v>16.899999999999999</v>
      </c>
      <c r="AL178">
        <v>33.625</v>
      </c>
      <c r="AO178" t="s">
        <v>204</v>
      </c>
      <c r="AP178">
        <v>11</v>
      </c>
      <c r="AQ178" t="s">
        <v>336</v>
      </c>
    </row>
    <row r="179" spans="1:43">
      <c r="A179">
        <v>25</v>
      </c>
      <c r="D179"/>
      <c r="E179">
        <v>81</v>
      </c>
      <c r="F179">
        <v>5</v>
      </c>
      <c r="G179">
        <v>1</v>
      </c>
      <c r="H179">
        <v>5</v>
      </c>
      <c r="I179">
        <v>5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2</v>
      </c>
      <c r="P179" t="s">
        <v>341</v>
      </c>
      <c r="T179">
        <v>860</v>
      </c>
      <c r="U179">
        <v>90</v>
      </c>
      <c r="V179">
        <v>2</v>
      </c>
      <c r="W179">
        <v>580</v>
      </c>
      <c r="X179">
        <v>480</v>
      </c>
      <c r="Y179">
        <v>2</v>
      </c>
      <c r="AB179">
        <v>1158</v>
      </c>
      <c r="AD179">
        <v>17.3</v>
      </c>
      <c r="AL179">
        <v>30.75</v>
      </c>
      <c r="AO179" t="s">
        <v>348</v>
      </c>
      <c r="AP179">
        <v>11</v>
      </c>
      <c r="AQ179" t="s">
        <v>336</v>
      </c>
    </row>
    <row r="180" spans="1:43">
      <c r="A180">
        <v>26</v>
      </c>
      <c r="D180"/>
      <c r="E180">
        <v>81</v>
      </c>
      <c r="F180">
        <v>5</v>
      </c>
      <c r="G180">
        <v>1</v>
      </c>
      <c r="H180">
        <v>5</v>
      </c>
      <c r="I180">
        <v>5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2</v>
      </c>
      <c r="P180" t="s">
        <v>341</v>
      </c>
      <c r="T180">
        <v>870</v>
      </c>
      <c r="U180">
        <v>90</v>
      </c>
      <c r="V180">
        <v>2</v>
      </c>
      <c r="W180">
        <v>580</v>
      </c>
      <c r="X180">
        <v>480</v>
      </c>
      <c r="Y180">
        <v>2</v>
      </c>
      <c r="AB180">
        <v>1156</v>
      </c>
      <c r="AD180">
        <v>15.7</v>
      </c>
      <c r="AL180">
        <v>31.875</v>
      </c>
      <c r="AO180" t="s">
        <v>349</v>
      </c>
      <c r="AP180">
        <v>11</v>
      </c>
      <c r="AQ180" t="s">
        <v>336</v>
      </c>
    </row>
    <row r="181" spans="1:43">
      <c r="A181">
        <v>27</v>
      </c>
      <c r="D181"/>
      <c r="E181">
        <v>81</v>
      </c>
      <c r="F181">
        <v>5</v>
      </c>
      <c r="G181">
        <v>1</v>
      </c>
      <c r="H181">
        <v>5</v>
      </c>
      <c r="I181">
        <v>5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2</v>
      </c>
      <c r="P181" t="s">
        <v>341</v>
      </c>
      <c r="T181">
        <v>880</v>
      </c>
      <c r="U181">
        <v>90</v>
      </c>
      <c r="V181">
        <v>2</v>
      </c>
      <c r="W181">
        <v>580</v>
      </c>
      <c r="X181">
        <v>480</v>
      </c>
      <c r="Y181">
        <v>2</v>
      </c>
      <c r="AB181">
        <v>1150</v>
      </c>
      <c r="AD181">
        <v>14.9</v>
      </c>
      <c r="AL181">
        <v>32.75</v>
      </c>
      <c r="AO181" t="s">
        <v>350</v>
      </c>
      <c r="AP181">
        <v>11</v>
      </c>
      <c r="AQ181" t="s">
        <v>336</v>
      </c>
    </row>
    <row r="182" spans="1:43">
      <c r="A182">
        <v>28</v>
      </c>
      <c r="D182"/>
      <c r="E182">
        <v>81</v>
      </c>
      <c r="F182">
        <v>5</v>
      </c>
      <c r="G182">
        <v>1</v>
      </c>
      <c r="H182">
        <v>5</v>
      </c>
      <c r="I182">
        <v>5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2</v>
      </c>
      <c r="P182" t="s">
        <v>341</v>
      </c>
      <c r="T182">
        <v>790</v>
      </c>
      <c r="U182">
        <v>60</v>
      </c>
      <c r="V182">
        <v>2</v>
      </c>
      <c r="W182">
        <v>580</v>
      </c>
      <c r="X182">
        <v>480</v>
      </c>
      <c r="Y182">
        <v>2</v>
      </c>
      <c r="AB182">
        <v>1307</v>
      </c>
      <c r="AD182">
        <v>13.8</v>
      </c>
      <c r="AL182">
        <v>22.875</v>
      </c>
      <c r="AO182" t="s">
        <v>351</v>
      </c>
      <c r="AP182">
        <v>11</v>
      </c>
      <c r="AQ182" t="s">
        <v>336</v>
      </c>
    </row>
    <row r="183" spans="1:43">
      <c r="A183">
        <v>29</v>
      </c>
      <c r="D183"/>
      <c r="E183">
        <v>81</v>
      </c>
      <c r="F183">
        <v>5</v>
      </c>
      <c r="G183">
        <v>1</v>
      </c>
      <c r="H183">
        <v>5</v>
      </c>
      <c r="I183">
        <v>5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2</v>
      </c>
      <c r="P183" t="s">
        <v>341</v>
      </c>
      <c r="T183">
        <v>800</v>
      </c>
      <c r="U183">
        <v>60</v>
      </c>
      <c r="V183">
        <v>2</v>
      </c>
      <c r="W183">
        <v>580</v>
      </c>
      <c r="X183">
        <v>480</v>
      </c>
      <c r="Y183">
        <v>2</v>
      </c>
      <c r="AB183">
        <v>1357</v>
      </c>
      <c r="AD183">
        <v>13.1</v>
      </c>
      <c r="AL183">
        <v>22.25</v>
      </c>
      <c r="AO183" t="s">
        <v>352</v>
      </c>
      <c r="AP183">
        <v>11</v>
      </c>
      <c r="AQ183" t="s">
        <v>336</v>
      </c>
    </row>
    <row r="184" spans="1:43">
      <c r="A184">
        <v>30</v>
      </c>
      <c r="D184"/>
      <c r="E184">
        <v>81</v>
      </c>
      <c r="F184">
        <v>5</v>
      </c>
      <c r="G184">
        <v>1</v>
      </c>
      <c r="H184">
        <v>5</v>
      </c>
      <c r="I184">
        <v>5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2</v>
      </c>
      <c r="P184" t="s">
        <v>341</v>
      </c>
      <c r="T184">
        <v>805</v>
      </c>
      <c r="U184">
        <v>60</v>
      </c>
      <c r="V184">
        <v>2</v>
      </c>
      <c r="W184">
        <v>580</v>
      </c>
      <c r="X184">
        <v>480</v>
      </c>
      <c r="Y184">
        <v>2</v>
      </c>
      <c r="AB184">
        <v>1311</v>
      </c>
      <c r="AD184">
        <v>15.7</v>
      </c>
      <c r="AL184">
        <v>20.875</v>
      </c>
      <c r="AO184" t="s">
        <v>353</v>
      </c>
      <c r="AP184">
        <v>11</v>
      </c>
      <c r="AQ184" t="s">
        <v>336</v>
      </c>
    </row>
    <row r="185" spans="1:43">
      <c r="A185">
        <v>31</v>
      </c>
      <c r="D185"/>
      <c r="E185">
        <v>81</v>
      </c>
      <c r="F185">
        <v>5</v>
      </c>
      <c r="G185">
        <v>1</v>
      </c>
      <c r="H185">
        <v>5</v>
      </c>
      <c r="I185">
        <v>5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2</v>
      </c>
      <c r="P185" t="s">
        <v>341</v>
      </c>
      <c r="T185">
        <v>810</v>
      </c>
      <c r="U185">
        <v>60</v>
      </c>
      <c r="V185">
        <v>2</v>
      </c>
      <c r="W185">
        <v>580</v>
      </c>
      <c r="X185">
        <v>480</v>
      </c>
      <c r="Y185">
        <v>2</v>
      </c>
      <c r="AB185">
        <v>1311</v>
      </c>
      <c r="AD185">
        <v>16.7</v>
      </c>
      <c r="AL185">
        <v>23.5</v>
      </c>
      <c r="AO185" t="s">
        <v>354</v>
      </c>
      <c r="AP185">
        <v>11</v>
      </c>
      <c r="AQ185" t="s">
        <v>336</v>
      </c>
    </row>
    <row r="186" spans="1:43">
      <c r="A186">
        <v>32</v>
      </c>
      <c r="D186"/>
      <c r="E186">
        <v>81</v>
      </c>
      <c r="F186">
        <v>5</v>
      </c>
      <c r="G186">
        <v>1</v>
      </c>
      <c r="H186">
        <v>5</v>
      </c>
      <c r="I186">
        <v>5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2</v>
      </c>
      <c r="P186" t="s">
        <v>341</v>
      </c>
      <c r="T186">
        <v>815</v>
      </c>
      <c r="U186">
        <v>60</v>
      </c>
      <c r="V186">
        <v>2</v>
      </c>
      <c r="W186">
        <v>580</v>
      </c>
      <c r="X186">
        <v>480</v>
      </c>
      <c r="Y186">
        <v>2</v>
      </c>
      <c r="AB186">
        <v>1342</v>
      </c>
      <c r="AD186">
        <v>14</v>
      </c>
      <c r="AL186">
        <v>20.375</v>
      </c>
      <c r="AO186" t="s">
        <v>355</v>
      </c>
      <c r="AP186">
        <v>11</v>
      </c>
      <c r="AQ186" t="s">
        <v>336</v>
      </c>
    </row>
    <row r="187" spans="1:43">
      <c r="A187">
        <v>33</v>
      </c>
      <c r="D187"/>
      <c r="E187">
        <v>81</v>
      </c>
      <c r="F187">
        <v>5</v>
      </c>
      <c r="G187">
        <v>1</v>
      </c>
      <c r="H187">
        <v>5</v>
      </c>
      <c r="I187">
        <v>5</v>
      </c>
      <c r="J187">
        <v>0</v>
      </c>
      <c r="K187">
        <v>0</v>
      </c>
      <c r="L187">
        <v>3</v>
      </c>
      <c r="M187">
        <v>0</v>
      </c>
      <c r="N187">
        <v>0</v>
      </c>
      <c r="O187">
        <v>2</v>
      </c>
      <c r="P187" t="s">
        <v>341</v>
      </c>
      <c r="T187">
        <v>820</v>
      </c>
      <c r="U187">
        <v>60</v>
      </c>
      <c r="V187">
        <v>2</v>
      </c>
      <c r="W187">
        <v>580</v>
      </c>
      <c r="X187">
        <v>480</v>
      </c>
      <c r="Y187">
        <v>2</v>
      </c>
      <c r="AB187">
        <v>1365</v>
      </c>
      <c r="AD187">
        <v>11.6</v>
      </c>
      <c r="AL187">
        <v>20.25</v>
      </c>
      <c r="AO187" t="s">
        <v>356</v>
      </c>
      <c r="AP187">
        <v>11</v>
      </c>
      <c r="AQ187" t="s">
        <v>336</v>
      </c>
    </row>
    <row r="188" spans="1:43">
      <c r="A188">
        <v>34</v>
      </c>
      <c r="D188"/>
      <c r="E188">
        <v>81</v>
      </c>
      <c r="F188">
        <v>5</v>
      </c>
      <c r="G188">
        <v>1</v>
      </c>
      <c r="H188">
        <v>5</v>
      </c>
      <c r="I188">
        <v>5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2</v>
      </c>
      <c r="P188" t="s">
        <v>341</v>
      </c>
      <c r="T188">
        <v>830</v>
      </c>
      <c r="U188">
        <v>60</v>
      </c>
      <c r="V188">
        <v>2</v>
      </c>
      <c r="W188">
        <v>580</v>
      </c>
      <c r="X188">
        <v>480</v>
      </c>
      <c r="Y188">
        <v>2</v>
      </c>
      <c r="AB188">
        <v>1356</v>
      </c>
      <c r="AD188">
        <v>9.4</v>
      </c>
      <c r="AL188">
        <v>20.125</v>
      </c>
      <c r="AO188" t="s">
        <v>357</v>
      </c>
      <c r="AP188">
        <v>11</v>
      </c>
      <c r="AQ188" t="s">
        <v>336</v>
      </c>
    </row>
    <row r="189" spans="1:43">
      <c r="A189">
        <v>35</v>
      </c>
      <c r="D189"/>
      <c r="E189">
        <v>81</v>
      </c>
      <c r="F189">
        <v>5</v>
      </c>
      <c r="G189">
        <v>1</v>
      </c>
      <c r="H189">
        <v>5</v>
      </c>
      <c r="I189">
        <v>5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2</v>
      </c>
      <c r="P189" t="s">
        <v>341</v>
      </c>
      <c r="T189">
        <v>900</v>
      </c>
      <c r="U189">
        <v>90</v>
      </c>
      <c r="V189">
        <v>2</v>
      </c>
      <c r="W189">
        <v>580</v>
      </c>
      <c r="X189">
        <v>480</v>
      </c>
      <c r="Y189">
        <v>2</v>
      </c>
      <c r="AB189">
        <v>1176</v>
      </c>
      <c r="AD189">
        <v>13.8</v>
      </c>
      <c r="AL189">
        <v>29.5</v>
      </c>
      <c r="AO189" t="s">
        <v>358</v>
      </c>
      <c r="AP189">
        <v>11</v>
      </c>
      <c r="AQ189" t="s">
        <v>336</v>
      </c>
    </row>
    <row r="190" spans="1:43">
      <c r="A190">
        <v>36</v>
      </c>
      <c r="D190"/>
      <c r="E190">
        <v>86.19</v>
      </c>
      <c r="F190">
        <v>4.7</v>
      </c>
      <c r="G190">
        <v>0</v>
      </c>
      <c r="H190">
        <v>6.26</v>
      </c>
      <c r="I190">
        <v>0</v>
      </c>
      <c r="J190">
        <v>0</v>
      </c>
      <c r="K190">
        <v>0</v>
      </c>
      <c r="L190">
        <v>2.85</v>
      </c>
      <c r="M190">
        <v>0</v>
      </c>
      <c r="N190">
        <v>0</v>
      </c>
      <c r="O190">
        <v>2</v>
      </c>
      <c r="P190">
        <v>3</v>
      </c>
      <c r="T190">
        <v>890</v>
      </c>
      <c r="U190">
        <v>30</v>
      </c>
      <c r="V190">
        <v>1</v>
      </c>
      <c r="W190">
        <v>0</v>
      </c>
      <c r="X190">
        <v>0</v>
      </c>
      <c r="Y190" t="s">
        <v>335</v>
      </c>
      <c r="AB190">
        <v>993.4</v>
      </c>
      <c r="AC190">
        <v>370.3</v>
      </c>
      <c r="AD190">
        <v>21.8</v>
      </c>
      <c r="AL190">
        <v>18.125</v>
      </c>
      <c r="AO190" t="s">
        <v>278</v>
      </c>
      <c r="AP190">
        <v>12</v>
      </c>
      <c r="AQ190" t="s">
        <v>336</v>
      </c>
    </row>
    <row r="191" spans="1:43">
      <c r="A191">
        <v>37</v>
      </c>
      <c r="D191"/>
      <c r="E191">
        <v>90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8.5</v>
      </c>
      <c r="M191">
        <v>0</v>
      </c>
      <c r="N191">
        <v>1.5</v>
      </c>
      <c r="O191">
        <v>2</v>
      </c>
      <c r="P191">
        <v>3</v>
      </c>
      <c r="T191">
        <v>760</v>
      </c>
      <c r="U191">
        <v>30</v>
      </c>
      <c r="V191">
        <v>1</v>
      </c>
      <c r="W191">
        <v>0</v>
      </c>
      <c r="X191">
        <v>0</v>
      </c>
      <c r="Y191" t="s">
        <v>335</v>
      </c>
      <c r="AB191">
        <v>806.3</v>
      </c>
      <c r="AC191">
        <v>428.2</v>
      </c>
      <c r="AD191">
        <v>44.8</v>
      </c>
      <c r="AL191">
        <v>92.92</v>
      </c>
      <c r="AO191" t="s">
        <v>278</v>
      </c>
      <c r="AP191">
        <v>12</v>
      </c>
      <c r="AQ191" t="s">
        <v>336</v>
      </c>
    </row>
    <row r="192" spans="1:43">
      <c r="A192">
        <v>38</v>
      </c>
      <c r="D192"/>
      <c r="E192">
        <v>100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2</v>
      </c>
      <c r="T192">
        <v>800</v>
      </c>
      <c r="U192">
        <v>60</v>
      </c>
      <c r="V192">
        <v>2</v>
      </c>
      <c r="W192">
        <v>0</v>
      </c>
      <c r="X192">
        <v>0</v>
      </c>
      <c r="Y192" t="s">
        <v>335</v>
      </c>
      <c r="AB192">
        <v>260</v>
      </c>
      <c r="AD192">
        <v>71.5</v>
      </c>
      <c r="AL192">
        <v>318.75</v>
      </c>
      <c r="AO192" t="s">
        <v>230</v>
      </c>
      <c r="AP192">
        <v>13</v>
      </c>
      <c r="AQ192" t="s">
        <v>336</v>
      </c>
    </row>
    <row r="193" spans="1:43">
      <c r="A193">
        <v>39</v>
      </c>
      <c r="D193"/>
      <c r="E193">
        <v>94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2</v>
      </c>
      <c r="T193">
        <v>1000</v>
      </c>
      <c r="U193">
        <v>60</v>
      </c>
      <c r="V193">
        <v>2</v>
      </c>
      <c r="W193">
        <v>0</v>
      </c>
      <c r="X193">
        <v>0</v>
      </c>
      <c r="Y193" t="s">
        <v>335</v>
      </c>
      <c r="AB193">
        <v>684</v>
      </c>
      <c r="AD193">
        <v>19.5</v>
      </c>
      <c r="AL193">
        <v>120</v>
      </c>
      <c r="AO193" t="s">
        <v>230</v>
      </c>
      <c r="AP193">
        <v>13</v>
      </c>
      <c r="AQ193" t="s">
        <v>336</v>
      </c>
    </row>
    <row r="194" spans="1:43">
      <c r="A194">
        <v>40</v>
      </c>
      <c r="D194"/>
      <c r="E194">
        <v>86.19</v>
      </c>
      <c r="F194">
        <v>4.7</v>
      </c>
      <c r="G194">
        <v>0</v>
      </c>
      <c r="H194">
        <v>6.26</v>
      </c>
      <c r="I194">
        <v>0</v>
      </c>
      <c r="J194">
        <v>0</v>
      </c>
      <c r="K194">
        <v>0</v>
      </c>
      <c r="L194">
        <v>2.85</v>
      </c>
      <c r="M194">
        <v>0</v>
      </c>
      <c r="N194">
        <v>0</v>
      </c>
      <c r="O194">
        <v>2</v>
      </c>
      <c r="P194">
        <v>3</v>
      </c>
      <c r="T194">
        <v>890</v>
      </c>
      <c r="U194">
        <v>30</v>
      </c>
      <c r="V194">
        <v>1</v>
      </c>
      <c r="W194">
        <v>0</v>
      </c>
      <c r="X194">
        <v>0</v>
      </c>
      <c r="Y194" t="s">
        <v>335</v>
      </c>
      <c r="AB194">
        <v>1145.4000000000001</v>
      </c>
      <c r="AC194">
        <v>343</v>
      </c>
      <c r="AD194">
        <v>20.5</v>
      </c>
      <c r="AL194">
        <v>12.875</v>
      </c>
      <c r="AO194" t="s">
        <v>242</v>
      </c>
      <c r="AP194">
        <v>14</v>
      </c>
      <c r="AQ194" t="s">
        <v>336</v>
      </c>
    </row>
    <row r="195" spans="1:43">
      <c r="A195">
        <v>41</v>
      </c>
      <c r="D195"/>
      <c r="E195">
        <v>86.19</v>
      </c>
      <c r="F195">
        <v>4.7</v>
      </c>
      <c r="G195">
        <v>0</v>
      </c>
      <c r="H195">
        <v>6.26</v>
      </c>
      <c r="I195">
        <v>0</v>
      </c>
      <c r="J195">
        <v>0</v>
      </c>
      <c r="K195">
        <v>0</v>
      </c>
      <c r="L195">
        <v>2.85</v>
      </c>
      <c r="M195">
        <v>0</v>
      </c>
      <c r="N195">
        <v>0</v>
      </c>
      <c r="O195">
        <v>2</v>
      </c>
      <c r="P195">
        <v>3</v>
      </c>
      <c r="T195">
        <v>780</v>
      </c>
      <c r="U195">
        <v>30</v>
      </c>
      <c r="V195">
        <v>1</v>
      </c>
      <c r="W195">
        <v>0</v>
      </c>
      <c r="X195">
        <v>0</v>
      </c>
      <c r="Y195" t="s">
        <v>335</v>
      </c>
      <c r="AB195">
        <v>1085.7</v>
      </c>
      <c r="AC195">
        <v>937</v>
      </c>
      <c r="AD195">
        <v>19.5</v>
      </c>
      <c r="AL195">
        <v>22</v>
      </c>
      <c r="AO195" t="s">
        <v>242</v>
      </c>
      <c r="AP195">
        <v>14</v>
      </c>
      <c r="AQ195" t="s">
        <v>336</v>
      </c>
    </row>
    <row r="196" spans="1:43">
      <c r="A196">
        <v>42</v>
      </c>
      <c r="D196"/>
      <c r="E196">
        <v>81</v>
      </c>
      <c r="F196">
        <v>5</v>
      </c>
      <c r="G196">
        <v>1</v>
      </c>
      <c r="H196">
        <v>5</v>
      </c>
      <c r="I196">
        <v>5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2</v>
      </c>
      <c r="P196">
        <v>2</v>
      </c>
      <c r="T196">
        <v>730</v>
      </c>
      <c r="U196">
        <v>30</v>
      </c>
      <c r="V196">
        <v>2</v>
      </c>
      <c r="W196">
        <v>600</v>
      </c>
      <c r="X196">
        <v>360</v>
      </c>
      <c r="Y196">
        <v>2</v>
      </c>
      <c r="AB196">
        <v>1240</v>
      </c>
      <c r="AC196">
        <v>1175</v>
      </c>
      <c r="AD196">
        <v>4.5999999999999996</v>
      </c>
      <c r="AL196">
        <v>18.537500000000001</v>
      </c>
      <c r="AO196" t="s">
        <v>244</v>
      </c>
      <c r="AP196">
        <v>15</v>
      </c>
      <c r="AQ196" t="s">
        <v>336</v>
      </c>
    </row>
    <row r="197" spans="1:43">
      <c r="A197">
        <v>43</v>
      </c>
      <c r="D197"/>
      <c r="E197">
        <v>81</v>
      </c>
      <c r="F197">
        <v>5</v>
      </c>
      <c r="G197">
        <v>1</v>
      </c>
      <c r="H197">
        <v>5</v>
      </c>
      <c r="I197">
        <v>5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2</v>
      </c>
      <c r="P197">
        <v>2</v>
      </c>
      <c r="T197">
        <v>700</v>
      </c>
      <c r="U197">
        <v>31</v>
      </c>
      <c r="V197">
        <v>2</v>
      </c>
      <c r="W197">
        <v>600</v>
      </c>
      <c r="X197">
        <v>360</v>
      </c>
      <c r="Y197">
        <v>2</v>
      </c>
      <c r="AB197">
        <v>1274</v>
      </c>
      <c r="AC197">
        <v>1028</v>
      </c>
      <c r="AD197">
        <v>4</v>
      </c>
      <c r="AL197">
        <v>15.9</v>
      </c>
      <c r="AO197" t="s">
        <v>359</v>
      </c>
      <c r="AP197">
        <v>15</v>
      </c>
      <c r="AQ197" t="s">
        <v>336</v>
      </c>
    </row>
    <row r="198" spans="1:43">
      <c r="A198">
        <v>44</v>
      </c>
      <c r="D198"/>
      <c r="E198">
        <v>81</v>
      </c>
      <c r="F198">
        <v>5</v>
      </c>
      <c r="G198">
        <v>1</v>
      </c>
      <c r="H198">
        <v>5</v>
      </c>
      <c r="I198">
        <v>5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2</v>
      </c>
      <c r="P198">
        <v>2</v>
      </c>
      <c r="T198">
        <v>760</v>
      </c>
      <c r="U198">
        <v>30</v>
      </c>
      <c r="V198">
        <v>2</v>
      </c>
      <c r="W198">
        <v>600</v>
      </c>
      <c r="X198">
        <v>360</v>
      </c>
      <c r="Y198">
        <v>2</v>
      </c>
      <c r="AB198">
        <v>1194</v>
      </c>
      <c r="AC198">
        <v>1128</v>
      </c>
      <c r="AD198">
        <v>7.3</v>
      </c>
      <c r="AL198">
        <v>24.2</v>
      </c>
      <c r="AO198" t="s">
        <v>360</v>
      </c>
      <c r="AP198">
        <v>15</v>
      </c>
      <c r="AQ198" t="s">
        <v>336</v>
      </c>
    </row>
    <row r="199" spans="1:43">
      <c r="A199">
        <v>45</v>
      </c>
      <c r="D199"/>
      <c r="E199">
        <v>90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8.5</v>
      </c>
      <c r="M199">
        <v>0</v>
      </c>
      <c r="N199">
        <v>1.5</v>
      </c>
      <c r="O199">
        <v>2</v>
      </c>
      <c r="P199">
        <v>1</v>
      </c>
      <c r="T199">
        <v>780</v>
      </c>
      <c r="U199">
        <v>10</v>
      </c>
      <c r="V199">
        <v>1</v>
      </c>
      <c r="W199">
        <v>0</v>
      </c>
      <c r="X199">
        <v>0</v>
      </c>
      <c r="Y199" t="s">
        <v>335</v>
      </c>
      <c r="AB199">
        <v>835.9</v>
      </c>
      <c r="AC199">
        <v>356.5</v>
      </c>
      <c r="AD199">
        <v>56</v>
      </c>
      <c r="AL199">
        <v>87.729169999999996</v>
      </c>
      <c r="AO199" t="s">
        <v>135</v>
      </c>
      <c r="AP199">
        <v>16</v>
      </c>
      <c r="AQ199" t="s">
        <v>336</v>
      </c>
    </row>
    <row r="200" spans="1:43">
      <c r="A200">
        <v>46</v>
      </c>
      <c r="D200"/>
      <c r="E200">
        <v>83</v>
      </c>
      <c r="F200">
        <v>5</v>
      </c>
      <c r="G200">
        <v>2</v>
      </c>
      <c r="H200">
        <v>3</v>
      </c>
      <c r="I200">
        <v>3</v>
      </c>
      <c r="J200">
        <v>0</v>
      </c>
      <c r="K200">
        <v>1</v>
      </c>
      <c r="L200">
        <v>2</v>
      </c>
      <c r="M200">
        <v>1</v>
      </c>
      <c r="N200">
        <v>0</v>
      </c>
      <c r="O200">
        <v>2</v>
      </c>
      <c r="P200">
        <v>3</v>
      </c>
      <c r="T200">
        <v>830</v>
      </c>
      <c r="U200">
        <v>60</v>
      </c>
      <c r="V200">
        <v>2</v>
      </c>
      <c r="W200">
        <v>570</v>
      </c>
      <c r="X200">
        <v>480</v>
      </c>
      <c r="Y200">
        <v>2</v>
      </c>
      <c r="AB200">
        <v>1296</v>
      </c>
      <c r="AC200">
        <v>1196</v>
      </c>
      <c r="AD200">
        <v>12.3</v>
      </c>
      <c r="AL200">
        <v>11.8</v>
      </c>
      <c r="AO200" t="s">
        <v>254</v>
      </c>
      <c r="AP200">
        <v>17</v>
      </c>
      <c r="AQ200" t="s">
        <v>336</v>
      </c>
    </row>
    <row r="201" spans="1:43">
      <c r="A201">
        <v>47</v>
      </c>
      <c r="D201"/>
      <c r="E201">
        <v>96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</v>
      </c>
      <c r="L201">
        <v>0</v>
      </c>
      <c r="M201">
        <v>0</v>
      </c>
      <c r="N201">
        <v>0</v>
      </c>
      <c r="O201">
        <v>2</v>
      </c>
      <c r="P201">
        <v>2</v>
      </c>
      <c r="T201">
        <v>750</v>
      </c>
      <c r="U201">
        <v>120</v>
      </c>
      <c r="V201">
        <v>2</v>
      </c>
      <c r="W201">
        <v>0</v>
      </c>
      <c r="X201">
        <v>0</v>
      </c>
      <c r="Y201" t="s">
        <v>335</v>
      </c>
      <c r="AB201">
        <v>503</v>
      </c>
      <c r="AC201">
        <v>387</v>
      </c>
      <c r="AD201">
        <v>27</v>
      </c>
      <c r="AF201">
        <v>61</v>
      </c>
      <c r="AL201">
        <v>150</v>
      </c>
      <c r="AO201" t="s">
        <v>82</v>
      </c>
      <c r="AP201">
        <v>18</v>
      </c>
      <c r="AQ201" t="s">
        <v>336</v>
      </c>
    </row>
    <row r="202" spans="1:43">
      <c r="A202">
        <v>48</v>
      </c>
      <c r="D202"/>
      <c r="E202">
        <v>96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</v>
      </c>
      <c r="L202">
        <v>0</v>
      </c>
      <c r="M202">
        <v>0</v>
      </c>
      <c r="N202">
        <v>0</v>
      </c>
      <c r="O202">
        <v>2</v>
      </c>
      <c r="P202">
        <v>2</v>
      </c>
      <c r="T202">
        <v>800</v>
      </c>
      <c r="U202">
        <v>120</v>
      </c>
      <c r="V202">
        <v>2</v>
      </c>
      <c r="W202">
        <v>0</v>
      </c>
      <c r="X202">
        <v>0</v>
      </c>
      <c r="Y202" t="s">
        <v>335</v>
      </c>
      <c r="AB202">
        <v>506</v>
      </c>
      <c r="AC202">
        <v>372</v>
      </c>
      <c r="AD202">
        <v>27</v>
      </c>
      <c r="AF202">
        <v>63</v>
      </c>
      <c r="AL202">
        <v>167.5</v>
      </c>
      <c r="AO202" t="s">
        <v>361</v>
      </c>
      <c r="AP202">
        <v>18</v>
      </c>
      <c r="AQ202" t="s">
        <v>336</v>
      </c>
    </row>
    <row r="203" spans="1:43">
      <c r="A203">
        <v>49</v>
      </c>
      <c r="D203"/>
      <c r="E203">
        <v>96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4</v>
      </c>
      <c r="L203">
        <v>0</v>
      </c>
      <c r="M203">
        <v>0</v>
      </c>
      <c r="N203">
        <v>0</v>
      </c>
      <c r="O203">
        <v>2</v>
      </c>
      <c r="P203">
        <v>2</v>
      </c>
      <c r="T203">
        <v>830</v>
      </c>
      <c r="U203">
        <v>120</v>
      </c>
      <c r="V203">
        <v>2</v>
      </c>
      <c r="W203">
        <v>0</v>
      </c>
      <c r="X203">
        <v>0</v>
      </c>
      <c r="Y203" t="s">
        <v>335</v>
      </c>
      <c r="AB203">
        <v>496</v>
      </c>
      <c r="AC203">
        <v>347</v>
      </c>
      <c r="AD203">
        <v>31</v>
      </c>
      <c r="AF203">
        <v>63</v>
      </c>
      <c r="AL203">
        <v>195</v>
      </c>
      <c r="AO203" t="s">
        <v>362</v>
      </c>
      <c r="AP203">
        <v>18</v>
      </c>
      <c r="AQ203" t="s">
        <v>336</v>
      </c>
    </row>
    <row r="204" spans="1:43">
      <c r="A204">
        <v>50</v>
      </c>
      <c r="D204"/>
      <c r="E204">
        <v>93</v>
      </c>
      <c r="F204">
        <v>3</v>
      </c>
      <c r="G204">
        <v>3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1</v>
      </c>
      <c r="T204">
        <v>960</v>
      </c>
      <c r="U204">
        <v>60</v>
      </c>
      <c r="V204">
        <v>3</v>
      </c>
      <c r="W204">
        <v>0</v>
      </c>
      <c r="X204">
        <v>0</v>
      </c>
      <c r="Y204" t="s">
        <v>335</v>
      </c>
      <c r="AB204">
        <v>604</v>
      </c>
      <c r="AC204">
        <v>501</v>
      </c>
      <c r="AD204">
        <v>12</v>
      </c>
      <c r="AF204">
        <v>22</v>
      </c>
      <c r="AL204">
        <v>100</v>
      </c>
      <c r="AO204" t="s">
        <v>256</v>
      </c>
      <c r="AP204">
        <v>19</v>
      </c>
      <c r="AQ204" t="s">
        <v>336</v>
      </c>
    </row>
    <row r="205" spans="1:43">
      <c r="A205">
        <v>51</v>
      </c>
      <c r="D205"/>
      <c r="E205">
        <v>93</v>
      </c>
      <c r="F205">
        <v>3</v>
      </c>
      <c r="G205">
        <v>3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T205">
        <v>920</v>
      </c>
      <c r="U205">
        <v>60</v>
      </c>
      <c r="V205">
        <v>3</v>
      </c>
      <c r="W205">
        <v>0</v>
      </c>
      <c r="X205">
        <v>0</v>
      </c>
      <c r="Y205" t="s">
        <v>335</v>
      </c>
      <c r="AB205">
        <v>652</v>
      </c>
      <c r="AC205">
        <v>572</v>
      </c>
      <c r="AD205">
        <v>15</v>
      </c>
      <c r="AF205">
        <v>44</v>
      </c>
      <c r="AL205">
        <v>88</v>
      </c>
      <c r="AO205" t="s">
        <v>363</v>
      </c>
      <c r="AP205">
        <v>19</v>
      </c>
      <c r="AQ205" t="s">
        <v>336</v>
      </c>
    </row>
    <row r="206" spans="1:43">
      <c r="A206">
        <v>52</v>
      </c>
      <c r="D206"/>
      <c r="E206">
        <v>93</v>
      </c>
      <c r="F206">
        <v>3</v>
      </c>
      <c r="G206">
        <v>3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T206">
        <v>920</v>
      </c>
      <c r="U206">
        <v>60</v>
      </c>
      <c r="V206">
        <v>2</v>
      </c>
      <c r="W206">
        <v>0</v>
      </c>
      <c r="X206">
        <v>0</v>
      </c>
      <c r="Y206" t="s">
        <v>335</v>
      </c>
      <c r="AB206">
        <v>659</v>
      </c>
      <c r="AC206">
        <v>587</v>
      </c>
      <c r="AD206">
        <v>20</v>
      </c>
      <c r="AF206">
        <v>55</v>
      </c>
      <c r="AL206">
        <v>118</v>
      </c>
      <c r="AO206" t="s">
        <v>364</v>
      </c>
      <c r="AP206">
        <v>19</v>
      </c>
      <c r="AQ206" t="s">
        <v>336</v>
      </c>
    </row>
    <row r="207" spans="1:43">
      <c r="A207">
        <v>53</v>
      </c>
      <c r="D207"/>
      <c r="E207">
        <v>88</v>
      </c>
      <c r="F207">
        <v>6</v>
      </c>
      <c r="G207">
        <v>2</v>
      </c>
      <c r="H207">
        <v>1</v>
      </c>
      <c r="I207">
        <v>0</v>
      </c>
      <c r="J207">
        <v>0</v>
      </c>
      <c r="K207">
        <v>3</v>
      </c>
      <c r="L207">
        <v>0</v>
      </c>
      <c r="M207">
        <v>0</v>
      </c>
      <c r="N207">
        <v>0</v>
      </c>
      <c r="O207">
        <v>2</v>
      </c>
      <c r="P207">
        <v>1</v>
      </c>
      <c r="T207">
        <v>0</v>
      </c>
      <c r="U207">
        <v>0</v>
      </c>
      <c r="V207" t="s">
        <v>341</v>
      </c>
      <c r="W207">
        <v>0</v>
      </c>
      <c r="X207">
        <v>0</v>
      </c>
      <c r="Y207" t="s">
        <v>335</v>
      </c>
      <c r="AL207">
        <v>63.75</v>
      </c>
      <c r="AO207" t="s">
        <v>252</v>
      </c>
      <c r="AP207">
        <v>20</v>
      </c>
      <c r="AQ207" t="s">
        <v>336</v>
      </c>
    </row>
    <row r="208" spans="1:43">
      <c r="A208">
        <v>54</v>
      </c>
      <c r="D208"/>
      <c r="E208">
        <v>93</v>
      </c>
      <c r="F208">
        <v>3</v>
      </c>
      <c r="G208">
        <v>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2</v>
      </c>
      <c r="T208">
        <v>950</v>
      </c>
      <c r="U208">
        <v>60</v>
      </c>
      <c r="V208">
        <v>3</v>
      </c>
      <c r="W208">
        <v>0</v>
      </c>
      <c r="X208">
        <v>0</v>
      </c>
      <c r="Y208" t="s">
        <v>335</v>
      </c>
      <c r="AL208">
        <v>90</v>
      </c>
      <c r="AO208" t="s">
        <v>253</v>
      </c>
      <c r="AP208">
        <v>21</v>
      </c>
      <c r="AQ208" t="s">
        <v>336</v>
      </c>
    </row>
    <row r="209" spans="1:43">
      <c r="A209">
        <v>55</v>
      </c>
      <c r="D209"/>
      <c r="E209">
        <v>83.5</v>
      </c>
      <c r="F209">
        <v>6</v>
      </c>
      <c r="G209">
        <v>2</v>
      </c>
      <c r="H209">
        <v>3</v>
      </c>
      <c r="I209">
        <v>0</v>
      </c>
      <c r="J209">
        <v>0</v>
      </c>
      <c r="K209">
        <v>2</v>
      </c>
      <c r="L209">
        <v>1.5</v>
      </c>
      <c r="M209">
        <v>0</v>
      </c>
      <c r="N209">
        <v>2</v>
      </c>
      <c r="O209">
        <v>2</v>
      </c>
      <c r="P209">
        <v>3</v>
      </c>
      <c r="T209">
        <v>0</v>
      </c>
      <c r="U209">
        <v>0</v>
      </c>
      <c r="V209" t="s">
        <v>335</v>
      </c>
      <c r="W209">
        <v>0</v>
      </c>
      <c r="X209">
        <v>0</v>
      </c>
      <c r="Y209" t="s">
        <v>335</v>
      </c>
      <c r="AB209">
        <v>1136</v>
      </c>
      <c r="AD209">
        <v>14</v>
      </c>
      <c r="AL209">
        <v>42.5</v>
      </c>
      <c r="AO209" t="s">
        <v>264</v>
      </c>
      <c r="AP209">
        <v>22</v>
      </c>
      <c r="AQ209" t="s">
        <v>336</v>
      </c>
    </row>
    <row r="210" spans="1:43" ht="14.25" customHeight="1">
      <c r="A210">
        <v>56</v>
      </c>
      <c r="D210"/>
      <c r="E210">
        <v>83.5</v>
      </c>
      <c r="F210">
        <v>6</v>
      </c>
      <c r="G210">
        <v>2</v>
      </c>
      <c r="H210">
        <v>3</v>
      </c>
      <c r="I210">
        <v>0</v>
      </c>
      <c r="J210">
        <v>0</v>
      </c>
      <c r="K210">
        <v>2</v>
      </c>
      <c r="L210">
        <v>1.5</v>
      </c>
      <c r="M210">
        <v>0</v>
      </c>
      <c r="N210">
        <v>2</v>
      </c>
      <c r="O210">
        <v>2</v>
      </c>
      <c r="P210">
        <v>3</v>
      </c>
      <c r="T210">
        <v>880</v>
      </c>
      <c r="U210">
        <v>60</v>
      </c>
      <c r="V210">
        <v>2</v>
      </c>
      <c r="W210">
        <v>590</v>
      </c>
      <c r="X210">
        <v>120</v>
      </c>
      <c r="Y210">
        <v>2</v>
      </c>
      <c r="AL210">
        <v>48.75</v>
      </c>
      <c r="AO210" t="s">
        <v>264</v>
      </c>
      <c r="AP210">
        <v>22</v>
      </c>
      <c r="AQ210" t="s">
        <v>336</v>
      </c>
    </row>
    <row r="211" spans="1:43">
      <c r="A211">
        <v>57</v>
      </c>
      <c r="D211"/>
      <c r="E211">
        <v>87</v>
      </c>
      <c r="F211">
        <v>5</v>
      </c>
      <c r="G211">
        <v>4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1</v>
      </c>
      <c r="P211" t="s">
        <v>339</v>
      </c>
      <c r="T211">
        <v>950</v>
      </c>
      <c r="U211">
        <v>60</v>
      </c>
      <c r="V211">
        <v>2</v>
      </c>
      <c r="W211">
        <v>590</v>
      </c>
      <c r="X211">
        <v>480</v>
      </c>
      <c r="Y211">
        <v>2</v>
      </c>
      <c r="AB211">
        <v>1170.47</v>
      </c>
      <c r="AC211">
        <v>982.16</v>
      </c>
      <c r="AL211">
        <v>33.200000000000003</v>
      </c>
      <c r="AO211" t="s">
        <v>268</v>
      </c>
      <c r="AP211">
        <v>23</v>
      </c>
      <c r="AQ211" t="s">
        <v>336</v>
      </c>
    </row>
  </sheetData>
  <mergeCells count="15">
    <mergeCell ref="AO1:AO2"/>
    <mergeCell ref="AP1:AP2"/>
    <mergeCell ref="AQ1:AQ2"/>
    <mergeCell ref="T1:V1"/>
    <mergeCell ref="W1:Y1"/>
    <mergeCell ref="Z1:AF1"/>
    <mergeCell ref="AG1:AH1"/>
    <mergeCell ref="AI1:AL1"/>
    <mergeCell ref="AN1:AN2"/>
    <mergeCell ref="P1:S1"/>
    <mergeCell ref="A1:A2"/>
    <mergeCell ref="B1:B2"/>
    <mergeCell ref="C1:C2"/>
    <mergeCell ref="D1:D2"/>
    <mergeCell ref="E1:N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5321-BA87-4825-900D-AC52DAC2AEB8}">
  <dimension ref="A1:AP76"/>
  <sheetViews>
    <sheetView topLeftCell="V1" zoomScale="85" zoomScaleNormal="85" workbookViewId="0">
      <selection activeCell="AL1" sqref="AL1:AL1048576"/>
    </sheetView>
  </sheetViews>
  <sheetFormatPr defaultColWidth="9.125" defaultRowHeight="14.25"/>
  <cols>
    <col min="1" max="16384" width="9.125" style="87"/>
  </cols>
  <sheetData>
    <row r="1" spans="1:42">
      <c r="A1" s="169" t="s">
        <v>0</v>
      </c>
      <c r="B1" s="179" t="s">
        <v>1</v>
      </c>
      <c r="C1" s="174" t="s">
        <v>3</v>
      </c>
      <c r="D1" s="175"/>
      <c r="E1" s="175"/>
      <c r="F1" s="175"/>
      <c r="G1" s="175"/>
      <c r="H1" s="175"/>
      <c r="I1" s="175"/>
      <c r="J1" s="175"/>
      <c r="K1" s="175"/>
      <c r="L1" s="175"/>
      <c r="M1" s="176"/>
      <c r="N1" s="2" t="s">
        <v>4</v>
      </c>
      <c r="O1" s="172" t="s">
        <v>5</v>
      </c>
      <c r="P1" s="170"/>
      <c r="Q1" s="170"/>
      <c r="R1" s="173"/>
      <c r="S1" s="174" t="s">
        <v>6</v>
      </c>
      <c r="T1" s="175"/>
      <c r="U1" s="176"/>
      <c r="V1" s="174" t="s">
        <v>7</v>
      </c>
      <c r="W1" s="175"/>
      <c r="X1" s="176"/>
      <c r="Y1" s="172" t="s">
        <v>8</v>
      </c>
      <c r="Z1" s="170"/>
      <c r="AA1" s="170"/>
      <c r="AB1" s="170"/>
      <c r="AC1" s="170"/>
      <c r="AD1" s="170"/>
      <c r="AE1" s="173"/>
      <c r="AF1" s="172" t="s">
        <v>9</v>
      </c>
      <c r="AG1" s="173"/>
      <c r="AH1" s="174" t="s">
        <v>10</v>
      </c>
      <c r="AI1" s="175"/>
      <c r="AJ1" s="175"/>
      <c r="AK1" s="176"/>
      <c r="AL1" s="2" t="s">
        <v>11</v>
      </c>
      <c r="AM1" s="177" t="s">
        <v>12</v>
      </c>
      <c r="AN1" s="167" t="s">
        <v>13</v>
      </c>
      <c r="AO1" s="167" t="s">
        <v>14</v>
      </c>
      <c r="AP1" s="167" t="s">
        <v>15</v>
      </c>
    </row>
    <row r="2" spans="1:42" ht="69">
      <c r="A2" s="169"/>
      <c r="B2" s="179"/>
      <c r="C2" s="3" t="s">
        <v>233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302</v>
      </c>
      <c r="I2" s="3" t="s">
        <v>303</v>
      </c>
      <c r="J2" s="3" t="s">
        <v>304</v>
      </c>
      <c r="K2" s="3" t="s">
        <v>24</v>
      </c>
      <c r="L2" s="3" t="s">
        <v>305</v>
      </c>
      <c r="M2" s="3" t="s">
        <v>25</v>
      </c>
      <c r="N2" s="3" t="s">
        <v>26</v>
      </c>
      <c r="O2" s="3" t="s">
        <v>306</v>
      </c>
      <c r="P2" s="3" t="s">
        <v>28</v>
      </c>
      <c r="Q2" s="3" t="s">
        <v>29</v>
      </c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  <c r="Y2" s="88" t="s">
        <v>37</v>
      </c>
      <c r="Z2" s="88" t="s">
        <v>38</v>
      </c>
      <c r="AA2" s="3" t="s">
        <v>39</v>
      </c>
      <c r="AB2" s="3" t="s">
        <v>40</v>
      </c>
      <c r="AC2" s="3" t="s">
        <v>41</v>
      </c>
      <c r="AD2" s="3" t="s">
        <v>42</v>
      </c>
      <c r="AE2" s="3" t="s">
        <v>43</v>
      </c>
      <c r="AF2" s="88" t="s">
        <v>44</v>
      </c>
      <c r="AG2" s="3" t="s">
        <v>45</v>
      </c>
      <c r="AH2" s="3" t="s">
        <v>46</v>
      </c>
      <c r="AI2" s="3" t="s">
        <v>47</v>
      </c>
      <c r="AJ2" s="3" t="s">
        <v>48</v>
      </c>
      <c r="AK2" s="3" t="s">
        <v>49</v>
      </c>
      <c r="AL2" s="3" t="s">
        <v>307</v>
      </c>
      <c r="AM2" s="181"/>
      <c r="AN2" s="180"/>
      <c r="AO2" s="180"/>
      <c r="AP2" s="168"/>
    </row>
    <row r="3" spans="1:42" ht="15">
      <c r="A3" s="21">
        <v>1</v>
      </c>
      <c r="B3" s="22" t="s">
        <v>308</v>
      </c>
      <c r="C3" s="22">
        <v>84.39</v>
      </c>
      <c r="D3" s="22">
        <v>5.8</v>
      </c>
      <c r="E3" s="22">
        <v>3.5</v>
      </c>
      <c r="F3" s="22">
        <v>0.5</v>
      </c>
      <c r="G3" s="22">
        <v>0</v>
      </c>
      <c r="H3" s="22">
        <v>0.7</v>
      </c>
      <c r="I3" s="22">
        <v>0.06</v>
      </c>
      <c r="J3" s="22">
        <v>0.35</v>
      </c>
      <c r="K3" s="22">
        <v>0</v>
      </c>
      <c r="L3" s="22">
        <v>0</v>
      </c>
      <c r="M3" s="22">
        <v>4</v>
      </c>
      <c r="N3" s="22">
        <v>1</v>
      </c>
      <c r="O3" s="21" t="s">
        <v>113</v>
      </c>
      <c r="P3" s="21" t="s">
        <v>113</v>
      </c>
      <c r="Q3" s="21" t="s">
        <v>113</v>
      </c>
      <c r="R3" s="21" t="s">
        <v>113</v>
      </c>
      <c r="S3" s="22">
        <v>1019.85</v>
      </c>
      <c r="T3" s="22">
        <v>0</v>
      </c>
      <c r="U3" s="22">
        <v>2</v>
      </c>
      <c r="V3" s="22">
        <v>699.85</v>
      </c>
      <c r="W3" s="22">
        <v>0</v>
      </c>
      <c r="X3" s="22">
        <v>2</v>
      </c>
      <c r="Y3" s="21" t="s">
        <v>113</v>
      </c>
      <c r="Z3" s="21" t="s">
        <v>113</v>
      </c>
      <c r="AA3" s="21" t="s">
        <v>113</v>
      </c>
      <c r="AB3" s="21" t="s">
        <v>113</v>
      </c>
      <c r="AC3" s="21" t="s">
        <v>113</v>
      </c>
      <c r="AD3" s="21" t="s">
        <v>113</v>
      </c>
      <c r="AE3" s="21" t="s">
        <v>113</v>
      </c>
      <c r="AF3" s="21" t="s">
        <v>113</v>
      </c>
      <c r="AG3" s="21" t="s">
        <v>113</v>
      </c>
      <c r="AH3" s="21" t="s">
        <v>113</v>
      </c>
      <c r="AI3" s="21" t="s">
        <v>113</v>
      </c>
      <c r="AJ3" s="21" t="s">
        <v>113</v>
      </c>
      <c r="AK3" s="21" t="s">
        <v>113</v>
      </c>
      <c r="AL3" s="22">
        <v>1.230448921</v>
      </c>
      <c r="AM3" s="21" t="s">
        <v>113</v>
      </c>
      <c r="AN3" s="21" t="s">
        <v>113</v>
      </c>
      <c r="AO3" s="21" t="s">
        <v>113</v>
      </c>
    </row>
    <row r="4" spans="1:42" ht="15">
      <c r="A4" s="21">
        <v>2</v>
      </c>
      <c r="B4" s="22" t="s">
        <v>308</v>
      </c>
      <c r="C4" s="22">
        <v>84.39</v>
      </c>
      <c r="D4" s="22">
        <v>5.8</v>
      </c>
      <c r="E4" s="22">
        <v>3.5</v>
      </c>
      <c r="F4" s="22">
        <v>0.5</v>
      </c>
      <c r="G4" s="22">
        <v>0</v>
      </c>
      <c r="H4" s="22">
        <v>0.7</v>
      </c>
      <c r="I4" s="22">
        <v>0.06</v>
      </c>
      <c r="J4" s="22">
        <v>0.35</v>
      </c>
      <c r="K4" s="22">
        <v>0</v>
      </c>
      <c r="L4" s="22">
        <v>0</v>
      </c>
      <c r="M4" s="22">
        <v>4</v>
      </c>
      <c r="N4" s="22">
        <v>1</v>
      </c>
      <c r="O4" s="21" t="s">
        <v>113</v>
      </c>
      <c r="P4" s="21" t="s">
        <v>113</v>
      </c>
      <c r="Q4" s="21" t="s">
        <v>113</v>
      </c>
      <c r="R4" s="21" t="s">
        <v>113</v>
      </c>
      <c r="S4" s="22">
        <v>1019.85</v>
      </c>
      <c r="T4" s="22">
        <v>0</v>
      </c>
      <c r="U4" s="22">
        <v>2</v>
      </c>
      <c r="V4" s="22">
        <v>699.85</v>
      </c>
      <c r="W4" s="22">
        <v>0</v>
      </c>
      <c r="X4" s="22">
        <v>2</v>
      </c>
      <c r="Y4" s="21" t="s">
        <v>113</v>
      </c>
      <c r="Z4" s="21" t="s">
        <v>113</v>
      </c>
      <c r="AA4" s="21" t="s">
        <v>113</v>
      </c>
      <c r="AB4" s="21" t="s">
        <v>113</v>
      </c>
      <c r="AC4" s="21" t="s">
        <v>113</v>
      </c>
      <c r="AD4" s="21" t="s">
        <v>113</v>
      </c>
      <c r="AE4" s="21" t="s">
        <v>113</v>
      </c>
      <c r="AF4" s="21" t="s">
        <v>113</v>
      </c>
      <c r="AG4" s="21" t="s">
        <v>113</v>
      </c>
      <c r="AH4" s="21" t="s">
        <v>113</v>
      </c>
      <c r="AI4" s="21" t="s">
        <v>113</v>
      </c>
      <c r="AJ4" s="21" t="s">
        <v>113</v>
      </c>
      <c r="AK4" s="21" t="s">
        <v>113</v>
      </c>
      <c r="AL4" s="22">
        <v>1.716003344</v>
      </c>
      <c r="AM4" s="21" t="s">
        <v>113</v>
      </c>
      <c r="AN4" s="21" t="s">
        <v>113</v>
      </c>
      <c r="AO4" s="21" t="s">
        <v>113</v>
      </c>
    </row>
    <row r="5" spans="1:42" ht="15">
      <c r="A5" s="21">
        <v>3</v>
      </c>
      <c r="B5" s="22" t="s">
        <v>308</v>
      </c>
      <c r="C5" s="22">
        <v>84.39</v>
      </c>
      <c r="D5" s="22">
        <v>5.8</v>
      </c>
      <c r="E5" s="22">
        <v>3.5</v>
      </c>
      <c r="F5" s="22">
        <v>0.5</v>
      </c>
      <c r="G5" s="22">
        <v>0</v>
      </c>
      <c r="H5" s="22">
        <v>0.7</v>
      </c>
      <c r="I5" s="22">
        <v>0.06</v>
      </c>
      <c r="J5" s="22">
        <v>0.35</v>
      </c>
      <c r="K5" s="22">
        <v>0</v>
      </c>
      <c r="L5" s="22">
        <v>0</v>
      </c>
      <c r="M5" s="22">
        <v>4</v>
      </c>
      <c r="N5" s="22">
        <v>1</v>
      </c>
      <c r="O5" s="21" t="s">
        <v>113</v>
      </c>
      <c r="P5" s="21" t="s">
        <v>113</v>
      </c>
      <c r="Q5" s="21" t="s">
        <v>113</v>
      </c>
      <c r="R5" s="21" t="s">
        <v>113</v>
      </c>
      <c r="S5" s="22">
        <v>1019.85</v>
      </c>
      <c r="T5" s="22">
        <v>0</v>
      </c>
      <c r="U5" s="22">
        <v>2</v>
      </c>
      <c r="V5" s="22">
        <v>699.85</v>
      </c>
      <c r="W5" s="22">
        <v>0</v>
      </c>
      <c r="X5" s="22">
        <v>2</v>
      </c>
      <c r="Y5" s="21" t="s">
        <v>113</v>
      </c>
      <c r="Z5" s="21" t="s">
        <v>113</v>
      </c>
      <c r="AA5" s="21" t="s">
        <v>113</v>
      </c>
      <c r="AB5" s="21" t="s">
        <v>113</v>
      </c>
      <c r="AC5" s="21" t="s">
        <v>113</v>
      </c>
      <c r="AD5" s="21" t="s">
        <v>113</v>
      </c>
      <c r="AE5" s="21" t="s">
        <v>113</v>
      </c>
      <c r="AF5" s="21" t="s">
        <v>113</v>
      </c>
      <c r="AG5" s="21" t="s">
        <v>113</v>
      </c>
      <c r="AH5" s="21" t="s">
        <v>113</v>
      </c>
      <c r="AI5" s="21" t="s">
        <v>113</v>
      </c>
      <c r="AJ5" s="21" t="s">
        <v>113</v>
      </c>
      <c r="AK5" s="21" t="s">
        <v>113</v>
      </c>
      <c r="AL5" s="22">
        <v>2.4471580309999998</v>
      </c>
      <c r="AM5" s="21" t="s">
        <v>113</v>
      </c>
      <c r="AN5" s="21" t="s">
        <v>113</v>
      </c>
      <c r="AO5" s="21" t="s">
        <v>113</v>
      </c>
    </row>
    <row r="6" spans="1:42" ht="15">
      <c r="A6" s="21">
        <v>4</v>
      </c>
      <c r="B6" s="22" t="s">
        <v>308</v>
      </c>
      <c r="C6" s="22">
        <v>84.39</v>
      </c>
      <c r="D6" s="22">
        <v>5.8</v>
      </c>
      <c r="E6" s="22">
        <v>3.5</v>
      </c>
      <c r="F6" s="22">
        <v>0.5</v>
      </c>
      <c r="G6" s="22">
        <v>0</v>
      </c>
      <c r="H6" s="22">
        <v>0.7</v>
      </c>
      <c r="I6" s="22">
        <v>0.06</v>
      </c>
      <c r="J6" s="22">
        <v>0.35</v>
      </c>
      <c r="K6" s="22">
        <v>0</v>
      </c>
      <c r="L6" s="22">
        <v>0</v>
      </c>
      <c r="M6" s="22">
        <v>4</v>
      </c>
      <c r="N6" s="22">
        <v>1</v>
      </c>
      <c r="O6" s="21" t="s">
        <v>113</v>
      </c>
      <c r="P6" s="21" t="s">
        <v>113</v>
      </c>
      <c r="Q6" s="21" t="s">
        <v>113</v>
      </c>
      <c r="R6" s="21" t="s">
        <v>113</v>
      </c>
      <c r="S6" s="22">
        <v>1019.85</v>
      </c>
      <c r="T6" s="22">
        <v>0</v>
      </c>
      <c r="U6" s="22">
        <v>2</v>
      </c>
      <c r="V6" s="22">
        <v>699.85</v>
      </c>
      <c r="W6" s="22">
        <v>0</v>
      </c>
      <c r="X6" s="22">
        <v>2</v>
      </c>
      <c r="Y6" s="21" t="s">
        <v>113</v>
      </c>
      <c r="Z6" s="21" t="s">
        <v>113</v>
      </c>
      <c r="AA6" s="21" t="s">
        <v>113</v>
      </c>
      <c r="AB6" s="21" t="s">
        <v>113</v>
      </c>
      <c r="AC6" s="21" t="s">
        <v>113</v>
      </c>
      <c r="AD6" s="21" t="s">
        <v>113</v>
      </c>
      <c r="AE6" s="21" t="s">
        <v>113</v>
      </c>
      <c r="AF6" s="21" t="s">
        <v>113</v>
      </c>
      <c r="AG6" s="21" t="s">
        <v>113</v>
      </c>
      <c r="AH6" s="21" t="s">
        <v>113</v>
      </c>
      <c r="AI6" s="21" t="s">
        <v>113</v>
      </c>
      <c r="AJ6" s="21" t="s">
        <v>113</v>
      </c>
      <c r="AK6" s="21" t="s">
        <v>113</v>
      </c>
      <c r="AL6" s="22">
        <v>2.5185139400000001</v>
      </c>
      <c r="AM6" s="21" t="s">
        <v>113</v>
      </c>
      <c r="AN6" s="21" t="s">
        <v>113</v>
      </c>
      <c r="AO6" s="21" t="s">
        <v>113</v>
      </c>
    </row>
    <row r="7" spans="1:42" ht="15">
      <c r="A7" s="21">
        <v>5</v>
      </c>
      <c r="B7" s="22" t="s">
        <v>308</v>
      </c>
      <c r="C7" s="22">
        <v>84.39</v>
      </c>
      <c r="D7" s="22">
        <v>5.8</v>
      </c>
      <c r="E7" s="22">
        <v>3.5</v>
      </c>
      <c r="F7" s="22">
        <v>0.5</v>
      </c>
      <c r="G7" s="22">
        <v>0</v>
      </c>
      <c r="H7" s="22">
        <v>0.7</v>
      </c>
      <c r="I7" s="22">
        <v>0.06</v>
      </c>
      <c r="J7" s="22">
        <v>0.35</v>
      </c>
      <c r="K7" s="22">
        <v>0</v>
      </c>
      <c r="L7" s="22">
        <v>0</v>
      </c>
      <c r="M7" s="22">
        <v>4</v>
      </c>
      <c r="N7" s="22">
        <v>1</v>
      </c>
      <c r="O7" s="21" t="s">
        <v>113</v>
      </c>
      <c r="P7" s="21" t="s">
        <v>113</v>
      </c>
      <c r="Q7" s="21" t="s">
        <v>113</v>
      </c>
      <c r="R7" s="21" t="s">
        <v>113</v>
      </c>
      <c r="S7" s="22">
        <v>1019.85</v>
      </c>
      <c r="T7" s="22">
        <v>0</v>
      </c>
      <c r="U7" s="22">
        <v>2</v>
      </c>
      <c r="V7" s="22">
        <v>699.85</v>
      </c>
      <c r="W7" s="22">
        <v>0</v>
      </c>
      <c r="X7" s="22">
        <v>2</v>
      </c>
      <c r="Y7" s="21" t="s">
        <v>113</v>
      </c>
      <c r="Z7" s="21" t="s">
        <v>113</v>
      </c>
      <c r="AA7" s="21" t="s">
        <v>113</v>
      </c>
      <c r="AB7" s="21" t="s">
        <v>113</v>
      </c>
      <c r="AC7" s="21" t="s">
        <v>113</v>
      </c>
      <c r="AD7" s="21" t="s">
        <v>113</v>
      </c>
      <c r="AE7" s="21" t="s">
        <v>113</v>
      </c>
      <c r="AF7" s="21" t="s">
        <v>113</v>
      </c>
      <c r="AG7" s="21" t="s">
        <v>113</v>
      </c>
      <c r="AH7" s="21" t="s">
        <v>113</v>
      </c>
      <c r="AI7" s="21" t="s">
        <v>113</v>
      </c>
      <c r="AJ7" s="21" t="s">
        <v>113</v>
      </c>
      <c r="AK7" s="21" t="s">
        <v>113</v>
      </c>
      <c r="AL7" s="22">
        <v>2.921686475</v>
      </c>
      <c r="AM7" s="21" t="s">
        <v>113</v>
      </c>
      <c r="AN7" s="21" t="s">
        <v>113</v>
      </c>
      <c r="AO7" s="21" t="s">
        <v>113</v>
      </c>
    </row>
    <row r="8" spans="1:42" ht="15">
      <c r="A8" s="21">
        <v>6</v>
      </c>
      <c r="B8" s="22" t="s">
        <v>308</v>
      </c>
      <c r="C8" s="22">
        <v>84.39</v>
      </c>
      <c r="D8" s="22">
        <v>5.8</v>
      </c>
      <c r="E8" s="22">
        <v>3.5</v>
      </c>
      <c r="F8" s="22">
        <v>0.5</v>
      </c>
      <c r="G8" s="22">
        <v>0</v>
      </c>
      <c r="H8" s="22">
        <v>0.7</v>
      </c>
      <c r="I8" s="22">
        <v>0.06</v>
      </c>
      <c r="J8" s="22">
        <v>0.35</v>
      </c>
      <c r="K8" s="22">
        <v>0</v>
      </c>
      <c r="L8" s="22">
        <v>0</v>
      </c>
      <c r="M8" s="22">
        <v>4</v>
      </c>
      <c r="N8" s="22">
        <v>1</v>
      </c>
      <c r="O8" s="21" t="s">
        <v>113</v>
      </c>
      <c r="P8" s="21" t="s">
        <v>113</v>
      </c>
      <c r="Q8" s="21" t="s">
        <v>113</v>
      </c>
      <c r="R8" s="21" t="s">
        <v>113</v>
      </c>
      <c r="S8" s="22">
        <v>1019.85</v>
      </c>
      <c r="T8" s="22">
        <v>0</v>
      </c>
      <c r="U8" s="22">
        <v>2</v>
      </c>
      <c r="V8" s="22">
        <v>699.85</v>
      </c>
      <c r="W8" s="22">
        <v>0</v>
      </c>
      <c r="X8" s="22">
        <v>2</v>
      </c>
      <c r="Y8" s="21" t="s">
        <v>113</v>
      </c>
      <c r="Z8" s="21" t="s">
        <v>113</v>
      </c>
      <c r="AA8" s="21" t="s">
        <v>113</v>
      </c>
      <c r="AB8" s="21" t="s">
        <v>113</v>
      </c>
      <c r="AC8" s="21" t="s">
        <v>113</v>
      </c>
      <c r="AD8" s="21" t="s">
        <v>113</v>
      </c>
      <c r="AE8" s="21" t="s">
        <v>113</v>
      </c>
      <c r="AF8" s="21" t="s">
        <v>113</v>
      </c>
      <c r="AG8" s="21" t="s">
        <v>113</v>
      </c>
      <c r="AH8" s="21" t="s">
        <v>113</v>
      </c>
      <c r="AI8" s="21" t="s">
        <v>113</v>
      </c>
      <c r="AJ8" s="21" t="s">
        <v>113</v>
      </c>
      <c r="AK8" s="21" t="s">
        <v>113</v>
      </c>
      <c r="AL8" s="22">
        <v>3.025305865</v>
      </c>
      <c r="AM8" s="21" t="s">
        <v>113</v>
      </c>
      <c r="AN8" s="21" t="s">
        <v>113</v>
      </c>
      <c r="AO8" s="21" t="s">
        <v>113</v>
      </c>
    </row>
    <row r="9" spans="1:42" ht="15">
      <c r="A9" s="21">
        <v>7</v>
      </c>
      <c r="B9" s="22" t="s">
        <v>308</v>
      </c>
      <c r="C9" s="22">
        <v>84.39</v>
      </c>
      <c r="D9" s="22">
        <v>5.8</v>
      </c>
      <c r="E9" s="22">
        <v>3.5</v>
      </c>
      <c r="F9" s="22">
        <v>0.5</v>
      </c>
      <c r="G9" s="22">
        <v>0</v>
      </c>
      <c r="H9" s="22">
        <v>0.7</v>
      </c>
      <c r="I9" s="22">
        <v>0.06</v>
      </c>
      <c r="J9" s="22">
        <v>0.35</v>
      </c>
      <c r="K9" s="22">
        <v>0</v>
      </c>
      <c r="L9" s="22">
        <v>0</v>
      </c>
      <c r="M9" s="22">
        <v>4</v>
      </c>
      <c r="N9" s="22">
        <v>1</v>
      </c>
      <c r="O9" s="21" t="s">
        <v>113</v>
      </c>
      <c r="P9" s="21" t="s">
        <v>113</v>
      </c>
      <c r="Q9" s="21" t="s">
        <v>113</v>
      </c>
      <c r="R9" s="21" t="s">
        <v>113</v>
      </c>
      <c r="S9" s="22">
        <v>1019.85</v>
      </c>
      <c r="T9" s="22">
        <v>0</v>
      </c>
      <c r="U9" s="22">
        <v>2</v>
      </c>
      <c r="V9" s="22">
        <v>699.85</v>
      </c>
      <c r="W9" s="22">
        <v>0</v>
      </c>
      <c r="X9" s="22">
        <v>2</v>
      </c>
      <c r="Y9" s="21" t="s">
        <v>113</v>
      </c>
      <c r="Z9" s="21" t="s">
        <v>113</v>
      </c>
      <c r="AA9" s="21" t="s">
        <v>113</v>
      </c>
      <c r="AB9" s="21" t="s">
        <v>113</v>
      </c>
      <c r="AC9" s="21" t="s">
        <v>113</v>
      </c>
      <c r="AD9" s="21" t="s">
        <v>113</v>
      </c>
      <c r="AE9" s="21" t="s">
        <v>113</v>
      </c>
      <c r="AF9" s="21" t="s">
        <v>113</v>
      </c>
      <c r="AG9" s="21" t="s">
        <v>113</v>
      </c>
      <c r="AH9" s="21" t="s">
        <v>113</v>
      </c>
      <c r="AI9" s="21" t="s">
        <v>113</v>
      </c>
      <c r="AJ9" s="21" t="s">
        <v>113</v>
      </c>
      <c r="AK9" s="21" t="s">
        <v>113</v>
      </c>
      <c r="AL9" s="22">
        <v>3.6785183789999998</v>
      </c>
      <c r="AM9" s="21" t="s">
        <v>113</v>
      </c>
      <c r="AN9" s="21" t="s">
        <v>113</v>
      </c>
      <c r="AO9" s="21" t="s">
        <v>113</v>
      </c>
    </row>
    <row r="10" spans="1:42" ht="15">
      <c r="A10" s="21">
        <v>8</v>
      </c>
      <c r="B10" s="22" t="s">
        <v>308</v>
      </c>
      <c r="C10" s="22">
        <v>84.39</v>
      </c>
      <c r="D10" s="22">
        <v>5.8</v>
      </c>
      <c r="E10" s="22">
        <v>3.5</v>
      </c>
      <c r="F10" s="22">
        <v>0.5</v>
      </c>
      <c r="G10" s="22">
        <v>0</v>
      </c>
      <c r="H10" s="22">
        <v>0.7</v>
      </c>
      <c r="I10" s="22">
        <v>0.06</v>
      </c>
      <c r="J10" s="22">
        <v>0.35</v>
      </c>
      <c r="K10" s="22">
        <v>0</v>
      </c>
      <c r="L10" s="22">
        <v>0</v>
      </c>
      <c r="M10" s="22">
        <v>4</v>
      </c>
      <c r="N10" s="22">
        <v>1</v>
      </c>
      <c r="O10" s="21" t="s">
        <v>113</v>
      </c>
      <c r="P10" s="21" t="s">
        <v>113</v>
      </c>
      <c r="Q10" s="21" t="s">
        <v>113</v>
      </c>
      <c r="R10" s="21" t="s">
        <v>113</v>
      </c>
      <c r="S10" s="22">
        <v>1019.85</v>
      </c>
      <c r="T10" s="22">
        <v>0</v>
      </c>
      <c r="U10" s="22">
        <v>2</v>
      </c>
      <c r="V10" s="22">
        <v>699.85</v>
      </c>
      <c r="W10" s="22">
        <v>0</v>
      </c>
      <c r="X10" s="22">
        <v>2</v>
      </c>
      <c r="Y10" s="21" t="s">
        <v>113</v>
      </c>
      <c r="Z10" s="21" t="s">
        <v>113</v>
      </c>
      <c r="AA10" s="21" t="s">
        <v>113</v>
      </c>
      <c r="AB10" s="21" t="s">
        <v>113</v>
      </c>
      <c r="AC10" s="21" t="s">
        <v>113</v>
      </c>
      <c r="AD10" s="21" t="s">
        <v>113</v>
      </c>
      <c r="AE10" s="21" t="s">
        <v>113</v>
      </c>
      <c r="AF10" s="21" t="s">
        <v>113</v>
      </c>
      <c r="AG10" s="21" t="s">
        <v>113</v>
      </c>
      <c r="AH10" s="21" t="s">
        <v>113</v>
      </c>
      <c r="AI10" s="21" t="s">
        <v>113</v>
      </c>
      <c r="AJ10" s="21" t="s">
        <v>113</v>
      </c>
      <c r="AK10" s="21" t="s">
        <v>113</v>
      </c>
      <c r="AL10" s="22">
        <v>1.4983105539999999</v>
      </c>
      <c r="AM10" s="21" t="s">
        <v>113</v>
      </c>
      <c r="AN10" s="21" t="s">
        <v>113</v>
      </c>
      <c r="AO10" s="21" t="s">
        <v>113</v>
      </c>
    </row>
    <row r="11" spans="1:42" ht="15">
      <c r="A11" s="21">
        <v>9</v>
      </c>
      <c r="B11" s="22" t="s">
        <v>308</v>
      </c>
      <c r="C11" s="22">
        <v>84.39</v>
      </c>
      <c r="D11" s="22">
        <v>5.8</v>
      </c>
      <c r="E11" s="22">
        <v>3.5</v>
      </c>
      <c r="F11" s="22">
        <v>0.5</v>
      </c>
      <c r="G11" s="22">
        <v>0</v>
      </c>
      <c r="H11" s="22">
        <v>0.7</v>
      </c>
      <c r="I11" s="22">
        <v>0.06</v>
      </c>
      <c r="J11" s="22">
        <v>0.35</v>
      </c>
      <c r="K11" s="22">
        <v>0</v>
      </c>
      <c r="L11" s="22">
        <v>0</v>
      </c>
      <c r="M11" s="22">
        <v>4</v>
      </c>
      <c r="N11" s="22">
        <v>1</v>
      </c>
      <c r="O11" s="21" t="s">
        <v>113</v>
      </c>
      <c r="P11" s="21" t="s">
        <v>113</v>
      </c>
      <c r="Q11" s="21" t="s">
        <v>113</v>
      </c>
      <c r="R11" s="21" t="s">
        <v>113</v>
      </c>
      <c r="S11" s="22">
        <v>1019.85</v>
      </c>
      <c r="T11" s="22">
        <v>0</v>
      </c>
      <c r="U11" s="22">
        <v>2</v>
      </c>
      <c r="V11" s="22">
        <v>699.85</v>
      </c>
      <c r="W11" s="22">
        <v>0</v>
      </c>
      <c r="X11" s="22">
        <v>2</v>
      </c>
      <c r="Y11" s="21" t="s">
        <v>113</v>
      </c>
      <c r="Z11" s="21" t="s">
        <v>113</v>
      </c>
      <c r="AA11" s="21" t="s">
        <v>113</v>
      </c>
      <c r="AB11" s="21" t="s">
        <v>113</v>
      </c>
      <c r="AC11" s="21" t="s">
        <v>113</v>
      </c>
      <c r="AD11" s="21" t="s">
        <v>113</v>
      </c>
      <c r="AE11" s="21" t="s">
        <v>113</v>
      </c>
      <c r="AF11" s="21" t="s">
        <v>113</v>
      </c>
      <c r="AG11" s="21" t="s">
        <v>113</v>
      </c>
      <c r="AH11" s="21" t="s">
        <v>113</v>
      </c>
      <c r="AI11" s="21" t="s">
        <v>113</v>
      </c>
      <c r="AJ11" s="21" t="s">
        <v>113</v>
      </c>
      <c r="AK11" s="21" t="s">
        <v>113</v>
      </c>
      <c r="AL11" s="22">
        <v>2.2304489209999998</v>
      </c>
      <c r="AM11" s="21" t="s">
        <v>113</v>
      </c>
      <c r="AN11" s="21" t="s">
        <v>113</v>
      </c>
      <c r="AO11" s="21" t="s">
        <v>113</v>
      </c>
    </row>
    <row r="12" spans="1:42" ht="15">
      <c r="A12" s="21">
        <v>10</v>
      </c>
      <c r="B12" s="22" t="s">
        <v>308</v>
      </c>
      <c r="C12" s="22">
        <v>84.39</v>
      </c>
      <c r="D12" s="22">
        <v>5.8</v>
      </c>
      <c r="E12" s="22">
        <v>3.5</v>
      </c>
      <c r="F12" s="22">
        <v>0.5</v>
      </c>
      <c r="G12" s="22">
        <v>0</v>
      </c>
      <c r="H12" s="22">
        <v>0.7</v>
      </c>
      <c r="I12" s="22">
        <v>0.06</v>
      </c>
      <c r="J12" s="22">
        <v>0.35</v>
      </c>
      <c r="K12" s="22">
        <v>0</v>
      </c>
      <c r="L12" s="22">
        <v>0</v>
      </c>
      <c r="M12" s="22">
        <v>4</v>
      </c>
      <c r="N12" s="22">
        <v>1</v>
      </c>
      <c r="O12" s="21" t="s">
        <v>113</v>
      </c>
      <c r="P12" s="21" t="s">
        <v>113</v>
      </c>
      <c r="Q12" s="21" t="s">
        <v>113</v>
      </c>
      <c r="R12" s="21" t="s">
        <v>113</v>
      </c>
      <c r="S12" s="22">
        <v>1019.85</v>
      </c>
      <c r="T12" s="22">
        <v>0</v>
      </c>
      <c r="U12" s="22">
        <v>2</v>
      </c>
      <c r="V12" s="22">
        <v>699.85</v>
      </c>
      <c r="W12" s="22">
        <v>0</v>
      </c>
      <c r="X12" s="22">
        <v>2</v>
      </c>
      <c r="Y12" s="21" t="s">
        <v>113</v>
      </c>
      <c r="Z12" s="21" t="s">
        <v>113</v>
      </c>
      <c r="AA12" s="21" t="s">
        <v>113</v>
      </c>
      <c r="AB12" s="21" t="s">
        <v>113</v>
      </c>
      <c r="AC12" s="21" t="s">
        <v>113</v>
      </c>
      <c r="AD12" s="21" t="s">
        <v>113</v>
      </c>
      <c r="AE12" s="21" t="s">
        <v>113</v>
      </c>
      <c r="AF12" s="21" t="s">
        <v>113</v>
      </c>
      <c r="AG12" s="21" t="s">
        <v>113</v>
      </c>
      <c r="AH12" s="21" t="s">
        <v>113</v>
      </c>
      <c r="AI12" s="21" t="s">
        <v>113</v>
      </c>
      <c r="AJ12" s="21" t="s">
        <v>113</v>
      </c>
      <c r="AK12" s="21" t="s">
        <v>113</v>
      </c>
      <c r="AL12" s="22">
        <v>2.5051499779999999</v>
      </c>
      <c r="AM12" s="21" t="s">
        <v>113</v>
      </c>
      <c r="AN12" s="21" t="s">
        <v>113</v>
      </c>
      <c r="AO12" s="21" t="s">
        <v>113</v>
      </c>
    </row>
    <row r="13" spans="1:42" ht="15">
      <c r="A13" s="21">
        <v>11</v>
      </c>
      <c r="B13" s="22" t="s">
        <v>308</v>
      </c>
      <c r="C13" s="22">
        <v>84.39</v>
      </c>
      <c r="D13" s="22">
        <v>5.8</v>
      </c>
      <c r="E13" s="22">
        <v>3.5</v>
      </c>
      <c r="F13" s="22">
        <v>0.5</v>
      </c>
      <c r="G13" s="22">
        <v>0</v>
      </c>
      <c r="H13" s="22">
        <v>0.7</v>
      </c>
      <c r="I13" s="22">
        <v>0.06</v>
      </c>
      <c r="J13" s="22">
        <v>0.35</v>
      </c>
      <c r="K13" s="22">
        <v>0</v>
      </c>
      <c r="L13" s="22">
        <v>0</v>
      </c>
      <c r="M13" s="22">
        <v>4</v>
      </c>
      <c r="N13" s="22">
        <v>1</v>
      </c>
      <c r="O13" s="21" t="s">
        <v>113</v>
      </c>
      <c r="P13" s="21" t="s">
        <v>113</v>
      </c>
      <c r="Q13" s="21" t="s">
        <v>113</v>
      </c>
      <c r="R13" s="21" t="s">
        <v>113</v>
      </c>
      <c r="S13" s="22">
        <v>1019.85</v>
      </c>
      <c r="T13" s="22">
        <v>0</v>
      </c>
      <c r="U13" s="22">
        <v>2</v>
      </c>
      <c r="V13" s="22">
        <v>699.85</v>
      </c>
      <c r="W13" s="22">
        <v>0</v>
      </c>
      <c r="X13" s="22">
        <v>2</v>
      </c>
      <c r="Y13" s="21" t="s">
        <v>113</v>
      </c>
      <c r="Z13" s="21" t="s">
        <v>113</v>
      </c>
      <c r="AA13" s="21" t="s">
        <v>113</v>
      </c>
      <c r="AB13" s="21" t="s">
        <v>113</v>
      </c>
      <c r="AC13" s="21" t="s">
        <v>113</v>
      </c>
      <c r="AD13" s="21" t="s">
        <v>113</v>
      </c>
      <c r="AE13" s="21" t="s">
        <v>113</v>
      </c>
      <c r="AF13" s="21" t="s">
        <v>113</v>
      </c>
      <c r="AG13" s="21" t="s">
        <v>113</v>
      </c>
      <c r="AH13" s="21" t="s">
        <v>113</v>
      </c>
      <c r="AI13" s="21" t="s">
        <v>113</v>
      </c>
      <c r="AJ13" s="21" t="s">
        <v>113</v>
      </c>
      <c r="AK13" s="21" t="s">
        <v>113</v>
      </c>
      <c r="AL13" s="22">
        <v>2.7363965019999998</v>
      </c>
      <c r="AM13" s="21" t="s">
        <v>113</v>
      </c>
      <c r="AN13" s="21" t="s">
        <v>113</v>
      </c>
      <c r="AO13" s="21" t="s">
        <v>113</v>
      </c>
    </row>
    <row r="14" spans="1:42" ht="15">
      <c r="A14" s="21">
        <v>12</v>
      </c>
      <c r="B14" s="22" t="s">
        <v>308</v>
      </c>
      <c r="C14" s="22">
        <v>84.39</v>
      </c>
      <c r="D14" s="22">
        <v>5.8</v>
      </c>
      <c r="E14" s="22">
        <v>3.5</v>
      </c>
      <c r="F14" s="22">
        <v>0.5</v>
      </c>
      <c r="G14" s="22">
        <v>0</v>
      </c>
      <c r="H14" s="22">
        <v>0.7</v>
      </c>
      <c r="I14" s="22">
        <v>0.06</v>
      </c>
      <c r="J14" s="22">
        <v>0.35</v>
      </c>
      <c r="K14" s="22">
        <v>0</v>
      </c>
      <c r="L14" s="22">
        <v>0</v>
      </c>
      <c r="M14" s="22">
        <v>4</v>
      </c>
      <c r="N14" s="22">
        <v>1</v>
      </c>
      <c r="O14" s="21" t="s">
        <v>113</v>
      </c>
      <c r="P14" s="21" t="s">
        <v>113</v>
      </c>
      <c r="Q14" s="21" t="s">
        <v>113</v>
      </c>
      <c r="R14" s="21" t="s">
        <v>113</v>
      </c>
      <c r="S14" s="22">
        <v>1019.85</v>
      </c>
      <c r="T14" s="22">
        <v>0</v>
      </c>
      <c r="U14" s="22">
        <v>2</v>
      </c>
      <c r="V14" s="22">
        <v>699.85</v>
      </c>
      <c r="W14" s="22">
        <v>0</v>
      </c>
      <c r="X14" s="22">
        <v>2</v>
      </c>
      <c r="Y14" s="21" t="s">
        <v>113</v>
      </c>
      <c r="Z14" s="21" t="s">
        <v>113</v>
      </c>
      <c r="AA14" s="21" t="s">
        <v>113</v>
      </c>
      <c r="AB14" s="21" t="s">
        <v>113</v>
      </c>
      <c r="AC14" s="21" t="s">
        <v>113</v>
      </c>
      <c r="AD14" s="21" t="s">
        <v>113</v>
      </c>
      <c r="AE14" s="21" t="s">
        <v>113</v>
      </c>
      <c r="AF14" s="21" t="s">
        <v>113</v>
      </c>
      <c r="AG14" s="21" t="s">
        <v>113</v>
      </c>
      <c r="AH14" s="21" t="s">
        <v>113</v>
      </c>
      <c r="AI14" s="21" t="s">
        <v>113</v>
      </c>
      <c r="AJ14" s="21" t="s">
        <v>113</v>
      </c>
      <c r="AK14" s="21" t="s">
        <v>113</v>
      </c>
      <c r="AL14" s="22">
        <v>3.3944516810000001</v>
      </c>
      <c r="AM14" s="21" t="s">
        <v>113</v>
      </c>
      <c r="AN14" s="21" t="s">
        <v>113</v>
      </c>
      <c r="AO14" s="21" t="s">
        <v>113</v>
      </c>
    </row>
    <row r="15" spans="1:42" ht="15">
      <c r="A15" s="21">
        <v>13</v>
      </c>
      <c r="B15" s="22" t="s">
        <v>308</v>
      </c>
      <c r="C15" s="22">
        <v>84.39</v>
      </c>
      <c r="D15" s="22">
        <v>5.8</v>
      </c>
      <c r="E15" s="22">
        <v>3.5</v>
      </c>
      <c r="F15" s="22">
        <v>0.5</v>
      </c>
      <c r="G15" s="22">
        <v>0</v>
      </c>
      <c r="H15" s="22">
        <v>0.7</v>
      </c>
      <c r="I15" s="22">
        <v>0.06</v>
      </c>
      <c r="J15" s="22">
        <v>0.35</v>
      </c>
      <c r="K15" s="22">
        <v>0</v>
      </c>
      <c r="L15" s="22">
        <v>0</v>
      </c>
      <c r="M15" s="22">
        <v>4</v>
      </c>
      <c r="N15" s="22">
        <v>1</v>
      </c>
      <c r="O15" s="21" t="s">
        <v>113</v>
      </c>
      <c r="P15" s="21" t="s">
        <v>113</v>
      </c>
      <c r="Q15" s="21" t="s">
        <v>113</v>
      </c>
      <c r="R15" s="21" t="s">
        <v>113</v>
      </c>
      <c r="S15" s="22">
        <v>1019.85</v>
      </c>
      <c r="T15" s="22">
        <v>0</v>
      </c>
      <c r="U15" s="22">
        <v>2</v>
      </c>
      <c r="V15" s="22">
        <v>699.85</v>
      </c>
      <c r="W15" s="22">
        <v>0</v>
      </c>
      <c r="X15" s="22">
        <v>2</v>
      </c>
      <c r="Y15" s="21" t="s">
        <v>113</v>
      </c>
      <c r="Z15" s="21" t="s">
        <v>113</v>
      </c>
      <c r="AA15" s="21" t="s">
        <v>113</v>
      </c>
      <c r="AB15" s="21" t="s">
        <v>113</v>
      </c>
      <c r="AC15" s="21" t="s">
        <v>113</v>
      </c>
      <c r="AD15" s="21" t="s">
        <v>113</v>
      </c>
      <c r="AE15" s="21" t="s">
        <v>113</v>
      </c>
      <c r="AF15" s="21" t="s">
        <v>113</v>
      </c>
      <c r="AG15" s="21" t="s">
        <v>113</v>
      </c>
      <c r="AH15" s="21" t="s">
        <v>113</v>
      </c>
      <c r="AI15" s="21" t="s">
        <v>113</v>
      </c>
      <c r="AJ15" s="21" t="s">
        <v>113</v>
      </c>
      <c r="AK15" s="21" t="s">
        <v>113</v>
      </c>
      <c r="AL15" s="22">
        <v>1.4983105539999999</v>
      </c>
      <c r="AM15" s="21" t="s">
        <v>113</v>
      </c>
      <c r="AN15" s="21" t="s">
        <v>113</v>
      </c>
      <c r="AO15" s="21" t="s">
        <v>113</v>
      </c>
    </row>
    <row r="16" spans="1:42" ht="15">
      <c r="A16" s="21">
        <v>14</v>
      </c>
      <c r="B16" s="22" t="s">
        <v>308</v>
      </c>
      <c r="C16" s="22">
        <v>84.39</v>
      </c>
      <c r="D16" s="22">
        <v>5.8</v>
      </c>
      <c r="E16" s="22">
        <v>3.5</v>
      </c>
      <c r="F16" s="22">
        <v>0.5</v>
      </c>
      <c r="G16" s="22">
        <v>0</v>
      </c>
      <c r="H16" s="22">
        <v>0.7</v>
      </c>
      <c r="I16" s="22">
        <v>0.06</v>
      </c>
      <c r="J16" s="22">
        <v>0.35</v>
      </c>
      <c r="K16" s="22">
        <v>0</v>
      </c>
      <c r="L16" s="22">
        <v>0</v>
      </c>
      <c r="M16" s="22">
        <v>4</v>
      </c>
      <c r="N16" s="22">
        <v>1</v>
      </c>
      <c r="O16" s="21" t="s">
        <v>113</v>
      </c>
      <c r="P16" s="21" t="s">
        <v>113</v>
      </c>
      <c r="Q16" s="21" t="s">
        <v>113</v>
      </c>
      <c r="R16" s="21" t="s">
        <v>113</v>
      </c>
      <c r="S16" s="22">
        <v>1019.85</v>
      </c>
      <c r="T16" s="22">
        <v>0</v>
      </c>
      <c r="U16" s="22">
        <v>2</v>
      </c>
      <c r="V16" s="22">
        <v>699.85</v>
      </c>
      <c r="W16" s="22">
        <v>0</v>
      </c>
      <c r="X16" s="22">
        <v>2</v>
      </c>
      <c r="Y16" s="21" t="s">
        <v>113</v>
      </c>
      <c r="Z16" s="21" t="s">
        <v>113</v>
      </c>
      <c r="AA16" s="21" t="s">
        <v>113</v>
      </c>
      <c r="AB16" s="21" t="s">
        <v>113</v>
      </c>
      <c r="AC16" s="21" t="s">
        <v>113</v>
      </c>
      <c r="AD16" s="21" t="s">
        <v>113</v>
      </c>
      <c r="AE16" s="21" t="s">
        <v>113</v>
      </c>
      <c r="AF16" s="21" t="s">
        <v>113</v>
      </c>
      <c r="AG16" s="21" t="s">
        <v>113</v>
      </c>
      <c r="AH16" s="21" t="s">
        <v>113</v>
      </c>
      <c r="AI16" s="21" t="s">
        <v>113</v>
      </c>
      <c r="AJ16" s="21" t="s">
        <v>113</v>
      </c>
      <c r="AK16" s="21" t="s">
        <v>113</v>
      </c>
      <c r="AL16" s="22">
        <v>1.809559715</v>
      </c>
      <c r="AM16" s="21" t="s">
        <v>113</v>
      </c>
      <c r="AN16" s="21" t="s">
        <v>113</v>
      </c>
      <c r="AO16" s="21" t="s">
        <v>113</v>
      </c>
    </row>
    <row r="17" spans="1:41" ht="15">
      <c r="A17" s="21">
        <v>15</v>
      </c>
      <c r="B17" s="22" t="s">
        <v>308</v>
      </c>
      <c r="C17" s="22">
        <v>84.39</v>
      </c>
      <c r="D17" s="22">
        <v>5.8</v>
      </c>
      <c r="E17" s="22">
        <v>3.5</v>
      </c>
      <c r="F17" s="22">
        <v>0.5</v>
      </c>
      <c r="G17" s="22">
        <v>0</v>
      </c>
      <c r="H17" s="22">
        <v>0.7</v>
      </c>
      <c r="I17" s="22">
        <v>0.06</v>
      </c>
      <c r="J17" s="22">
        <v>0.35</v>
      </c>
      <c r="K17" s="22">
        <v>0</v>
      </c>
      <c r="L17" s="22">
        <v>0</v>
      </c>
      <c r="M17" s="22">
        <v>4</v>
      </c>
      <c r="N17" s="22">
        <v>1</v>
      </c>
      <c r="O17" s="21" t="s">
        <v>113</v>
      </c>
      <c r="P17" s="21" t="s">
        <v>113</v>
      </c>
      <c r="Q17" s="21" t="s">
        <v>113</v>
      </c>
      <c r="R17" s="21" t="s">
        <v>113</v>
      </c>
      <c r="S17" s="22">
        <v>1019.85</v>
      </c>
      <c r="T17" s="22">
        <v>0</v>
      </c>
      <c r="U17" s="22">
        <v>2</v>
      </c>
      <c r="V17" s="22">
        <v>699.85</v>
      </c>
      <c r="W17" s="22">
        <v>0</v>
      </c>
      <c r="X17" s="22">
        <v>2</v>
      </c>
      <c r="Y17" s="21" t="s">
        <v>113</v>
      </c>
      <c r="Z17" s="21" t="s">
        <v>113</v>
      </c>
      <c r="AA17" s="21" t="s">
        <v>113</v>
      </c>
      <c r="AB17" s="21" t="s">
        <v>113</v>
      </c>
      <c r="AC17" s="21" t="s">
        <v>113</v>
      </c>
      <c r="AD17" s="21" t="s">
        <v>113</v>
      </c>
      <c r="AE17" s="21" t="s">
        <v>113</v>
      </c>
      <c r="AF17" s="21" t="s">
        <v>113</v>
      </c>
      <c r="AG17" s="21" t="s">
        <v>113</v>
      </c>
      <c r="AH17" s="21" t="s">
        <v>113</v>
      </c>
      <c r="AI17" s="21" t="s">
        <v>113</v>
      </c>
      <c r="AJ17" s="21" t="s">
        <v>113</v>
      </c>
      <c r="AK17" s="21" t="s">
        <v>113</v>
      </c>
      <c r="AL17" s="22">
        <v>2</v>
      </c>
      <c r="AM17" s="21" t="s">
        <v>113</v>
      </c>
      <c r="AN17" s="21" t="s">
        <v>113</v>
      </c>
      <c r="AO17" s="21" t="s">
        <v>113</v>
      </c>
    </row>
    <row r="18" spans="1:41" ht="15">
      <c r="A18" s="21">
        <v>16</v>
      </c>
      <c r="B18" s="22" t="s">
        <v>308</v>
      </c>
      <c r="C18" s="22">
        <v>84.39</v>
      </c>
      <c r="D18" s="22">
        <v>5.8</v>
      </c>
      <c r="E18" s="22">
        <v>3.5</v>
      </c>
      <c r="F18" s="22">
        <v>0.5</v>
      </c>
      <c r="G18" s="22">
        <v>0</v>
      </c>
      <c r="H18" s="22">
        <v>0.7</v>
      </c>
      <c r="I18" s="22">
        <v>0.06</v>
      </c>
      <c r="J18" s="22">
        <v>0.35</v>
      </c>
      <c r="K18" s="22">
        <v>0</v>
      </c>
      <c r="L18" s="22">
        <v>0</v>
      </c>
      <c r="M18" s="22">
        <v>4</v>
      </c>
      <c r="N18" s="22">
        <v>1</v>
      </c>
      <c r="O18" s="21" t="s">
        <v>113</v>
      </c>
      <c r="P18" s="21" t="s">
        <v>113</v>
      </c>
      <c r="Q18" s="21" t="s">
        <v>113</v>
      </c>
      <c r="R18" s="21" t="s">
        <v>113</v>
      </c>
      <c r="S18" s="22">
        <v>1019.85</v>
      </c>
      <c r="T18" s="22">
        <v>0</v>
      </c>
      <c r="U18" s="22">
        <v>2</v>
      </c>
      <c r="V18" s="22">
        <v>699.85</v>
      </c>
      <c r="W18" s="22">
        <v>0</v>
      </c>
      <c r="X18" s="22">
        <v>2</v>
      </c>
      <c r="Y18" s="21" t="s">
        <v>113</v>
      </c>
      <c r="Z18" s="21" t="s">
        <v>113</v>
      </c>
      <c r="AA18" s="21" t="s">
        <v>113</v>
      </c>
      <c r="AB18" s="21" t="s">
        <v>113</v>
      </c>
      <c r="AC18" s="21" t="s">
        <v>113</v>
      </c>
      <c r="AD18" s="21" t="s">
        <v>113</v>
      </c>
      <c r="AE18" s="21" t="s">
        <v>113</v>
      </c>
      <c r="AF18" s="21" t="s">
        <v>113</v>
      </c>
      <c r="AG18" s="21" t="s">
        <v>113</v>
      </c>
      <c r="AH18" s="21" t="s">
        <v>113</v>
      </c>
      <c r="AI18" s="21" t="s">
        <v>113</v>
      </c>
      <c r="AJ18" s="21" t="s">
        <v>113</v>
      </c>
      <c r="AK18" s="21" t="s">
        <v>113</v>
      </c>
      <c r="AL18" s="22">
        <v>2.2966651900000001</v>
      </c>
      <c r="AM18" s="21" t="s">
        <v>113</v>
      </c>
      <c r="AN18" s="21" t="s">
        <v>113</v>
      </c>
      <c r="AO18" s="21" t="s">
        <v>113</v>
      </c>
    </row>
    <row r="19" spans="1:41" ht="15">
      <c r="A19" s="21">
        <v>17</v>
      </c>
      <c r="B19" s="22" t="s">
        <v>308</v>
      </c>
      <c r="C19" s="22">
        <v>84.39</v>
      </c>
      <c r="D19" s="22">
        <v>5.8</v>
      </c>
      <c r="E19" s="22">
        <v>3.5</v>
      </c>
      <c r="F19" s="22">
        <v>0.5</v>
      </c>
      <c r="G19" s="22">
        <v>0</v>
      </c>
      <c r="H19" s="22">
        <v>0.7</v>
      </c>
      <c r="I19" s="22">
        <v>0.06</v>
      </c>
      <c r="J19" s="22">
        <v>0.35</v>
      </c>
      <c r="K19" s="22">
        <v>0</v>
      </c>
      <c r="L19" s="22">
        <v>0</v>
      </c>
      <c r="M19" s="22">
        <v>4</v>
      </c>
      <c r="N19" s="22">
        <v>1</v>
      </c>
      <c r="O19" s="21" t="s">
        <v>113</v>
      </c>
      <c r="P19" s="21" t="s">
        <v>113</v>
      </c>
      <c r="Q19" s="21" t="s">
        <v>113</v>
      </c>
      <c r="R19" s="21" t="s">
        <v>113</v>
      </c>
      <c r="S19" s="22">
        <v>1019.85</v>
      </c>
      <c r="T19" s="22">
        <v>0</v>
      </c>
      <c r="U19" s="22">
        <v>2</v>
      </c>
      <c r="V19" s="22">
        <v>699.85</v>
      </c>
      <c r="W19" s="22">
        <v>0</v>
      </c>
      <c r="X19" s="22">
        <v>2</v>
      </c>
      <c r="Y19" s="21" t="s">
        <v>113</v>
      </c>
      <c r="Z19" s="21" t="s">
        <v>113</v>
      </c>
      <c r="AA19" s="21" t="s">
        <v>113</v>
      </c>
      <c r="AB19" s="21" t="s">
        <v>113</v>
      </c>
      <c r="AC19" s="21" t="s">
        <v>113</v>
      </c>
      <c r="AD19" s="21" t="s">
        <v>113</v>
      </c>
      <c r="AE19" s="21" t="s">
        <v>113</v>
      </c>
      <c r="AF19" s="21" t="s">
        <v>113</v>
      </c>
      <c r="AG19" s="21" t="s">
        <v>113</v>
      </c>
      <c r="AH19" s="21" t="s">
        <v>113</v>
      </c>
      <c r="AI19" s="21" t="s">
        <v>113</v>
      </c>
      <c r="AJ19" s="21" t="s">
        <v>113</v>
      </c>
      <c r="AK19" s="21" t="s">
        <v>113</v>
      </c>
      <c r="AL19" s="22">
        <v>2.806179974</v>
      </c>
      <c r="AM19" s="21" t="s">
        <v>113</v>
      </c>
      <c r="AN19" s="21" t="s">
        <v>113</v>
      </c>
      <c r="AO19" s="21" t="s">
        <v>113</v>
      </c>
    </row>
    <row r="20" spans="1:41" ht="15">
      <c r="A20" s="21">
        <v>18</v>
      </c>
      <c r="B20" s="22" t="s">
        <v>308</v>
      </c>
      <c r="C20" s="22">
        <v>84.39</v>
      </c>
      <c r="D20" s="22">
        <v>5.8</v>
      </c>
      <c r="E20" s="22">
        <v>3.5</v>
      </c>
      <c r="F20" s="22">
        <v>0.5</v>
      </c>
      <c r="G20" s="22">
        <v>0</v>
      </c>
      <c r="H20" s="22">
        <v>0.7</v>
      </c>
      <c r="I20" s="22">
        <v>0.06</v>
      </c>
      <c r="J20" s="22">
        <v>0.35</v>
      </c>
      <c r="K20" s="22">
        <v>0</v>
      </c>
      <c r="L20" s="22">
        <v>0</v>
      </c>
      <c r="M20" s="22">
        <v>4</v>
      </c>
      <c r="N20" s="22">
        <v>1</v>
      </c>
      <c r="O20" s="21" t="s">
        <v>113</v>
      </c>
      <c r="P20" s="21" t="s">
        <v>113</v>
      </c>
      <c r="Q20" s="21" t="s">
        <v>113</v>
      </c>
      <c r="R20" s="21" t="s">
        <v>113</v>
      </c>
      <c r="S20" s="22">
        <v>1019.85</v>
      </c>
      <c r="T20" s="22">
        <v>0</v>
      </c>
      <c r="U20" s="22">
        <v>2</v>
      </c>
      <c r="V20" s="22">
        <v>699.85</v>
      </c>
      <c r="W20" s="22">
        <v>0</v>
      </c>
      <c r="X20" s="22">
        <v>2</v>
      </c>
      <c r="Y20" s="21" t="s">
        <v>113</v>
      </c>
      <c r="Z20" s="21" t="s">
        <v>113</v>
      </c>
      <c r="AA20" s="21" t="s">
        <v>113</v>
      </c>
      <c r="AB20" s="21" t="s">
        <v>113</v>
      </c>
      <c r="AC20" s="21" t="s">
        <v>113</v>
      </c>
      <c r="AD20" s="21" t="s">
        <v>113</v>
      </c>
      <c r="AE20" s="21" t="s">
        <v>113</v>
      </c>
      <c r="AF20" s="21" t="s">
        <v>113</v>
      </c>
      <c r="AG20" s="21" t="s">
        <v>113</v>
      </c>
      <c r="AH20" s="21" t="s">
        <v>113</v>
      </c>
      <c r="AI20" s="21" t="s">
        <v>113</v>
      </c>
      <c r="AJ20" s="21" t="s">
        <v>113</v>
      </c>
      <c r="AK20" s="21" t="s">
        <v>113</v>
      </c>
      <c r="AL20" s="22">
        <v>3.025305865</v>
      </c>
      <c r="AM20" s="21" t="s">
        <v>113</v>
      </c>
      <c r="AN20" s="21" t="s">
        <v>113</v>
      </c>
      <c r="AO20" s="21" t="s">
        <v>113</v>
      </c>
    </row>
    <row r="21" spans="1:41" ht="15">
      <c r="A21" s="21">
        <v>19</v>
      </c>
      <c r="B21" s="22" t="s">
        <v>308</v>
      </c>
      <c r="C21" s="22">
        <v>84.39</v>
      </c>
      <c r="D21" s="22">
        <v>5.8</v>
      </c>
      <c r="E21" s="22">
        <v>3.5</v>
      </c>
      <c r="F21" s="22">
        <v>0.5</v>
      </c>
      <c r="G21" s="22">
        <v>0</v>
      </c>
      <c r="H21" s="22">
        <v>0.7</v>
      </c>
      <c r="I21" s="22">
        <v>0.06</v>
      </c>
      <c r="J21" s="22">
        <v>0.35</v>
      </c>
      <c r="K21" s="22">
        <v>0</v>
      </c>
      <c r="L21" s="22">
        <v>0</v>
      </c>
      <c r="M21" s="22">
        <v>4</v>
      </c>
      <c r="N21" s="22">
        <v>1</v>
      </c>
      <c r="O21" s="21" t="s">
        <v>113</v>
      </c>
      <c r="P21" s="21" t="s">
        <v>113</v>
      </c>
      <c r="Q21" s="21" t="s">
        <v>113</v>
      </c>
      <c r="R21" s="21" t="s">
        <v>113</v>
      </c>
      <c r="S21" s="22">
        <v>1019.85</v>
      </c>
      <c r="T21" s="22">
        <v>0</v>
      </c>
      <c r="U21" s="22">
        <v>2</v>
      </c>
      <c r="V21" s="22">
        <v>699.85</v>
      </c>
      <c r="W21" s="22">
        <v>0</v>
      </c>
      <c r="X21" s="22">
        <v>2</v>
      </c>
      <c r="Y21" s="21" t="s">
        <v>113</v>
      </c>
      <c r="Z21" s="21" t="s">
        <v>113</v>
      </c>
      <c r="AA21" s="21" t="s">
        <v>113</v>
      </c>
      <c r="AB21" s="21" t="s">
        <v>113</v>
      </c>
      <c r="AC21" s="21" t="s">
        <v>113</v>
      </c>
      <c r="AD21" s="21" t="s">
        <v>113</v>
      </c>
      <c r="AE21" s="21" t="s">
        <v>113</v>
      </c>
      <c r="AF21" s="21" t="s">
        <v>113</v>
      </c>
      <c r="AG21" s="21" t="s">
        <v>113</v>
      </c>
      <c r="AH21" s="21" t="s">
        <v>113</v>
      </c>
      <c r="AI21" s="21" t="s">
        <v>113</v>
      </c>
      <c r="AJ21" s="21" t="s">
        <v>113</v>
      </c>
      <c r="AK21" s="21" t="s">
        <v>113</v>
      </c>
      <c r="AL21" s="22">
        <v>3.397940009</v>
      </c>
      <c r="AM21" s="21" t="s">
        <v>113</v>
      </c>
      <c r="AN21" s="21" t="s">
        <v>113</v>
      </c>
      <c r="AO21" s="21" t="s">
        <v>113</v>
      </c>
    </row>
    <row r="22" spans="1:41" ht="15">
      <c r="A22" s="21">
        <v>20</v>
      </c>
      <c r="B22" s="22" t="s">
        <v>309</v>
      </c>
      <c r="C22" s="22">
        <v>84.44</v>
      </c>
      <c r="D22" s="22">
        <v>5.8</v>
      </c>
      <c r="E22" s="22">
        <v>3.5</v>
      </c>
      <c r="F22" s="22">
        <v>0.4</v>
      </c>
      <c r="G22" s="22">
        <v>0</v>
      </c>
      <c r="H22" s="22">
        <v>1.4</v>
      </c>
      <c r="I22" s="22">
        <v>0.06</v>
      </c>
      <c r="J22" s="22">
        <v>0.4</v>
      </c>
      <c r="K22" s="22">
        <v>0</v>
      </c>
      <c r="L22" s="22">
        <v>0</v>
      </c>
      <c r="M22" s="22">
        <v>4</v>
      </c>
      <c r="N22" s="22">
        <v>1</v>
      </c>
      <c r="O22" s="21" t="s">
        <v>113</v>
      </c>
      <c r="P22" s="21" t="s">
        <v>113</v>
      </c>
      <c r="Q22" s="21" t="s">
        <v>113</v>
      </c>
      <c r="R22" s="21" t="s">
        <v>113</v>
      </c>
      <c r="S22" s="22">
        <v>1070</v>
      </c>
      <c r="T22" s="22">
        <v>1</v>
      </c>
      <c r="U22" s="22">
        <v>2</v>
      </c>
      <c r="V22" s="22">
        <v>610</v>
      </c>
      <c r="W22" s="22">
        <v>50</v>
      </c>
      <c r="X22" s="22">
        <v>2</v>
      </c>
      <c r="Y22" s="21" t="s">
        <v>113</v>
      </c>
      <c r="Z22" s="21" t="s">
        <v>113</v>
      </c>
      <c r="AA22" s="21" t="s">
        <v>113</v>
      </c>
      <c r="AB22" s="21" t="s">
        <v>113</v>
      </c>
      <c r="AC22" s="21" t="s">
        <v>113</v>
      </c>
      <c r="AD22" s="21" t="s">
        <v>113</v>
      </c>
      <c r="AE22" s="21" t="s">
        <v>113</v>
      </c>
      <c r="AF22" s="21" t="s">
        <v>113</v>
      </c>
      <c r="AG22" s="21" t="s">
        <v>113</v>
      </c>
      <c r="AH22" s="21" t="s">
        <v>113</v>
      </c>
      <c r="AI22" s="21" t="s">
        <v>113</v>
      </c>
      <c r="AJ22" s="21" t="s">
        <v>113</v>
      </c>
      <c r="AK22" s="21" t="s">
        <v>113</v>
      </c>
      <c r="AL22" s="22">
        <v>1.716003344</v>
      </c>
      <c r="AM22" s="21" t="s">
        <v>113</v>
      </c>
      <c r="AN22" s="21" t="s">
        <v>113</v>
      </c>
      <c r="AO22" s="21" t="s">
        <v>113</v>
      </c>
    </row>
    <row r="23" spans="1:41" ht="15">
      <c r="A23" s="21">
        <v>21</v>
      </c>
      <c r="B23" s="22" t="s">
        <v>309</v>
      </c>
      <c r="C23" s="22">
        <v>84.44</v>
      </c>
      <c r="D23" s="22">
        <v>5.8</v>
      </c>
      <c r="E23" s="22">
        <v>3.5</v>
      </c>
      <c r="F23" s="22">
        <v>0.4</v>
      </c>
      <c r="G23" s="22">
        <v>0</v>
      </c>
      <c r="H23" s="22">
        <v>1.4</v>
      </c>
      <c r="I23" s="22">
        <v>0.06</v>
      </c>
      <c r="J23" s="22">
        <v>0.4</v>
      </c>
      <c r="K23" s="22">
        <v>0</v>
      </c>
      <c r="L23" s="22">
        <v>0</v>
      </c>
      <c r="M23" s="22">
        <v>4</v>
      </c>
      <c r="N23" s="22">
        <v>1</v>
      </c>
      <c r="O23" s="21" t="s">
        <v>113</v>
      </c>
      <c r="P23" s="21" t="s">
        <v>113</v>
      </c>
      <c r="Q23" s="21" t="s">
        <v>113</v>
      </c>
      <c r="R23" s="21" t="s">
        <v>113</v>
      </c>
      <c r="S23" s="22">
        <v>1070</v>
      </c>
      <c r="T23" s="22">
        <v>1</v>
      </c>
      <c r="U23" s="22">
        <v>2</v>
      </c>
      <c r="V23" s="22">
        <v>610</v>
      </c>
      <c r="W23" s="22">
        <v>50</v>
      </c>
      <c r="X23" s="22">
        <v>2</v>
      </c>
      <c r="Y23" s="21" t="s">
        <v>113</v>
      </c>
      <c r="Z23" s="21" t="s">
        <v>113</v>
      </c>
      <c r="AA23" s="21" t="s">
        <v>113</v>
      </c>
      <c r="AB23" s="21" t="s">
        <v>113</v>
      </c>
      <c r="AC23" s="21" t="s">
        <v>113</v>
      </c>
      <c r="AD23" s="21" t="s">
        <v>113</v>
      </c>
      <c r="AE23" s="21" t="s">
        <v>113</v>
      </c>
      <c r="AF23" s="21" t="s">
        <v>113</v>
      </c>
      <c r="AG23" s="21" t="s">
        <v>113</v>
      </c>
      <c r="AH23" s="21" t="s">
        <v>113</v>
      </c>
      <c r="AI23" s="21" t="s">
        <v>113</v>
      </c>
      <c r="AJ23" s="21" t="s">
        <v>113</v>
      </c>
      <c r="AK23" s="21" t="s">
        <v>113</v>
      </c>
      <c r="AL23" s="22">
        <v>2.4424797690000002</v>
      </c>
      <c r="AM23" s="21" t="s">
        <v>113</v>
      </c>
      <c r="AN23" s="21" t="s">
        <v>113</v>
      </c>
      <c r="AO23" s="21" t="s">
        <v>113</v>
      </c>
    </row>
    <row r="24" spans="1:41" ht="15">
      <c r="A24" s="21">
        <v>24</v>
      </c>
      <c r="B24" s="22" t="s">
        <v>310</v>
      </c>
      <c r="C24" s="22">
        <v>84.44</v>
      </c>
      <c r="D24" s="22">
        <v>5.8</v>
      </c>
      <c r="E24" s="22">
        <v>3.5</v>
      </c>
      <c r="F24" s="22">
        <v>0.4</v>
      </c>
      <c r="G24" s="22">
        <v>0</v>
      </c>
      <c r="H24" s="22">
        <v>1.4</v>
      </c>
      <c r="I24" s="22">
        <v>0.06</v>
      </c>
      <c r="J24" s="22">
        <v>0.4</v>
      </c>
      <c r="K24" s="22">
        <v>0</v>
      </c>
      <c r="L24" s="22">
        <v>0</v>
      </c>
      <c r="M24" s="22">
        <v>4</v>
      </c>
      <c r="N24" s="22">
        <v>1</v>
      </c>
      <c r="O24" s="21" t="s">
        <v>113</v>
      </c>
      <c r="P24" s="21" t="s">
        <v>113</v>
      </c>
      <c r="Q24" s="21" t="s">
        <v>113</v>
      </c>
      <c r="R24" s="21" t="s">
        <v>113</v>
      </c>
      <c r="S24" s="22">
        <v>1070</v>
      </c>
      <c r="T24" s="22">
        <v>1</v>
      </c>
      <c r="U24" s="22">
        <v>2</v>
      </c>
      <c r="V24" s="22">
        <v>770</v>
      </c>
      <c r="W24" s="22">
        <v>2</v>
      </c>
      <c r="X24" s="22">
        <v>2</v>
      </c>
      <c r="Y24" s="21" t="s">
        <v>113</v>
      </c>
      <c r="Z24" s="21" t="s">
        <v>113</v>
      </c>
      <c r="AA24" s="21" t="s">
        <v>113</v>
      </c>
      <c r="AB24" s="21" t="s">
        <v>113</v>
      </c>
      <c r="AC24" s="21" t="s">
        <v>113</v>
      </c>
      <c r="AD24" s="21" t="s">
        <v>113</v>
      </c>
      <c r="AE24" s="21" t="s">
        <v>113</v>
      </c>
      <c r="AF24" s="21" t="s">
        <v>113</v>
      </c>
      <c r="AG24" s="21" t="s">
        <v>113</v>
      </c>
      <c r="AH24" s="21" t="s">
        <v>113</v>
      </c>
      <c r="AI24" s="21" t="s">
        <v>113</v>
      </c>
      <c r="AJ24" s="21" t="s">
        <v>113</v>
      </c>
      <c r="AK24" s="21" t="s">
        <v>113</v>
      </c>
      <c r="AL24" s="22">
        <v>1.5910646070000001</v>
      </c>
      <c r="AM24" s="21" t="s">
        <v>113</v>
      </c>
      <c r="AN24" s="21" t="s">
        <v>113</v>
      </c>
      <c r="AO24" s="21" t="s">
        <v>113</v>
      </c>
    </row>
    <row r="25" spans="1:41" ht="15">
      <c r="A25" s="21">
        <v>25</v>
      </c>
      <c r="B25" s="22" t="s">
        <v>310</v>
      </c>
      <c r="C25" s="22">
        <v>84.44</v>
      </c>
      <c r="D25" s="22">
        <v>5.8</v>
      </c>
      <c r="E25" s="22">
        <v>3.5</v>
      </c>
      <c r="F25" s="22">
        <v>0.4</v>
      </c>
      <c r="G25" s="22">
        <v>0</v>
      </c>
      <c r="H25" s="22">
        <v>1.4</v>
      </c>
      <c r="I25" s="22">
        <v>0.06</v>
      </c>
      <c r="J25" s="22">
        <v>0.4</v>
      </c>
      <c r="K25" s="22">
        <v>0</v>
      </c>
      <c r="L25" s="22">
        <v>0</v>
      </c>
      <c r="M25" s="22">
        <v>4</v>
      </c>
      <c r="N25" s="22">
        <v>1</v>
      </c>
      <c r="O25" s="21" t="s">
        <v>113</v>
      </c>
      <c r="P25" s="21" t="s">
        <v>113</v>
      </c>
      <c r="Q25" s="21" t="s">
        <v>113</v>
      </c>
      <c r="R25" s="21" t="s">
        <v>113</v>
      </c>
      <c r="S25" s="22">
        <v>1070</v>
      </c>
      <c r="T25" s="22">
        <v>1</v>
      </c>
      <c r="U25" s="22">
        <v>2</v>
      </c>
      <c r="V25" s="22">
        <v>770</v>
      </c>
      <c r="W25" s="22">
        <v>2</v>
      </c>
      <c r="X25" s="22">
        <v>2</v>
      </c>
      <c r="Y25" s="21" t="s">
        <v>113</v>
      </c>
      <c r="Z25" s="21" t="s">
        <v>113</v>
      </c>
      <c r="AA25" s="21" t="s">
        <v>113</v>
      </c>
      <c r="AB25" s="21" t="s">
        <v>113</v>
      </c>
      <c r="AC25" s="21" t="s">
        <v>113</v>
      </c>
      <c r="AD25" s="21" t="s">
        <v>113</v>
      </c>
      <c r="AE25" s="21" t="s">
        <v>113</v>
      </c>
      <c r="AF25" s="21" t="s">
        <v>113</v>
      </c>
      <c r="AG25" s="21" t="s">
        <v>113</v>
      </c>
      <c r="AH25" s="21" t="s">
        <v>113</v>
      </c>
      <c r="AI25" s="21" t="s">
        <v>113</v>
      </c>
      <c r="AJ25" s="21" t="s">
        <v>113</v>
      </c>
      <c r="AK25" s="21" t="s">
        <v>113</v>
      </c>
      <c r="AL25" s="22">
        <v>2.1760912590000001</v>
      </c>
      <c r="AM25" s="21" t="s">
        <v>113</v>
      </c>
      <c r="AN25" s="21" t="s">
        <v>113</v>
      </c>
      <c r="AO25" s="21" t="s">
        <v>113</v>
      </c>
    </row>
    <row r="26" spans="1:41" ht="15">
      <c r="A26" s="21">
        <v>26</v>
      </c>
      <c r="B26" s="22" t="s">
        <v>311</v>
      </c>
      <c r="C26" s="22">
        <v>85.13</v>
      </c>
      <c r="D26" s="22">
        <v>6.04</v>
      </c>
      <c r="E26" s="22">
        <v>3.2</v>
      </c>
      <c r="F26" s="22">
        <v>0.5</v>
      </c>
      <c r="G26" s="22">
        <v>0</v>
      </c>
      <c r="H26" s="22">
        <v>0.6</v>
      </c>
      <c r="I26" s="22">
        <v>0.06</v>
      </c>
      <c r="J26" s="22">
        <v>0.31</v>
      </c>
      <c r="K26" s="22">
        <v>2.4E-2</v>
      </c>
      <c r="L26" s="22">
        <v>0.01</v>
      </c>
      <c r="M26" s="22">
        <v>3.98</v>
      </c>
      <c r="N26" s="22">
        <v>1</v>
      </c>
      <c r="O26" s="21" t="s">
        <v>113</v>
      </c>
      <c r="P26" s="21" t="s">
        <v>113</v>
      </c>
      <c r="Q26" s="21" t="s">
        <v>113</v>
      </c>
      <c r="R26" s="21" t="s">
        <v>113</v>
      </c>
      <c r="S26" s="22">
        <v>1080</v>
      </c>
      <c r="T26" s="22">
        <v>2</v>
      </c>
      <c r="U26" s="22">
        <v>2</v>
      </c>
      <c r="V26" s="22">
        <v>700</v>
      </c>
      <c r="W26" s="22">
        <v>2</v>
      </c>
      <c r="X26" s="22">
        <v>2</v>
      </c>
      <c r="Y26" s="21" t="s">
        <v>113</v>
      </c>
      <c r="Z26" s="21" t="s">
        <v>113</v>
      </c>
      <c r="AA26" s="21" t="s">
        <v>113</v>
      </c>
      <c r="AB26" s="21" t="s">
        <v>113</v>
      </c>
      <c r="AC26" s="21" t="s">
        <v>113</v>
      </c>
      <c r="AD26" s="21" t="s">
        <v>113</v>
      </c>
      <c r="AE26" s="21" t="s">
        <v>113</v>
      </c>
      <c r="AF26" s="21" t="s">
        <v>113</v>
      </c>
      <c r="AG26" s="21" t="s">
        <v>113</v>
      </c>
      <c r="AH26" s="21" t="s">
        <v>113</v>
      </c>
      <c r="AI26" s="21" t="s">
        <v>113</v>
      </c>
      <c r="AJ26" s="21" t="s">
        <v>113</v>
      </c>
      <c r="AK26" s="21" t="s">
        <v>113</v>
      </c>
      <c r="AL26" s="22">
        <v>2.0755469610000001</v>
      </c>
      <c r="AM26" s="21" t="s">
        <v>113</v>
      </c>
      <c r="AN26" s="21" t="s">
        <v>113</v>
      </c>
      <c r="AO26" s="21" t="s">
        <v>113</v>
      </c>
    </row>
    <row r="27" spans="1:41" ht="15">
      <c r="A27" s="21">
        <v>27</v>
      </c>
      <c r="B27" s="22" t="s">
        <v>312</v>
      </c>
      <c r="C27" s="22">
        <v>85.13</v>
      </c>
      <c r="D27" s="22">
        <v>6.04</v>
      </c>
      <c r="E27" s="22">
        <v>3.2</v>
      </c>
      <c r="F27" s="22">
        <v>0.5</v>
      </c>
      <c r="G27" s="22">
        <v>0</v>
      </c>
      <c r="H27" s="22">
        <v>0.6</v>
      </c>
      <c r="I27" s="22">
        <v>0.06</v>
      </c>
      <c r="J27" s="22">
        <v>0.31</v>
      </c>
      <c r="K27" s="22">
        <v>2.4E-2</v>
      </c>
      <c r="L27" s="22">
        <v>0.01</v>
      </c>
      <c r="M27" s="22">
        <v>3.98</v>
      </c>
      <c r="N27" s="22">
        <v>1</v>
      </c>
      <c r="O27" s="21" t="s">
        <v>113</v>
      </c>
      <c r="P27" s="21" t="s">
        <v>113</v>
      </c>
      <c r="Q27" s="21" t="s">
        <v>113</v>
      </c>
      <c r="R27" s="21" t="s">
        <v>113</v>
      </c>
      <c r="S27" s="22">
        <v>1055</v>
      </c>
      <c r="T27" s="22">
        <v>2</v>
      </c>
      <c r="U27" s="22">
        <v>2</v>
      </c>
      <c r="V27" s="22">
        <v>700</v>
      </c>
      <c r="W27" s="22">
        <v>2</v>
      </c>
      <c r="X27" s="22">
        <v>2</v>
      </c>
      <c r="Y27" s="21" t="s">
        <v>113</v>
      </c>
      <c r="Z27" s="21" t="s">
        <v>113</v>
      </c>
      <c r="AA27" s="21" t="s">
        <v>113</v>
      </c>
      <c r="AB27" s="21" t="s">
        <v>113</v>
      </c>
      <c r="AC27" s="21" t="s">
        <v>113</v>
      </c>
      <c r="AD27" s="21" t="s">
        <v>113</v>
      </c>
      <c r="AE27" s="21" t="s">
        <v>113</v>
      </c>
      <c r="AF27" s="21" t="s">
        <v>113</v>
      </c>
      <c r="AG27" s="21" t="s">
        <v>113</v>
      </c>
      <c r="AH27" s="21" t="s">
        <v>113</v>
      </c>
      <c r="AI27" s="21" t="s">
        <v>113</v>
      </c>
      <c r="AJ27" s="21" t="s">
        <v>113</v>
      </c>
      <c r="AK27" s="21" t="s">
        <v>113</v>
      </c>
      <c r="AL27" s="22">
        <v>1.6812412370000001</v>
      </c>
      <c r="AM27" s="21" t="s">
        <v>113</v>
      </c>
      <c r="AN27" s="21" t="s">
        <v>113</v>
      </c>
      <c r="AO27" s="21" t="s">
        <v>113</v>
      </c>
    </row>
    <row r="28" spans="1:41" ht="15">
      <c r="A28" s="21">
        <v>28</v>
      </c>
      <c r="B28" s="22" t="s">
        <v>313</v>
      </c>
      <c r="C28" s="22">
        <v>85.13</v>
      </c>
      <c r="D28" s="22">
        <v>6.04</v>
      </c>
      <c r="E28" s="22">
        <v>3.2</v>
      </c>
      <c r="F28" s="22">
        <v>0.5</v>
      </c>
      <c r="G28" s="22">
        <v>0</v>
      </c>
      <c r="H28" s="22">
        <v>0.6</v>
      </c>
      <c r="I28" s="22">
        <v>0.06</v>
      </c>
      <c r="J28" s="22">
        <v>0.31</v>
      </c>
      <c r="K28" s="22">
        <v>2.4E-2</v>
      </c>
      <c r="L28" s="22">
        <v>0.01</v>
      </c>
      <c r="M28" s="22">
        <v>3.98</v>
      </c>
      <c r="N28" s="22">
        <v>1</v>
      </c>
      <c r="O28" s="21" t="s">
        <v>113</v>
      </c>
      <c r="P28" s="21" t="s">
        <v>113</v>
      </c>
      <c r="Q28" s="21" t="s">
        <v>113</v>
      </c>
      <c r="R28" s="21" t="s">
        <v>113</v>
      </c>
      <c r="S28" s="22">
        <v>1040</v>
      </c>
      <c r="T28" s="22">
        <v>2</v>
      </c>
      <c r="U28" s="22">
        <v>2</v>
      </c>
      <c r="V28" s="22">
        <v>700</v>
      </c>
      <c r="W28" s="22">
        <v>2</v>
      </c>
      <c r="X28" s="22">
        <v>2</v>
      </c>
      <c r="Y28" s="21" t="s">
        <v>113</v>
      </c>
      <c r="Z28" s="21" t="s">
        <v>113</v>
      </c>
      <c r="AA28" s="21" t="s">
        <v>113</v>
      </c>
      <c r="AB28" s="21" t="s">
        <v>113</v>
      </c>
      <c r="AC28" s="21" t="s">
        <v>113</v>
      </c>
      <c r="AD28" s="21" t="s">
        <v>113</v>
      </c>
      <c r="AE28" s="21" t="s">
        <v>113</v>
      </c>
      <c r="AF28" s="21" t="s">
        <v>113</v>
      </c>
      <c r="AG28" s="21" t="s">
        <v>113</v>
      </c>
      <c r="AH28" s="21" t="s">
        <v>113</v>
      </c>
      <c r="AI28" s="21" t="s">
        <v>113</v>
      </c>
      <c r="AJ28" s="21" t="s">
        <v>113</v>
      </c>
      <c r="AK28" s="21" t="s">
        <v>113</v>
      </c>
      <c r="AL28" s="22">
        <v>1.602059991</v>
      </c>
      <c r="AM28" s="21" t="s">
        <v>113</v>
      </c>
      <c r="AN28" s="21" t="s">
        <v>113</v>
      </c>
      <c r="AO28" s="21" t="s">
        <v>113</v>
      </c>
    </row>
    <row r="29" spans="1:41" ht="15">
      <c r="A29" s="21">
        <v>29</v>
      </c>
      <c r="B29" s="22" t="s">
        <v>314</v>
      </c>
      <c r="C29" s="22">
        <v>85.13</v>
      </c>
      <c r="D29" s="22">
        <v>6.04</v>
      </c>
      <c r="E29" s="22">
        <v>3.2</v>
      </c>
      <c r="F29" s="22">
        <v>0.5</v>
      </c>
      <c r="G29" s="22">
        <v>0</v>
      </c>
      <c r="H29" s="22">
        <v>0.6</v>
      </c>
      <c r="I29" s="22">
        <v>0.06</v>
      </c>
      <c r="J29" s="22">
        <v>0.31</v>
      </c>
      <c r="K29" s="22">
        <v>2.4E-2</v>
      </c>
      <c r="L29" s="22">
        <v>0.01</v>
      </c>
      <c r="M29" s="22">
        <v>3.98</v>
      </c>
      <c r="N29" s="22">
        <v>1</v>
      </c>
      <c r="O29" s="21" t="s">
        <v>113</v>
      </c>
      <c r="P29" s="21" t="s">
        <v>113</v>
      </c>
      <c r="Q29" s="21" t="s">
        <v>113</v>
      </c>
      <c r="R29" s="21" t="s">
        <v>113</v>
      </c>
      <c r="S29" s="22">
        <v>1000</v>
      </c>
      <c r="T29" s="22">
        <v>2</v>
      </c>
      <c r="U29" s="22">
        <v>2</v>
      </c>
      <c r="V29" s="22">
        <v>700</v>
      </c>
      <c r="W29" s="22">
        <v>2</v>
      </c>
      <c r="X29" s="22">
        <v>2</v>
      </c>
      <c r="Y29" s="21" t="s">
        <v>113</v>
      </c>
      <c r="Z29" s="21" t="s">
        <v>113</v>
      </c>
      <c r="AA29" s="21" t="s">
        <v>113</v>
      </c>
      <c r="AB29" s="21" t="s">
        <v>113</v>
      </c>
      <c r="AC29" s="21" t="s">
        <v>113</v>
      </c>
      <c r="AD29" s="21" t="s">
        <v>113</v>
      </c>
      <c r="AE29" s="21" t="s">
        <v>113</v>
      </c>
      <c r="AF29" s="21" t="s">
        <v>113</v>
      </c>
      <c r="AG29" s="21" t="s">
        <v>113</v>
      </c>
      <c r="AH29" s="21" t="s">
        <v>113</v>
      </c>
      <c r="AI29" s="21" t="s">
        <v>113</v>
      </c>
      <c r="AJ29" s="21" t="s">
        <v>113</v>
      </c>
      <c r="AK29" s="21" t="s">
        <v>113</v>
      </c>
      <c r="AL29" s="22">
        <v>1.5051499779999999</v>
      </c>
      <c r="AM29" s="21" t="s">
        <v>113</v>
      </c>
      <c r="AN29" s="21" t="s">
        <v>113</v>
      </c>
      <c r="AO29" s="21" t="s">
        <v>113</v>
      </c>
    </row>
    <row r="30" spans="1:41" ht="15">
      <c r="A30" s="21">
        <v>30</v>
      </c>
      <c r="B30" s="22" t="s">
        <v>315</v>
      </c>
      <c r="C30" s="22">
        <v>85.13</v>
      </c>
      <c r="D30" s="22">
        <v>6.04</v>
      </c>
      <c r="E30" s="22">
        <v>3.2</v>
      </c>
      <c r="F30" s="22">
        <v>0.5</v>
      </c>
      <c r="G30" s="22">
        <v>0</v>
      </c>
      <c r="H30" s="22">
        <v>0.6</v>
      </c>
      <c r="I30" s="22">
        <v>0.06</v>
      </c>
      <c r="J30" s="22">
        <v>0.31</v>
      </c>
      <c r="K30" s="22">
        <v>2.4E-2</v>
      </c>
      <c r="L30" s="22">
        <v>0.01</v>
      </c>
      <c r="M30" s="22">
        <v>3.98</v>
      </c>
      <c r="N30" s="22">
        <v>1</v>
      </c>
      <c r="O30" s="21" t="s">
        <v>113</v>
      </c>
      <c r="P30" s="21" t="s">
        <v>113</v>
      </c>
      <c r="Q30" s="21" t="s">
        <v>113</v>
      </c>
      <c r="R30" s="21" t="s">
        <v>113</v>
      </c>
      <c r="S30" s="22">
        <v>960</v>
      </c>
      <c r="T30" s="22">
        <v>2</v>
      </c>
      <c r="U30" s="22">
        <v>2</v>
      </c>
      <c r="V30" s="22">
        <v>700</v>
      </c>
      <c r="W30" s="22">
        <v>2</v>
      </c>
      <c r="X30" s="22">
        <v>2</v>
      </c>
      <c r="Y30" s="21" t="s">
        <v>113</v>
      </c>
      <c r="Z30" s="21" t="s">
        <v>113</v>
      </c>
      <c r="AA30" s="21" t="s">
        <v>113</v>
      </c>
      <c r="AB30" s="21" t="s">
        <v>113</v>
      </c>
      <c r="AC30" s="21" t="s">
        <v>113</v>
      </c>
      <c r="AD30" s="21" t="s">
        <v>113</v>
      </c>
      <c r="AE30" s="21" t="s">
        <v>113</v>
      </c>
      <c r="AF30" s="21" t="s">
        <v>113</v>
      </c>
      <c r="AG30" s="21" t="s">
        <v>113</v>
      </c>
      <c r="AH30" s="21" t="s">
        <v>113</v>
      </c>
      <c r="AI30" s="21" t="s">
        <v>113</v>
      </c>
      <c r="AJ30" s="21" t="s">
        <v>113</v>
      </c>
      <c r="AK30" s="21" t="s">
        <v>113</v>
      </c>
      <c r="AL30" s="22">
        <v>1.4313637640000001</v>
      </c>
      <c r="AM30" s="21" t="s">
        <v>113</v>
      </c>
      <c r="AN30" s="21" t="s">
        <v>113</v>
      </c>
      <c r="AO30" s="21" t="s">
        <v>113</v>
      </c>
    </row>
    <row r="31" spans="1:41" ht="15">
      <c r="A31" s="21">
        <v>31</v>
      </c>
      <c r="B31" s="22" t="s">
        <v>316</v>
      </c>
      <c r="C31" s="22">
        <v>85.19</v>
      </c>
      <c r="D31" s="22">
        <v>5.97</v>
      </c>
      <c r="E31" s="22">
        <v>3.5</v>
      </c>
      <c r="F31" s="22">
        <v>0.51</v>
      </c>
      <c r="G31" s="22">
        <v>0</v>
      </c>
      <c r="H31" s="22">
        <v>0.73</v>
      </c>
      <c r="I31" s="22">
        <v>7.0000000000000007E-2</v>
      </c>
      <c r="J31" s="22">
        <v>0.46</v>
      </c>
      <c r="K31" s="22">
        <v>1.4999999999999999E-2</v>
      </c>
      <c r="L31" s="22">
        <v>2E-3</v>
      </c>
      <c r="M31" s="22">
        <v>3.42</v>
      </c>
      <c r="N31" s="22">
        <v>1</v>
      </c>
      <c r="O31" s="21" t="s">
        <v>113</v>
      </c>
      <c r="P31" s="21" t="s">
        <v>113</v>
      </c>
      <c r="Q31" s="21" t="s">
        <v>113</v>
      </c>
      <c r="R31" s="21" t="s">
        <v>113</v>
      </c>
      <c r="S31" s="22">
        <v>1080</v>
      </c>
      <c r="T31" s="22">
        <v>2</v>
      </c>
      <c r="U31" s="22">
        <v>2</v>
      </c>
      <c r="V31" s="22">
        <v>700</v>
      </c>
      <c r="W31" s="22">
        <v>2</v>
      </c>
      <c r="X31" s="22">
        <v>2</v>
      </c>
      <c r="Y31" s="21" t="s">
        <v>113</v>
      </c>
      <c r="Z31" s="21" t="s">
        <v>113</v>
      </c>
      <c r="AA31" s="21" t="s">
        <v>113</v>
      </c>
      <c r="AB31" s="21" t="s">
        <v>113</v>
      </c>
      <c r="AC31" s="21" t="s">
        <v>113</v>
      </c>
      <c r="AD31" s="21" t="s">
        <v>113</v>
      </c>
      <c r="AE31" s="21" t="s">
        <v>113</v>
      </c>
      <c r="AF31" s="21" t="s">
        <v>113</v>
      </c>
      <c r="AG31" s="21" t="s">
        <v>113</v>
      </c>
      <c r="AH31" s="21" t="s">
        <v>113</v>
      </c>
      <c r="AI31" s="21" t="s">
        <v>113</v>
      </c>
      <c r="AJ31" s="21" t="s">
        <v>113</v>
      </c>
      <c r="AK31" s="21" t="s">
        <v>113</v>
      </c>
      <c r="AL31" s="22">
        <v>2.342422681</v>
      </c>
      <c r="AM31" s="21" t="s">
        <v>113</v>
      </c>
      <c r="AN31" s="21" t="s">
        <v>113</v>
      </c>
      <c r="AO31" s="21" t="s">
        <v>113</v>
      </c>
    </row>
    <row r="32" spans="1:41" ht="15">
      <c r="A32" s="21">
        <v>32</v>
      </c>
      <c r="B32" s="22" t="s">
        <v>317</v>
      </c>
      <c r="C32" s="22">
        <v>85.19</v>
      </c>
      <c r="D32" s="22">
        <v>5.97</v>
      </c>
      <c r="E32" s="22">
        <v>3.5</v>
      </c>
      <c r="F32" s="22">
        <v>0.51</v>
      </c>
      <c r="G32" s="22">
        <v>0</v>
      </c>
      <c r="H32" s="22">
        <v>0.73</v>
      </c>
      <c r="I32" s="22">
        <v>7.0000000000000007E-2</v>
      </c>
      <c r="J32" s="22">
        <v>0.46</v>
      </c>
      <c r="K32" s="22">
        <v>1.4999999999999999E-2</v>
      </c>
      <c r="L32" s="22">
        <v>2E-3</v>
      </c>
      <c r="M32" s="22">
        <v>3.42</v>
      </c>
      <c r="N32" s="22">
        <v>1</v>
      </c>
      <c r="O32" s="21" t="s">
        <v>113</v>
      </c>
      <c r="P32" s="21" t="s">
        <v>113</v>
      </c>
      <c r="Q32" s="21" t="s">
        <v>113</v>
      </c>
      <c r="R32" s="21" t="s">
        <v>113</v>
      </c>
      <c r="S32" s="22">
        <v>1055</v>
      </c>
      <c r="T32" s="22">
        <v>2</v>
      </c>
      <c r="U32" s="22">
        <v>2</v>
      </c>
      <c r="V32" s="22">
        <v>700</v>
      </c>
      <c r="W32" s="22">
        <v>2</v>
      </c>
      <c r="X32" s="22">
        <v>2</v>
      </c>
      <c r="Y32" s="21" t="s">
        <v>113</v>
      </c>
      <c r="Z32" s="21" t="s">
        <v>113</v>
      </c>
      <c r="AA32" s="21" t="s">
        <v>113</v>
      </c>
      <c r="AB32" s="21" t="s">
        <v>113</v>
      </c>
      <c r="AC32" s="21" t="s">
        <v>113</v>
      </c>
      <c r="AD32" s="21" t="s">
        <v>113</v>
      </c>
      <c r="AE32" s="21" t="s">
        <v>113</v>
      </c>
      <c r="AF32" s="21" t="s">
        <v>113</v>
      </c>
      <c r="AG32" s="21" t="s">
        <v>113</v>
      </c>
      <c r="AH32" s="21" t="s">
        <v>113</v>
      </c>
      <c r="AI32" s="21" t="s">
        <v>113</v>
      </c>
      <c r="AJ32" s="21" t="s">
        <v>113</v>
      </c>
      <c r="AK32" s="21" t="s">
        <v>113</v>
      </c>
      <c r="AL32" s="22">
        <v>1.806179974</v>
      </c>
      <c r="AM32" s="21" t="s">
        <v>113</v>
      </c>
      <c r="AN32" s="21" t="s">
        <v>113</v>
      </c>
      <c r="AO32" s="21" t="s">
        <v>113</v>
      </c>
    </row>
    <row r="33" spans="1:41" ht="15">
      <c r="A33" s="21">
        <v>33</v>
      </c>
      <c r="B33" s="22" t="s">
        <v>318</v>
      </c>
      <c r="C33" s="22">
        <v>85.19</v>
      </c>
      <c r="D33" s="22">
        <v>5.97</v>
      </c>
      <c r="E33" s="22">
        <v>3.5</v>
      </c>
      <c r="F33" s="22">
        <v>0.51</v>
      </c>
      <c r="G33" s="22">
        <v>0</v>
      </c>
      <c r="H33" s="22">
        <v>0.73</v>
      </c>
      <c r="I33" s="22">
        <v>7.0000000000000007E-2</v>
      </c>
      <c r="J33" s="22">
        <v>0.46</v>
      </c>
      <c r="K33" s="22">
        <v>1.4999999999999999E-2</v>
      </c>
      <c r="L33" s="22">
        <v>2E-3</v>
      </c>
      <c r="M33" s="22">
        <v>3.42</v>
      </c>
      <c r="N33" s="22">
        <v>1</v>
      </c>
      <c r="O33" s="21" t="s">
        <v>113</v>
      </c>
      <c r="P33" s="21" t="s">
        <v>113</v>
      </c>
      <c r="Q33" s="21" t="s">
        <v>113</v>
      </c>
      <c r="R33" s="21" t="s">
        <v>113</v>
      </c>
      <c r="S33" s="22">
        <v>1045</v>
      </c>
      <c r="T33" s="22">
        <v>2</v>
      </c>
      <c r="U33" s="22">
        <v>2</v>
      </c>
      <c r="V33" s="22">
        <v>700</v>
      </c>
      <c r="W33" s="22">
        <v>2</v>
      </c>
      <c r="X33" s="22">
        <v>2</v>
      </c>
      <c r="Y33" s="21" t="s">
        <v>113</v>
      </c>
      <c r="Z33" s="21" t="s">
        <v>113</v>
      </c>
      <c r="AA33" s="21" t="s">
        <v>113</v>
      </c>
      <c r="AB33" s="21" t="s">
        <v>113</v>
      </c>
      <c r="AC33" s="21" t="s">
        <v>113</v>
      </c>
      <c r="AD33" s="21" t="s">
        <v>113</v>
      </c>
      <c r="AE33" s="21" t="s">
        <v>113</v>
      </c>
      <c r="AF33" s="21" t="s">
        <v>113</v>
      </c>
      <c r="AG33" s="21" t="s">
        <v>113</v>
      </c>
      <c r="AH33" s="21" t="s">
        <v>113</v>
      </c>
      <c r="AI33" s="21" t="s">
        <v>113</v>
      </c>
      <c r="AJ33" s="21" t="s">
        <v>113</v>
      </c>
      <c r="AK33" s="21" t="s">
        <v>113</v>
      </c>
      <c r="AL33" s="22">
        <v>1.7403626889999999</v>
      </c>
      <c r="AM33" s="21" t="s">
        <v>113</v>
      </c>
      <c r="AN33" s="21" t="s">
        <v>113</v>
      </c>
      <c r="AO33" s="21" t="s">
        <v>113</v>
      </c>
    </row>
    <row r="34" spans="1:41" ht="15">
      <c r="A34" s="21">
        <v>34</v>
      </c>
      <c r="B34" s="22" t="s">
        <v>319</v>
      </c>
      <c r="C34" s="22">
        <v>85.19</v>
      </c>
      <c r="D34" s="22">
        <v>5.97</v>
      </c>
      <c r="E34" s="22">
        <v>3.5</v>
      </c>
      <c r="F34" s="22">
        <v>0.51</v>
      </c>
      <c r="G34" s="22">
        <v>0</v>
      </c>
      <c r="H34" s="22">
        <v>0.73</v>
      </c>
      <c r="I34" s="22">
        <v>7.0000000000000007E-2</v>
      </c>
      <c r="J34" s="22">
        <v>0.46</v>
      </c>
      <c r="K34" s="22">
        <v>1.4999999999999999E-2</v>
      </c>
      <c r="L34" s="22">
        <v>2E-3</v>
      </c>
      <c r="M34" s="22">
        <v>3.42</v>
      </c>
      <c r="N34" s="22">
        <v>1</v>
      </c>
      <c r="O34" s="21" t="s">
        <v>113</v>
      </c>
      <c r="P34" s="21" t="s">
        <v>113</v>
      </c>
      <c r="Q34" s="21" t="s">
        <v>113</v>
      </c>
      <c r="R34" s="21" t="s">
        <v>113</v>
      </c>
      <c r="S34" s="22">
        <v>1000</v>
      </c>
      <c r="T34" s="22">
        <v>2</v>
      </c>
      <c r="U34" s="22">
        <v>2</v>
      </c>
      <c r="V34" s="22">
        <v>700</v>
      </c>
      <c r="W34" s="22">
        <v>2</v>
      </c>
      <c r="X34" s="22">
        <v>2</v>
      </c>
      <c r="Y34" s="21" t="s">
        <v>113</v>
      </c>
      <c r="Z34" s="21" t="s">
        <v>113</v>
      </c>
      <c r="AA34" s="21" t="s">
        <v>113</v>
      </c>
      <c r="AB34" s="21" t="s">
        <v>113</v>
      </c>
      <c r="AC34" s="21" t="s">
        <v>113</v>
      </c>
      <c r="AD34" s="21" t="s">
        <v>113</v>
      </c>
      <c r="AE34" s="21" t="s">
        <v>113</v>
      </c>
      <c r="AF34" s="21" t="s">
        <v>113</v>
      </c>
      <c r="AG34" s="21" t="s">
        <v>113</v>
      </c>
      <c r="AH34" s="21" t="s">
        <v>113</v>
      </c>
      <c r="AI34" s="21" t="s">
        <v>113</v>
      </c>
      <c r="AJ34" s="21" t="s">
        <v>113</v>
      </c>
      <c r="AK34" s="21" t="s">
        <v>113</v>
      </c>
      <c r="AL34" s="22">
        <v>1.5185139400000001</v>
      </c>
      <c r="AM34" s="21" t="s">
        <v>113</v>
      </c>
      <c r="AN34" s="21" t="s">
        <v>113</v>
      </c>
      <c r="AO34" s="21" t="s">
        <v>113</v>
      </c>
    </row>
    <row r="35" spans="1:41" ht="15">
      <c r="A35" s="21">
        <v>35</v>
      </c>
      <c r="B35" s="22" t="s">
        <v>320</v>
      </c>
      <c r="C35" s="22">
        <v>85.19</v>
      </c>
      <c r="D35" s="22">
        <v>5.97</v>
      </c>
      <c r="E35" s="22">
        <v>3.5</v>
      </c>
      <c r="F35" s="22">
        <v>0.51</v>
      </c>
      <c r="G35" s="22">
        <v>0</v>
      </c>
      <c r="H35" s="22">
        <v>0.73</v>
      </c>
      <c r="I35" s="22">
        <v>7.0000000000000007E-2</v>
      </c>
      <c r="J35" s="22">
        <v>0.46</v>
      </c>
      <c r="K35" s="22">
        <v>1.4999999999999999E-2</v>
      </c>
      <c r="L35" s="22">
        <v>2E-3</v>
      </c>
      <c r="M35" s="22">
        <v>3.42</v>
      </c>
      <c r="N35" s="22">
        <v>1</v>
      </c>
      <c r="O35" s="21" t="s">
        <v>113</v>
      </c>
      <c r="P35" s="21" t="s">
        <v>113</v>
      </c>
      <c r="Q35" s="21" t="s">
        <v>113</v>
      </c>
      <c r="R35" s="21" t="s">
        <v>113</v>
      </c>
      <c r="S35" s="22">
        <v>970</v>
      </c>
      <c r="T35" s="22">
        <v>2</v>
      </c>
      <c r="U35" s="22">
        <v>2</v>
      </c>
      <c r="V35" s="22">
        <v>700</v>
      </c>
      <c r="W35" s="22">
        <v>2</v>
      </c>
      <c r="X35" s="22">
        <v>2</v>
      </c>
      <c r="Y35" s="21" t="s">
        <v>113</v>
      </c>
      <c r="Z35" s="21" t="s">
        <v>113</v>
      </c>
      <c r="AA35" s="21" t="s">
        <v>113</v>
      </c>
      <c r="AB35" s="21" t="s">
        <v>113</v>
      </c>
      <c r="AC35" s="21" t="s">
        <v>113</v>
      </c>
      <c r="AD35" s="21" t="s">
        <v>113</v>
      </c>
      <c r="AE35" s="21" t="s">
        <v>113</v>
      </c>
      <c r="AF35" s="21" t="s">
        <v>113</v>
      </c>
      <c r="AG35" s="21" t="s">
        <v>113</v>
      </c>
      <c r="AH35" s="21" t="s">
        <v>113</v>
      </c>
      <c r="AI35" s="21" t="s">
        <v>113</v>
      </c>
      <c r="AJ35" s="21" t="s">
        <v>113</v>
      </c>
      <c r="AK35" s="21" t="s">
        <v>113</v>
      </c>
      <c r="AL35" s="22">
        <v>1.322219295</v>
      </c>
      <c r="AM35" s="21" t="s">
        <v>113</v>
      </c>
      <c r="AN35" s="21" t="s">
        <v>113</v>
      </c>
      <c r="AO35" s="21" t="s">
        <v>113</v>
      </c>
    </row>
    <row r="36" spans="1:41" ht="15">
      <c r="A36" s="21">
        <v>36</v>
      </c>
      <c r="B36" s="22" t="s">
        <v>321</v>
      </c>
      <c r="C36" s="22">
        <v>84.99</v>
      </c>
      <c r="D36" s="22">
        <v>5.75</v>
      </c>
      <c r="E36" s="22">
        <v>3.54</v>
      </c>
      <c r="F36" s="22">
        <v>0.5</v>
      </c>
      <c r="G36" s="22">
        <v>0</v>
      </c>
      <c r="H36" s="22">
        <v>0.71</v>
      </c>
      <c r="I36" s="22">
        <v>6.5000000000000002E-2</v>
      </c>
      <c r="J36" s="22">
        <v>0.31</v>
      </c>
      <c r="K36" s="22">
        <v>6.4999999999999997E-3</v>
      </c>
      <c r="L36" s="22">
        <v>1.1999999999999999E-3</v>
      </c>
      <c r="M36" s="22">
        <v>4.0199999999999996</v>
      </c>
      <c r="N36" s="22">
        <v>1</v>
      </c>
      <c r="O36" s="21" t="s">
        <v>113</v>
      </c>
      <c r="P36" s="21" t="s">
        <v>113</v>
      </c>
      <c r="Q36" s="21" t="s">
        <v>113</v>
      </c>
      <c r="R36" s="21" t="s">
        <v>113</v>
      </c>
      <c r="S36" s="22">
        <v>1065</v>
      </c>
      <c r="T36" s="22">
        <v>2</v>
      </c>
      <c r="U36" s="22">
        <v>2</v>
      </c>
      <c r="V36" s="22">
        <v>700</v>
      </c>
      <c r="W36" s="22">
        <v>2</v>
      </c>
      <c r="X36" s="22">
        <v>2</v>
      </c>
      <c r="Y36" s="21" t="s">
        <v>113</v>
      </c>
      <c r="Z36" s="21" t="s">
        <v>113</v>
      </c>
      <c r="AA36" s="21" t="s">
        <v>113</v>
      </c>
      <c r="AB36" s="21" t="s">
        <v>113</v>
      </c>
      <c r="AC36" s="21" t="s">
        <v>113</v>
      </c>
      <c r="AD36" s="21" t="s">
        <v>113</v>
      </c>
      <c r="AE36" s="21" t="s">
        <v>113</v>
      </c>
      <c r="AF36" s="21" t="s">
        <v>113</v>
      </c>
      <c r="AG36" s="21" t="s">
        <v>113</v>
      </c>
      <c r="AH36" s="21" t="s">
        <v>113</v>
      </c>
      <c r="AI36" s="21" t="s">
        <v>113</v>
      </c>
      <c r="AJ36" s="21" t="s">
        <v>113</v>
      </c>
      <c r="AK36" s="21" t="s">
        <v>113</v>
      </c>
      <c r="AL36" s="22">
        <v>2.4297522800000002</v>
      </c>
      <c r="AM36" s="21" t="s">
        <v>113</v>
      </c>
      <c r="AN36" s="21" t="s">
        <v>113</v>
      </c>
      <c r="AO36" s="21" t="s">
        <v>113</v>
      </c>
    </row>
    <row r="37" spans="1:41" ht="15">
      <c r="A37" s="21">
        <v>37</v>
      </c>
      <c r="B37" s="22" t="s">
        <v>322</v>
      </c>
      <c r="C37" s="22">
        <v>84.99</v>
      </c>
      <c r="D37" s="22">
        <v>5.75</v>
      </c>
      <c r="E37" s="22">
        <v>3.54</v>
      </c>
      <c r="F37" s="22">
        <v>0.5</v>
      </c>
      <c r="G37" s="22">
        <v>0</v>
      </c>
      <c r="H37" s="22">
        <v>0.71</v>
      </c>
      <c r="I37" s="22">
        <v>6.5000000000000002E-2</v>
      </c>
      <c r="J37" s="22">
        <v>0.31</v>
      </c>
      <c r="K37" s="22">
        <v>6.4999999999999997E-3</v>
      </c>
      <c r="L37" s="22">
        <v>1.1999999999999999E-3</v>
      </c>
      <c r="M37" s="22">
        <v>4.0199999999999996</v>
      </c>
      <c r="N37" s="22">
        <v>1</v>
      </c>
      <c r="O37" s="21" t="s">
        <v>113</v>
      </c>
      <c r="P37" s="21" t="s">
        <v>113</v>
      </c>
      <c r="Q37" s="21" t="s">
        <v>113</v>
      </c>
      <c r="R37" s="21" t="s">
        <v>113</v>
      </c>
      <c r="S37" s="22">
        <v>1040</v>
      </c>
      <c r="T37" s="22">
        <v>2</v>
      </c>
      <c r="U37" s="22">
        <v>2</v>
      </c>
      <c r="V37" s="22">
        <v>700</v>
      </c>
      <c r="W37" s="22">
        <v>2</v>
      </c>
      <c r="X37" s="22">
        <v>2</v>
      </c>
      <c r="Y37" s="21" t="s">
        <v>113</v>
      </c>
      <c r="Z37" s="21" t="s">
        <v>113</v>
      </c>
      <c r="AA37" s="21" t="s">
        <v>113</v>
      </c>
      <c r="AB37" s="21" t="s">
        <v>113</v>
      </c>
      <c r="AC37" s="21" t="s">
        <v>113</v>
      </c>
      <c r="AD37" s="21" t="s">
        <v>113</v>
      </c>
      <c r="AE37" s="21" t="s">
        <v>113</v>
      </c>
      <c r="AF37" s="21" t="s">
        <v>113</v>
      </c>
      <c r="AG37" s="21" t="s">
        <v>113</v>
      </c>
      <c r="AH37" s="21" t="s">
        <v>113</v>
      </c>
      <c r="AI37" s="21" t="s">
        <v>113</v>
      </c>
      <c r="AJ37" s="21" t="s">
        <v>113</v>
      </c>
      <c r="AK37" s="21" t="s">
        <v>113</v>
      </c>
      <c r="AL37" s="22">
        <v>2.068185862</v>
      </c>
      <c r="AM37" s="21" t="s">
        <v>113</v>
      </c>
      <c r="AN37" s="21" t="s">
        <v>113</v>
      </c>
      <c r="AO37" s="21" t="s">
        <v>113</v>
      </c>
    </row>
    <row r="38" spans="1:41" ht="15">
      <c r="A38" s="21">
        <v>38</v>
      </c>
      <c r="B38" s="22" t="s">
        <v>323</v>
      </c>
      <c r="C38" s="22">
        <v>84.99</v>
      </c>
      <c r="D38" s="22">
        <v>5.75</v>
      </c>
      <c r="E38" s="22">
        <v>3.54</v>
      </c>
      <c r="F38" s="22">
        <v>0.5</v>
      </c>
      <c r="G38" s="22">
        <v>0</v>
      </c>
      <c r="H38" s="22">
        <v>0.71</v>
      </c>
      <c r="I38" s="22">
        <v>6.5000000000000002E-2</v>
      </c>
      <c r="J38" s="22">
        <v>0.31</v>
      </c>
      <c r="K38" s="22">
        <v>6.4999999999999997E-3</v>
      </c>
      <c r="L38" s="22">
        <v>1.1999999999999999E-3</v>
      </c>
      <c r="M38" s="22">
        <v>4.0199999999999996</v>
      </c>
      <c r="N38" s="22">
        <v>1</v>
      </c>
      <c r="O38" s="21" t="s">
        <v>113</v>
      </c>
      <c r="P38" s="21" t="s">
        <v>113</v>
      </c>
      <c r="Q38" s="21" t="s">
        <v>113</v>
      </c>
      <c r="R38" s="21" t="s">
        <v>113</v>
      </c>
      <c r="S38" s="22">
        <v>1025</v>
      </c>
      <c r="T38" s="22">
        <v>2</v>
      </c>
      <c r="U38" s="22">
        <v>2</v>
      </c>
      <c r="V38" s="22">
        <v>700</v>
      </c>
      <c r="W38" s="22">
        <v>2</v>
      </c>
      <c r="X38" s="22">
        <v>2</v>
      </c>
      <c r="Y38" s="21" t="s">
        <v>113</v>
      </c>
      <c r="Z38" s="21" t="s">
        <v>113</v>
      </c>
      <c r="AA38" s="21" t="s">
        <v>113</v>
      </c>
      <c r="AB38" s="21" t="s">
        <v>113</v>
      </c>
      <c r="AC38" s="21" t="s">
        <v>113</v>
      </c>
      <c r="AD38" s="21" t="s">
        <v>113</v>
      </c>
      <c r="AE38" s="21" t="s">
        <v>113</v>
      </c>
      <c r="AF38" s="21" t="s">
        <v>113</v>
      </c>
      <c r="AG38" s="21" t="s">
        <v>113</v>
      </c>
      <c r="AH38" s="21" t="s">
        <v>113</v>
      </c>
      <c r="AI38" s="21" t="s">
        <v>113</v>
      </c>
      <c r="AJ38" s="21" t="s">
        <v>113</v>
      </c>
      <c r="AK38" s="21" t="s">
        <v>113</v>
      </c>
      <c r="AL38" s="22">
        <v>2.008600172</v>
      </c>
      <c r="AM38" s="21" t="s">
        <v>113</v>
      </c>
      <c r="AN38" s="21" t="s">
        <v>113</v>
      </c>
      <c r="AO38" s="21" t="s">
        <v>113</v>
      </c>
    </row>
    <row r="39" spans="1:41" ht="15">
      <c r="A39" s="21">
        <v>39</v>
      </c>
      <c r="B39" s="22" t="s">
        <v>324</v>
      </c>
      <c r="C39" s="22">
        <v>84.99</v>
      </c>
      <c r="D39" s="22">
        <v>5.75</v>
      </c>
      <c r="E39" s="22">
        <v>3.54</v>
      </c>
      <c r="F39" s="22">
        <v>0.5</v>
      </c>
      <c r="G39" s="22">
        <v>0</v>
      </c>
      <c r="H39" s="22">
        <v>0.71</v>
      </c>
      <c r="I39" s="22">
        <v>6.5000000000000002E-2</v>
      </c>
      <c r="J39" s="22">
        <v>0.31</v>
      </c>
      <c r="K39" s="22">
        <v>6.4999999999999997E-3</v>
      </c>
      <c r="L39" s="22">
        <v>1.1999999999999999E-3</v>
      </c>
      <c r="M39" s="22">
        <v>4.0199999999999996</v>
      </c>
      <c r="N39" s="22">
        <v>1</v>
      </c>
      <c r="O39" s="21" t="s">
        <v>113</v>
      </c>
      <c r="P39" s="21" t="s">
        <v>113</v>
      </c>
      <c r="Q39" s="21" t="s">
        <v>113</v>
      </c>
      <c r="R39" s="21" t="s">
        <v>113</v>
      </c>
      <c r="S39" s="22">
        <v>1000</v>
      </c>
      <c r="T39" s="22">
        <v>2</v>
      </c>
      <c r="U39" s="22">
        <v>2</v>
      </c>
      <c r="V39" s="22">
        <v>700</v>
      </c>
      <c r="W39" s="22">
        <v>2</v>
      </c>
      <c r="X39" s="22">
        <v>2</v>
      </c>
      <c r="Y39" s="21" t="s">
        <v>113</v>
      </c>
      <c r="Z39" s="21" t="s">
        <v>113</v>
      </c>
      <c r="AA39" s="21" t="s">
        <v>113</v>
      </c>
      <c r="AB39" s="21" t="s">
        <v>113</v>
      </c>
      <c r="AC39" s="21" t="s">
        <v>113</v>
      </c>
      <c r="AD39" s="21" t="s">
        <v>113</v>
      </c>
      <c r="AE39" s="21" t="s">
        <v>113</v>
      </c>
      <c r="AF39" s="21" t="s">
        <v>113</v>
      </c>
      <c r="AG39" s="21" t="s">
        <v>113</v>
      </c>
      <c r="AH39" s="21" t="s">
        <v>113</v>
      </c>
      <c r="AI39" s="21" t="s">
        <v>113</v>
      </c>
      <c r="AJ39" s="21" t="s">
        <v>113</v>
      </c>
      <c r="AK39" s="21" t="s">
        <v>113</v>
      </c>
      <c r="AL39" s="22">
        <v>1.8512583490000001</v>
      </c>
      <c r="AM39" s="21" t="s">
        <v>113</v>
      </c>
      <c r="AN39" s="21" t="s">
        <v>113</v>
      </c>
      <c r="AO39" s="21" t="s">
        <v>113</v>
      </c>
    </row>
    <row r="40" spans="1:41" ht="15">
      <c r="A40" s="21">
        <v>40</v>
      </c>
      <c r="B40" s="22" t="s">
        <v>325</v>
      </c>
      <c r="C40" s="22">
        <v>84.99</v>
      </c>
      <c r="D40" s="22">
        <v>5.75</v>
      </c>
      <c r="E40" s="22">
        <v>3.54</v>
      </c>
      <c r="F40" s="22">
        <v>0.5</v>
      </c>
      <c r="G40" s="22">
        <v>0</v>
      </c>
      <c r="H40" s="22">
        <v>0.71</v>
      </c>
      <c r="I40" s="22">
        <v>6.5000000000000002E-2</v>
      </c>
      <c r="J40" s="22">
        <v>0.31</v>
      </c>
      <c r="K40" s="22">
        <v>6.4999999999999997E-3</v>
      </c>
      <c r="L40" s="22">
        <v>1.1999999999999999E-3</v>
      </c>
      <c r="M40" s="22">
        <v>4.0199999999999996</v>
      </c>
      <c r="N40" s="22">
        <v>1</v>
      </c>
      <c r="O40" s="21" t="s">
        <v>113</v>
      </c>
      <c r="P40" s="21" t="s">
        <v>113</v>
      </c>
      <c r="Q40" s="21" t="s">
        <v>113</v>
      </c>
      <c r="R40" s="21" t="s">
        <v>113</v>
      </c>
      <c r="S40" s="22">
        <v>970</v>
      </c>
      <c r="T40" s="22">
        <v>2</v>
      </c>
      <c r="U40" s="22">
        <v>2</v>
      </c>
      <c r="V40" s="22">
        <v>700</v>
      </c>
      <c r="W40" s="22">
        <v>2</v>
      </c>
      <c r="X40" s="22">
        <v>2</v>
      </c>
      <c r="Y40" s="21" t="s">
        <v>113</v>
      </c>
      <c r="Z40" s="21" t="s">
        <v>113</v>
      </c>
      <c r="AA40" s="21" t="s">
        <v>113</v>
      </c>
      <c r="AB40" s="21" t="s">
        <v>113</v>
      </c>
      <c r="AC40" s="21" t="s">
        <v>113</v>
      </c>
      <c r="AD40" s="21" t="s">
        <v>113</v>
      </c>
      <c r="AE40" s="21" t="s">
        <v>113</v>
      </c>
      <c r="AF40" s="21" t="s">
        <v>113</v>
      </c>
      <c r="AG40" s="21" t="s">
        <v>113</v>
      </c>
      <c r="AH40" s="21" t="s">
        <v>113</v>
      </c>
      <c r="AI40" s="21" t="s">
        <v>113</v>
      </c>
      <c r="AJ40" s="21" t="s">
        <v>113</v>
      </c>
      <c r="AK40" s="21" t="s">
        <v>113</v>
      </c>
      <c r="AL40" s="22">
        <v>1.5185139400000001</v>
      </c>
      <c r="AM40" s="21" t="s">
        <v>113</v>
      </c>
      <c r="AN40" s="21" t="s">
        <v>113</v>
      </c>
      <c r="AO40" s="21" t="s">
        <v>113</v>
      </c>
    </row>
    <row r="41" spans="1:41" ht="15">
      <c r="A41" s="21">
        <v>41</v>
      </c>
      <c r="B41" s="22" t="s">
        <v>326</v>
      </c>
      <c r="C41" s="22">
        <v>89.55</v>
      </c>
      <c r="D41" s="22">
        <v>6</v>
      </c>
      <c r="E41" s="22">
        <v>0</v>
      </c>
      <c r="F41" s="22">
        <v>0</v>
      </c>
      <c r="G41" s="22">
        <v>4</v>
      </c>
      <c r="H41" s="22">
        <v>0</v>
      </c>
      <c r="I41" s="22">
        <v>0.1</v>
      </c>
      <c r="J41" s="22">
        <v>0</v>
      </c>
      <c r="K41" s="22">
        <v>0.3</v>
      </c>
      <c r="L41" s="22">
        <v>0.05</v>
      </c>
      <c r="M41" s="22">
        <v>0</v>
      </c>
      <c r="N41" s="22">
        <v>1</v>
      </c>
      <c r="O41" s="21" t="s">
        <v>113</v>
      </c>
      <c r="P41" s="21" t="s">
        <v>113</v>
      </c>
      <c r="Q41" s="21" t="s">
        <v>113</v>
      </c>
      <c r="R41" s="21" t="s">
        <v>113</v>
      </c>
      <c r="S41" s="22">
        <v>950</v>
      </c>
      <c r="T41" s="22">
        <v>1</v>
      </c>
      <c r="U41" s="22">
        <v>1</v>
      </c>
      <c r="V41" s="22">
        <v>600</v>
      </c>
      <c r="W41" s="22">
        <v>24</v>
      </c>
      <c r="X41" s="22">
        <v>2</v>
      </c>
      <c r="Y41" s="21" t="s">
        <v>113</v>
      </c>
      <c r="Z41" s="21" t="s">
        <v>113</v>
      </c>
      <c r="AA41" s="21" t="s">
        <v>113</v>
      </c>
      <c r="AB41" s="21" t="s">
        <v>113</v>
      </c>
      <c r="AC41" s="21" t="s">
        <v>113</v>
      </c>
      <c r="AD41" s="21" t="s">
        <v>113</v>
      </c>
      <c r="AE41" s="21" t="s">
        <v>113</v>
      </c>
      <c r="AF41" s="21" t="s">
        <v>113</v>
      </c>
      <c r="AG41" s="21" t="s">
        <v>113</v>
      </c>
      <c r="AH41" s="21" t="s">
        <v>113</v>
      </c>
      <c r="AI41" s="21" t="s">
        <v>113</v>
      </c>
      <c r="AJ41" s="21" t="s">
        <v>113</v>
      </c>
      <c r="AK41" s="21" t="s">
        <v>113</v>
      </c>
      <c r="AL41" s="22">
        <v>1.343802333</v>
      </c>
      <c r="AM41" s="21" t="s">
        <v>113</v>
      </c>
      <c r="AN41" s="21" t="s">
        <v>113</v>
      </c>
      <c r="AO41" s="21" t="s">
        <v>113</v>
      </c>
    </row>
    <row r="42" spans="1:41" ht="15">
      <c r="A42" s="21">
        <v>42</v>
      </c>
      <c r="B42" s="22" t="s">
        <v>326</v>
      </c>
      <c r="C42" s="22">
        <v>89.55</v>
      </c>
      <c r="D42" s="22">
        <v>6</v>
      </c>
      <c r="E42" s="22">
        <v>0</v>
      </c>
      <c r="F42" s="22">
        <v>0</v>
      </c>
      <c r="G42" s="22">
        <v>4</v>
      </c>
      <c r="H42" s="22">
        <v>0</v>
      </c>
      <c r="I42" s="22">
        <v>0.1</v>
      </c>
      <c r="J42" s="22">
        <v>0</v>
      </c>
      <c r="K42" s="22">
        <v>0.3</v>
      </c>
      <c r="L42" s="22">
        <v>0.05</v>
      </c>
      <c r="M42" s="22">
        <v>0</v>
      </c>
      <c r="N42" s="22">
        <v>1</v>
      </c>
      <c r="O42" s="21" t="s">
        <v>113</v>
      </c>
      <c r="P42" s="21" t="s">
        <v>113</v>
      </c>
      <c r="Q42" s="21" t="s">
        <v>113</v>
      </c>
      <c r="R42" s="21" t="s">
        <v>113</v>
      </c>
      <c r="S42" s="22">
        <v>950</v>
      </c>
      <c r="T42" s="22">
        <v>1</v>
      </c>
      <c r="U42" s="22">
        <v>1</v>
      </c>
      <c r="V42" s="22">
        <v>600</v>
      </c>
      <c r="W42" s="22">
        <v>24</v>
      </c>
      <c r="X42" s="22">
        <v>2</v>
      </c>
      <c r="Y42" s="21" t="s">
        <v>113</v>
      </c>
      <c r="Z42" s="21" t="s">
        <v>113</v>
      </c>
      <c r="AA42" s="21" t="s">
        <v>113</v>
      </c>
      <c r="AB42" s="21" t="s">
        <v>113</v>
      </c>
      <c r="AC42" s="21" t="s">
        <v>113</v>
      </c>
      <c r="AD42" s="21" t="s">
        <v>113</v>
      </c>
      <c r="AE42" s="21" t="s">
        <v>113</v>
      </c>
      <c r="AF42" s="21" t="s">
        <v>113</v>
      </c>
      <c r="AG42" s="21" t="s">
        <v>113</v>
      </c>
      <c r="AH42" s="21" t="s">
        <v>113</v>
      </c>
      <c r="AI42" s="21" t="s">
        <v>113</v>
      </c>
      <c r="AJ42" s="21" t="s">
        <v>113</v>
      </c>
      <c r="AK42" s="21" t="s">
        <v>113</v>
      </c>
      <c r="AL42" s="22">
        <v>8.9905110999999996E-2</v>
      </c>
      <c r="AM42" s="21" t="s">
        <v>113</v>
      </c>
      <c r="AN42" s="21" t="s">
        <v>113</v>
      </c>
      <c r="AO42" s="21" t="s">
        <v>113</v>
      </c>
    </row>
    <row r="43" spans="1:41" ht="15">
      <c r="A43" s="21">
        <v>43</v>
      </c>
      <c r="B43" s="22" t="s">
        <v>326</v>
      </c>
      <c r="C43" s="22">
        <v>89.55</v>
      </c>
      <c r="D43" s="22">
        <v>6</v>
      </c>
      <c r="E43" s="22">
        <v>0</v>
      </c>
      <c r="F43" s="22">
        <v>0</v>
      </c>
      <c r="G43" s="22">
        <v>4</v>
      </c>
      <c r="H43" s="22">
        <v>0</v>
      </c>
      <c r="I43" s="22">
        <v>0.1</v>
      </c>
      <c r="J43" s="22">
        <v>0</v>
      </c>
      <c r="K43" s="22">
        <v>0.3</v>
      </c>
      <c r="L43" s="22">
        <v>0.05</v>
      </c>
      <c r="M43" s="22">
        <v>0</v>
      </c>
      <c r="N43" s="22">
        <v>1</v>
      </c>
      <c r="O43" s="21" t="s">
        <v>113</v>
      </c>
      <c r="P43" s="21" t="s">
        <v>113</v>
      </c>
      <c r="Q43" s="21" t="s">
        <v>113</v>
      </c>
      <c r="R43" s="21" t="s">
        <v>113</v>
      </c>
      <c r="S43" s="22">
        <v>950</v>
      </c>
      <c r="T43" s="22">
        <v>1</v>
      </c>
      <c r="U43" s="22">
        <v>1</v>
      </c>
      <c r="V43" s="22">
        <v>600</v>
      </c>
      <c r="W43" s="22">
        <v>24</v>
      </c>
      <c r="X43" s="22">
        <v>2</v>
      </c>
      <c r="Y43" s="21" t="s">
        <v>113</v>
      </c>
      <c r="Z43" s="21" t="s">
        <v>113</v>
      </c>
      <c r="AA43" s="21" t="s">
        <v>113</v>
      </c>
      <c r="AB43" s="21" t="s">
        <v>113</v>
      </c>
      <c r="AC43" s="21" t="s">
        <v>113</v>
      </c>
      <c r="AD43" s="21" t="s">
        <v>113</v>
      </c>
      <c r="AE43" s="21" t="s">
        <v>113</v>
      </c>
      <c r="AF43" s="21" t="s">
        <v>113</v>
      </c>
      <c r="AG43" s="21" t="s">
        <v>113</v>
      </c>
      <c r="AH43" s="21" t="s">
        <v>113</v>
      </c>
      <c r="AI43" s="21" t="s">
        <v>113</v>
      </c>
      <c r="AJ43" s="21" t="s">
        <v>113</v>
      </c>
      <c r="AK43" s="21" t="s">
        <v>113</v>
      </c>
      <c r="AL43" s="22">
        <v>-0.60205999099999996</v>
      </c>
      <c r="AM43" s="21" t="s">
        <v>113</v>
      </c>
      <c r="AN43" s="21" t="s">
        <v>113</v>
      </c>
      <c r="AO43" s="21" t="s">
        <v>113</v>
      </c>
    </row>
    <row r="44" spans="1:41" ht="15">
      <c r="A44" s="21">
        <v>44</v>
      </c>
      <c r="B44" s="22" t="s">
        <v>326</v>
      </c>
      <c r="C44" s="22">
        <v>89.55</v>
      </c>
      <c r="D44" s="22">
        <v>6</v>
      </c>
      <c r="E44" s="22">
        <v>0</v>
      </c>
      <c r="F44" s="22">
        <v>0</v>
      </c>
      <c r="G44" s="22">
        <v>4</v>
      </c>
      <c r="H44" s="22">
        <v>0</v>
      </c>
      <c r="I44" s="22">
        <v>0.1</v>
      </c>
      <c r="J44" s="22">
        <v>0</v>
      </c>
      <c r="K44" s="22">
        <v>0.3</v>
      </c>
      <c r="L44" s="22">
        <v>0.05</v>
      </c>
      <c r="M44" s="22">
        <v>0</v>
      </c>
      <c r="N44" s="22">
        <v>1</v>
      </c>
      <c r="O44" s="21" t="s">
        <v>113</v>
      </c>
      <c r="P44" s="21" t="s">
        <v>113</v>
      </c>
      <c r="Q44" s="21" t="s">
        <v>113</v>
      </c>
      <c r="R44" s="21" t="s">
        <v>113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1" t="s">
        <v>113</v>
      </c>
      <c r="Z44" s="21" t="s">
        <v>113</v>
      </c>
      <c r="AA44" s="21" t="s">
        <v>113</v>
      </c>
      <c r="AB44" s="21" t="s">
        <v>113</v>
      </c>
      <c r="AC44" s="21" t="s">
        <v>113</v>
      </c>
      <c r="AD44" s="21" t="s">
        <v>113</v>
      </c>
      <c r="AE44" s="21" t="s">
        <v>113</v>
      </c>
      <c r="AF44" s="21" t="s">
        <v>113</v>
      </c>
      <c r="AG44" s="21" t="s">
        <v>113</v>
      </c>
      <c r="AH44" s="21" t="s">
        <v>113</v>
      </c>
      <c r="AI44" s="21" t="s">
        <v>113</v>
      </c>
      <c r="AJ44" s="21" t="s">
        <v>113</v>
      </c>
      <c r="AK44" s="21" t="s">
        <v>113</v>
      </c>
      <c r="AL44" s="22">
        <v>1.1461280359999999</v>
      </c>
      <c r="AM44" s="21" t="s">
        <v>113</v>
      </c>
      <c r="AN44" s="21" t="s">
        <v>113</v>
      </c>
      <c r="AO44" s="21" t="s">
        <v>113</v>
      </c>
    </row>
    <row r="45" spans="1:41" ht="15">
      <c r="A45" s="21">
        <v>45</v>
      </c>
      <c r="B45" s="22" t="s">
        <v>326</v>
      </c>
      <c r="C45" s="22">
        <v>89.55</v>
      </c>
      <c r="D45" s="22">
        <v>6</v>
      </c>
      <c r="E45" s="22">
        <v>0</v>
      </c>
      <c r="F45" s="22">
        <v>0</v>
      </c>
      <c r="G45" s="22">
        <v>4</v>
      </c>
      <c r="H45" s="22">
        <v>0</v>
      </c>
      <c r="I45" s="22">
        <v>0.1</v>
      </c>
      <c r="J45" s="22">
        <v>0</v>
      </c>
      <c r="K45" s="22">
        <v>0.3</v>
      </c>
      <c r="L45" s="22">
        <v>0.05</v>
      </c>
      <c r="M45" s="22">
        <v>0</v>
      </c>
      <c r="N45" s="22">
        <v>1</v>
      </c>
      <c r="O45" s="21" t="s">
        <v>113</v>
      </c>
      <c r="P45" s="21" t="s">
        <v>113</v>
      </c>
      <c r="Q45" s="21" t="s">
        <v>113</v>
      </c>
      <c r="R45" s="21" t="s">
        <v>113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1" t="s">
        <v>113</v>
      </c>
      <c r="Z45" s="21" t="s">
        <v>113</v>
      </c>
      <c r="AA45" s="21" t="s">
        <v>113</v>
      </c>
      <c r="AB45" s="21" t="s">
        <v>113</v>
      </c>
      <c r="AC45" s="21" t="s">
        <v>113</v>
      </c>
      <c r="AD45" s="21" t="s">
        <v>113</v>
      </c>
      <c r="AE45" s="21" t="s">
        <v>113</v>
      </c>
      <c r="AF45" s="21" t="s">
        <v>113</v>
      </c>
      <c r="AG45" s="21" t="s">
        <v>113</v>
      </c>
      <c r="AH45" s="21" t="s">
        <v>113</v>
      </c>
      <c r="AI45" s="21" t="s">
        <v>113</v>
      </c>
      <c r="AJ45" s="21" t="s">
        <v>113</v>
      </c>
      <c r="AK45" s="21" t="s">
        <v>113</v>
      </c>
      <c r="AL45" s="22">
        <v>-0.20760831099999999</v>
      </c>
      <c r="AM45" s="21" t="s">
        <v>113</v>
      </c>
      <c r="AN45" s="21" t="s">
        <v>113</v>
      </c>
      <c r="AO45" s="21" t="s">
        <v>113</v>
      </c>
    </row>
    <row r="46" spans="1:41" ht="15">
      <c r="A46" s="21">
        <v>46</v>
      </c>
      <c r="B46" s="22" t="s">
        <v>326</v>
      </c>
      <c r="C46" s="22">
        <v>89.55</v>
      </c>
      <c r="D46" s="22">
        <v>6</v>
      </c>
      <c r="E46" s="22">
        <v>0</v>
      </c>
      <c r="F46" s="22">
        <v>0</v>
      </c>
      <c r="G46" s="22">
        <v>4</v>
      </c>
      <c r="H46" s="22">
        <v>0</v>
      </c>
      <c r="I46" s="22">
        <v>0.1</v>
      </c>
      <c r="J46" s="22">
        <v>0</v>
      </c>
      <c r="K46" s="22">
        <v>0.3</v>
      </c>
      <c r="L46" s="22">
        <v>0.05</v>
      </c>
      <c r="M46" s="22">
        <v>0</v>
      </c>
      <c r="N46" s="22">
        <v>1</v>
      </c>
      <c r="O46" s="21" t="s">
        <v>113</v>
      </c>
      <c r="P46" s="21" t="s">
        <v>113</v>
      </c>
      <c r="Q46" s="21" t="s">
        <v>113</v>
      </c>
      <c r="R46" s="21" t="s">
        <v>113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1" t="s">
        <v>113</v>
      </c>
      <c r="Z46" s="21" t="s">
        <v>113</v>
      </c>
      <c r="AA46" s="21" t="s">
        <v>113</v>
      </c>
      <c r="AB46" s="21" t="s">
        <v>113</v>
      </c>
      <c r="AC46" s="21" t="s">
        <v>113</v>
      </c>
      <c r="AD46" s="21" t="s">
        <v>113</v>
      </c>
      <c r="AE46" s="21" t="s">
        <v>113</v>
      </c>
      <c r="AF46" s="21" t="s">
        <v>113</v>
      </c>
      <c r="AG46" s="21" t="s">
        <v>113</v>
      </c>
      <c r="AH46" s="21" t="s">
        <v>113</v>
      </c>
      <c r="AI46" s="21" t="s">
        <v>113</v>
      </c>
      <c r="AJ46" s="21" t="s">
        <v>113</v>
      </c>
      <c r="AK46" s="21" t="s">
        <v>113</v>
      </c>
      <c r="AL46" s="22">
        <v>-0.76955107899999997</v>
      </c>
      <c r="AM46" s="21" t="s">
        <v>113</v>
      </c>
      <c r="AN46" s="21" t="s">
        <v>113</v>
      </c>
      <c r="AO46" s="21" t="s">
        <v>113</v>
      </c>
    </row>
    <row r="47" spans="1:41" ht="15">
      <c r="A47" s="21">
        <v>47</v>
      </c>
      <c r="B47" s="22" t="s">
        <v>327</v>
      </c>
      <c r="C47" s="22">
        <v>89.48</v>
      </c>
      <c r="D47" s="22">
        <v>6.2</v>
      </c>
      <c r="E47" s="22">
        <v>0</v>
      </c>
      <c r="F47" s="22">
        <v>0</v>
      </c>
      <c r="G47" s="22">
        <v>4</v>
      </c>
      <c r="H47" s="22">
        <v>0</v>
      </c>
      <c r="I47" s="22">
        <v>0.09</v>
      </c>
      <c r="J47" s="22">
        <v>0</v>
      </c>
      <c r="K47" s="22">
        <v>0.2</v>
      </c>
      <c r="L47" s="22">
        <v>0.03</v>
      </c>
      <c r="M47" s="22">
        <v>0</v>
      </c>
      <c r="N47" s="22">
        <v>1</v>
      </c>
      <c r="O47" s="21" t="s">
        <v>113</v>
      </c>
      <c r="P47" s="21" t="s">
        <v>113</v>
      </c>
      <c r="Q47" s="21" t="s">
        <v>113</v>
      </c>
      <c r="R47" s="21" t="s">
        <v>113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1" t="s">
        <v>113</v>
      </c>
      <c r="Z47" s="21" t="s">
        <v>113</v>
      </c>
      <c r="AA47" s="21" t="s">
        <v>113</v>
      </c>
      <c r="AB47" s="21" t="s">
        <v>113</v>
      </c>
      <c r="AC47" s="21" t="s">
        <v>113</v>
      </c>
      <c r="AD47" s="21" t="s">
        <v>113</v>
      </c>
      <c r="AE47" s="21" t="s">
        <v>113</v>
      </c>
      <c r="AF47" s="21" t="s">
        <v>113</v>
      </c>
      <c r="AG47" s="21" t="s">
        <v>113</v>
      </c>
      <c r="AH47" s="21" t="s">
        <v>113</v>
      </c>
      <c r="AI47" s="21" t="s">
        <v>113</v>
      </c>
      <c r="AJ47" s="21" t="s">
        <v>113</v>
      </c>
      <c r="AK47" s="21" t="s">
        <v>113</v>
      </c>
      <c r="AL47" s="22">
        <v>2.171228997</v>
      </c>
      <c r="AM47" s="21" t="s">
        <v>113</v>
      </c>
      <c r="AN47" s="21" t="s">
        <v>113</v>
      </c>
      <c r="AO47" s="21" t="s">
        <v>113</v>
      </c>
    </row>
    <row r="48" spans="1:41" ht="15">
      <c r="A48" s="21">
        <v>48</v>
      </c>
      <c r="B48" s="22" t="s">
        <v>327</v>
      </c>
      <c r="C48" s="22">
        <v>89.48</v>
      </c>
      <c r="D48" s="22">
        <v>6.2</v>
      </c>
      <c r="E48" s="22">
        <v>0</v>
      </c>
      <c r="F48" s="22">
        <v>0</v>
      </c>
      <c r="G48" s="22">
        <v>4</v>
      </c>
      <c r="H48" s="22">
        <v>0</v>
      </c>
      <c r="I48" s="22">
        <v>0.09</v>
      </c>
      <c r="J48" s="22">
        <v>0</v>
      </c>
      <c r="K48" s="22">
        <v>0.2</v>
      </c>
      <c r="L48" s="22">
        <v>0.03</v>
      </c>
      <c r="M48" s="22">
        <v>0</v>
      </c>
      <c r="N48" s="22">
        <v>1</v>
      </c>
      <c r="O48" s="21" t="s">
        <v>113</v>
      </c>
      <c r="P48" s="21" t="s">
        <v>113</v>
      </c>
      <c r="Q48" s="21" t="s">
        <v>113</v>
      </c>
      <c r="R48" s="21" t="s">
        <v>113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1" t="s">
        <v>113</v>
      </c>
      <c r="Z48" s="21" t="s">
        <v>113</v>
      </c>
      <c r="AA48" s="21" t="s">
        <v>113</v>
      </c>
      <c r="AB48" s="21" t="s">
        <v>113</v>
      </c>
      <c r="AC48" s="21" t="s">
        <v>113</v>
      </c>
      <c r="AD48" s="21" t="s">
        <v>113</v>
      </c>
      <c r="AE48" s="21" t="s">
        <v>113</v>
      </c>
      <c r="AF48" s="21" t="s">
        <v>113</v>
      </c>
      <c r="AG48" s="21" t="s">
        <v>113</v>
      </c>
      <c r="AH48" s="21" t="s">
        <v>113</v>
      </c>
      <c r="AI48" s="21" t="s">
        <v>113</v>
      </c>
      <c r="AJ48" s="21" t="s">
        <v>113</v>
      </c>
      <c r="AK48" s="21" t="s">
        <v>113</v>
      </c>
      <c r="AL48" s="22">
        <v>1.669037801</v>
      </c>
      <c r="AM48" s="21" t="s">
        <v>113</v>
      </c>
      <c r="AN48" s="21" t="s">
        <v>113</v>
      </c>
      <c r="AO48" s="21" t="s">
        <v>113</v>
      </c>
    </row>
    <row r="49" spans="1:41" ht="15">
      <c r="A49" s="21">
        <v>49</v>
      </c>
      <c r="B49" s="22" t="s">
        <v>327</v>
      </c>
      <c r="C49" s="22">
        <v>89.48</v>
      </c>
      <c r="D49" s="22">
        <v>6.2</v>
      </c>
      <c r="E49" s="22">
        <v>0</v>
      </c>
      <c r="F49" s="22">
        <v>0</v>
      </c>
      <c r="G49" s="22">
        <v>4</v>
      </c>
      <c r="H49" s="22">
        <v>0</v>
      </c>
      <c r="I49" s="22">
        <v>0.09</v>
      </c>
      <c r="J49" s="22">
        <v>0</v>
      </c>
      <c r="K49" s="22">
        <v>0.2</v>
      </c>
      <c r="L49" s="22">
        <v>0.03</v>
      </c>
      <c r="M49" s="22">
        <v>0</v>
      </c>
      <c r="N49" s="22">
        <v>1</v>
      </c>
      <c r="O49" s="21" t="s">
        <v>113</v>
      </c>
      <c r="P49" s="21" t="s">
        <v>113</v>
      </c>
      <c r="Q49" s="21" t="s">
        <v>113</v>
      </c>
      <c r="R49" s="21" t="s">
        <v>113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1" t="s">
        <v>113</v>
      </c>
      <c r="Z49" s="21" t="s">
        <v>113</v>
      </c>
      <c r="AA49" s="21" t="s">
        <v>113</v>
      </c>
      <c r="AB49" s="21" t="s">
        <v>113</v>
      </c>
      <c r="AC49" s="21" t="s">
        <v>113</v>
      </c>
      <c r="AD49" s="21" t="s">
        <v>113</v>
      </c>
      <c r="AE49" s="21" t="s">
        <v>113</v>
      </c>
      <c r="AF49" s="21" t="s">
        <v>113</v>
      </c>
      <c r="AG49" s="21" t="s">
        <v>113</v>
      </c>
      <c r="AH49" s="21" t="s">
        <v>113</v>
      </c>
      <c r="AI49" s="21" t="s">
        <v>113</v>
      </c>
      <c r="AJ49" s="21" t="s">
        <v>113</v>
      </c>
      <c r="AK49" s="21" t="s">
        <v>113</v>
      </c>
      <c r="AL49" s="22">
        <v>1.456517858</v>
      </c>
      <c r="AM49" s="21" t="s">
        <v>113</v>
      </c>
      <c r="AN49" s="21" t="s">
        <v>113</v>
      </c>
      <c r="AO49" s="21" t="s">
        <v>113</v>
      </c>
    </row>
    <row r="50" spans="1:41" ht="15">
      <c r="A50" s="21">
        <v>50</v>
      </c>
      <c r="B50" s="22" t="s">
        <v>328</v>
      </c>
      <c r="C50" s="22">
        <v>89.74</v>
      </c>
      <c r="D50" s="22">
        <v>5.98</v>
      </c>
      <c r="E50" s="22">
        <v>0</v>
      </c>
      <c r="F50" s="22">
        <v>0</v>
      </c>
      <c r="G50" s="22">
        <v>4.07</v>
      </c>
      <c r="H50" s="22">
        <v>0</v>
      </c>
      <c r="I50" s="22">
        <v>5.0000000000000001E-3</v>
      </c>
      <c r="J50" s="22">
        <v>0</v>
      </c>
      <c r="K50" s="22">
        <v>0.2</v>
      </c>
      <c r="L50" s="22">
        <v>5.0000000000000001E-3</v>
      </c>
      <c r="M50" s="22">
        <v>0</v>
      </c>
      <c r="N50" s="22">
        <v>1</v>
      </c>
      <c r="O50" s="21" t="s">
        <v>113</v>
      </c>
      <c r="P50" s="21" t="s">
        <v>113</v>
      </c>
      <c r="Q50" s="21" t="s">
        <v>113</v>
      </c>
      <c r="R50" s="21" t="s">
        <v>113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1" t="s">
        <v>113</v>
      </c>
      <c r="Z50" s="21" t="s">
        <v>113</v>
      </c>
      <c r="AA50" s="21" t="s">
        <v>113</v>
      </c>
      <c r="AB50" s="21" t="s">
        <v>113</v>
      </c>
      <c r="AC50" s="21" t="s">
        <v>113</v>
      </c>
      <c r="AD50" s="21" t="s">
        <v>113</v>
      </c>
      <c r="AE50" s="21" t="s">
        <v>113</v>
      </c>
      <c r="AF50" s="21" t="s">
        <v>113</v>
      </c>
      <c r="AG50" s="21" t="s">
        <v>113</v>
      </c>
      <c r="AH50" s="21" t="s">
        <v>113</v>
      </c>
      <c r="AI50" s="21" t="s">
        <v>113</v>
      </c>
      <c r="AJ50" s="21" t="s">
        <v>113</v>
      </c>
      <c r="AK50" s="21" t="s">
        <v>113</v>
      </c>
      <c r="AL50" s="22">
        <v>0.34044411499999999</v>
      </c>
      <c r="AM50" s="21" t="s">
        <v>113</v>
      </c>
      <c r="AN50" s="21" t="s">
        <v>113</v>
      </c>
      <c r="AO50" s="21" t="s">
        <v>113</v>
      </c>
    </row>
    <row r="51" spans="1:41" ht="15">
      <c r="A51" s="21">
        <v>51</v>
      </c>
      <c r="B51" s="22" t="s">
        <v>328</v>
      </c>
      <c r="C51" s="22">
        <v>89.74</v>
      </c>
      <c r="D51" s="22">
        <v>5.98</v>
      </c>
      <c r="E51" s="22">
        <v>0</v>
      </c>
      <c r="F51" s="22">
        <v>0</v>
      </c>
      <c r="G51" s="22">
        <v>4.07</v>
      </c>
      <c r="H51" s="22">
        <v>0</v>
      </c>
      <c r="I51" s="22">
        <v>5.0000000000000001E-3</v>
      </c>
      <c r="J51" s="22">
        <v>0</v>
      </c>
      <c r="K51" s="22">
        <v>0.2</v>
      </c>
      <c r="L51" s="22">
        <v>5.0000000000000001E-3</v>
      </c>
      <c r="M51" s="22">
        <v>0</v>
      </c>
      <c r="N51" s="22">
        <v>1</v>
      </c>
      <c r="O51" s="21" t="s">
        <v>113</v>
      </c>
      <c r="P51" s="21" t="s">
        <v>113</v>
      </c>
      <c r="Q51" s="21" t="s">
        <v>113</v>
      </c>
      <c r="R51" s="21" t="s">
        <v>113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1" t="s">
        <v>113</v>
      </c>
      <c r="Z51" s="21" t="s">
        <v>113</v>
      </c>
      <c r="AA51" s="21" t="s">
        <v>113</v>
      </c>
      <c r="AB51" s="21" t="s">
        <v>113</v>
      </c>
      <c r="AC51" s="21" t="s">
        <v>113</v>
      </c>
      <c r="AD51" s="21" t="s">
        <v>113</v>
      </c>
      <c r="AE51" s="21" t="s">
        <v>113</v>
      </c>
      <c r="AF51" s="21" t="s">
        <v>113</v>
      </c>
      <c r="AG51" s="21" t="s">
        <v>113</v>
      </c>
      <c r="AH51" s="21" t="s">
        <v>113</v>
      </c>
      <c r="AI51" s="21" t="s">
        <v>113</v>
      </c>
      <c r="AJ51" s="21" t="s">
        <v>113</v>
      </c>
      <c r="AK51" s="21" t="s">
        <v>113</v>
      </c>
      <c r="AL51" s="22">
        <v>-8.0921908000000001E-2</v>
      </c>
      <c r="AM51" s="21" t="s">
        <v>113</v>
      </c>
      <c r="AN51" s="21" t="s">
        <v>113</v>
      </c>
      <c r="AO51" s="21" t="s">
        <v>113</v>
      </c>
    </row>
    <row r="52" spans="1:41" ht="15">
      <c r="A52" s="21">
        <v>52</v>
      </c>
      <c r="B52" s="22" t="s">
        <v>328</v>
      </c>
      <c r="C52" s="22">
        <v>89.74</v>
      </c>
      <c r="D52" s="22">
        <v>5.98</v>
      </c>
      <c r="E52" s="22">
        <v>0</v>
      </c>
      <c r="F52" s="22">
        <v>0</v>
      </c>
      <c r="G52" s="22">
        <v>4.07</v>
      </c>
      <c r="H52" s="22">
        <v>0</v>
      </c>
      <c r="I52" s="22">
        <v>5.0000000000000001E-3</v>
      </c>
      <c r="J52" s="22">
        <v>0</v>
      </c>
      <c r="K52" s="22">
        <v>0.2</v>
      </c>
      <c r="L52" s="22">
        <v>5.0000000000000001E-3</v>
      </c>
      <c r="M52" s="22">
        <v>0</v>
      </c>
      <c r="N52" s="22">
        <v>1</v>
      </c>
      <c r="O52" s="21" t="s">
        <v>113</v>
      </c>
      <c r="P52" s="21" t="s">
        <v>113</v>
      </c>
      <c r="Q52" s="21" t="s">
        <v>113</v>
      </c>
      <c r="R52" s="21" t="s">
        <v>113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1" t="s">
        <v>113</v>
      </c>
      <c r="Z52" s="21" t="s">
        <v>113</v>
      </c>
      <c r="AA52" s="21" t="s">
        <v>113</v>
      </c>
      <c r="AB52" s="21" t="s">
        <v>113</v>
      </c>
      <c r="AC52" s="21" t="s">
        <v>113</v>
      </c>
      <c r="AD52" s="21" t="s">
        <v>113</v>
      </c>
      <c r="AE52" s="21" t="s">
        <v>113</v>
      </c>
      <c r="AF52" s="21" t="s">
        <v>113</v>
      </c>
      <c r="AG52" s="21" t="s">
        <v>113</v>
      </c>
      <c r="AH52" s="21" t="s">
        <v>113</v>
      </c>
      <c r="AI52" s="21" t="s">
        <v>113</v>
      </c>
      <c r="AJ52" s="21" t="s">
        <v>113</v>
      </c>
      <c r="AK52" s="21" t="s">
        <v>113</v>
      </c>
      <c r="AL52" s="22">
        <v>-0.468521083</v>
      </c>
      <c r="AM52" s="21" t="s">
        <v>113</v>
      </c>
      <c r="AN52" s="21" t="s">
        <v>113</v>
      </c>
      <c r="AO52" s="21" t="s">
        <v>113</v>
      </c>
    </row>
    <row r="53" spans="1:41" ht="15">
      <c r="A53" s="21">
        <v>53</v>
      </c>
      <c r="B53" s="22" t="s">
        <v>328</v>
      </c>
      <c r="C53" s="22">
        <v>89.74</v>
      </c>
      <c r="D53" s="22">
        <v>5.98</v>
      </c>
      <c r="E53" s="22">
        <v>0</v>
      </c>
      <c r="F53" s="22">
        <v>0</v>
      </c>
      <c r="G53" s="22">
        <v>4.07</v>
      </c>
      <c r="H53" s="22">
        <v>0</v>
      </c>
      <c r="I53" s="22">
        <v>5.0000000000000001E-3</v>
      </c>
      <c r="J53" s="22">
        <v>0</v>
      </c>
      <c r="K53" s="22">
        <v>0.2</v>
      </c>
      <c r="L53" s="22">
        <v>5.0000000000000001E-3</v>
      </c>
      <c r="M53" s="22">
        <v>0</v>
      </c>
      <c r="N53" s="22">
        <v>1</v>
      </c>
      <c r="O53" s="21" t="s">
        <v>113</v>
      </c>
      <c r="P53" s="21" t="s">
        <v>113</v>
      </c>
      <c r="Q53" s="21" t="s">
        <v>113</v>
      </c>
      <c r="R53" s="21" t="s">
        <v>113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1" t="s">
        <v>113</v>
      </c>
      <c r="Z53" s="21" t="s">
        <v>113</v>
      </c>
      <c r="AA53" s="21" t="s">
        <v>113</v>
      </c>
      <c r="AB53" s="21" t="s">
        <v>113</v>
      </c>
      <c r="AC53" s="21" t="s">
        <v>113</v>
      </c>
      <c r="AD53" s="21" t="s">
        <v>113</v>
      </c>
      <c r="AE53" s="21" t="s">
        <v>113</v>
      </c>
      <c r="AF53" s="21" t="s">
        <v>113</v>
      </c>
      <c r="AG53" s="21" t="s">
        <v>113</v>
      </c>
      <c r="AH53" s="21" t="s">
        <v>113</v>
      </c>
      <c r="AI53" s="21" t="s">
        <v>113</v>
      </c>
      <c r="AJ53" s="21" t="s">
        <v>113</v>
      </c>
      <c r="AK53" s="21" t="s">
        <v>113</v>
      </c>
      <c r="AL53" s="22">
        <v>-0.72124639899999998</v>
      </c>
      <c r="AM53" s="21" t="s">
        <v>113</v>
      </c>
      <c r="AN53" s="21" t="s">
        <v>113</v>
      </c>
      <c r="AO53" s="21" t="s">
        <v>113</v>
      </c>
    </row>
    <row r="54" spans="1:41" ht="15">
      <c r="A54" s="21">
        <v>54</v>
      </c>
      <c r="B54" s="22" t="s">
        <v>329</v>
      </c>
      <c r="C54" s="22">
        <v>87.94</v>
      </c>
      <c r="D54" s="22">
        <v>6.61</v>
      </c>
      <c r="E54" s="22">
        <v>0</v>
      </c>
      <c r="F54" s="22">
        <v>0</v>
      </c>
      <c r="G54" s="22">
        <v>4.2300000000000004</v>
      </c>
      <c r="H54" s="22">
        <v>0</v>
      </c>
      <c r="I54" s="22">
        <v>2.5999999999999999E-2</v>
      </c>
      <c r="J54" s="22">
        <v>0</v>
      </c>
      <c r="K54" s="22">
        <v>1.18</v>
      </c>
      <c r="L54" s="22">
        <v>1.0999999999999999E-2</v>
      </c>
      <c r="M54" s="22">
        <v>0</v>
      </c>
      <c r="N54" s="22">
        <v>1</v>
      </c>
      <c r="O54" s="21" t="s">
        <v>113</v>
      </c>
      <c r="P54" s="21" t="s">
        <v>113</v>
      </c>
      <c r="Q54" s="21" t="s">
        <v>113</v>
      </c>
      <c r="R54" s="21" t="s">
        <v>113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1" t="s">
        <v>113</v>
      </c>
      <c r="Z54" s="21" t="s">
        <v>113</v>
      </c>
      <c r="AA54" s="21" t="s">
        <v>113</v>
      </c>
      <c r="AB54" s="21" t="s">
        <v>113</v>
      </c>
      <c r="AC54" s="21" t="s">
        <v>113</v>
      </c>
      <c r="AD54" s="21" t="s">
        <v>113</v>
      </c>
      <c r="AE54" s="21" t="s">
        <v>113</v>
      </c>
      <c r="AF54" s="21" t="s">
        <v>113</v>
      </c>
      <c r="AG54" s="21" t="s">
        <v>113</v>
      </c>
      <c r="AH54" s="21" t="s">
        <v>113</v>
      </c>
      <c r="AI54" s="21" t="s">
        <v>113</v>
      </c>
      <c r="AJ54" s="21" t="s">
        <v>113</v>
      </c>
      <c r="AK54" s="21" t="s">
        <v>113</v>
      </c>
      <c r="AL54" s="22">
        <v>0.44870631999999999</v>
      </c>
      <c r="AM54" s="21" t="s">
        <v>113</v>
      </c>
      <c r="AN54" s="21" t="s">
        <v>113</v>
      </c>
      <c r="AO54" s="21" t="s">
        <v>113</v>
      </c>
    </row>
    <row r="55" spans="1:41" ht="15">
      <c r="A55" s="21">
        <v>55</v>
      </c>
      <c r="B55" s="22" t="s">
        <v>329</v>
      </c>
      <c r="C55" s="22">
        <v>87.94</v>
      </c>
      <c r="D55" s="22">
        <v>6.61</v>
      </c>
      <c r="E55" s="22">
        <v>0</v>
      </c>
      <c r="F55" s="22">
        <v>0</v>
      </c>
      <c r="G55" s="22">
        <v>4.2300000000000004</v>
      </c>
      <c r="H55" s="22">
        <v>0</v>
      </c>
      <c r="I55" s="22">
        <v>2.5999999999999999E-2</v>
      </c>
      <c r="J55" s="22">
        <v>0</v>
      </c>
      <c r="K55" s="22">
        <v>1.18</v>
      </c>
      <c r="L55" s="22">
        <v>1.0999999999999999E-2</v>
      </c>
      <c r="M55" s="22">
        <v>0</v>
      </c>
      <c r="N55" s="22">
        <v>1</v>
      </c>
      <c r="O55" s="21" t="s">
        <v>113</v>
      </c>
      <c r="P55" s="21" t="s">
        <v>113</v>
      </c>
      <c r="Q55" s="21" t="s">
        <v>113</v>
      </c>
      <c r="R55" s="21" t="s">
        <v>113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1" t="s">
        <v>113</v>
      </c>
      <c r="Z55" s="21" t="s">
        <v>113</v>
      </c>
      <c r="AA55" s="21" t="s">
        <v>113</v>
      </c>
      <c r="AB55" s="21" t="s">
        <v>113</v>
      </c>
      <c r="AC55" s="21" t="s">
        <v>113</v>
      </c>
      <c r="AD55" s="21" t="s">
        <v>113</v>
      </c>
      <c r="AE55" s="21" t="s">
        <v>113</v>
      </c>
      <c r="AF55" s="21" t="s">
        <v>113</v>
      </c>
      <c r="AG55" s="21" t="s">
        <v>113</v>
      </c>
      <c r="AH55" s="21" t="s">
        <v>113</v>
      </c>
      <c r="AI55" s="21" t="s">
        <v>113</v>
      </c>
      <c r="AJ55" s="21" t="s">
        <v>113</v>
      </c>
      <c r="AK55" s="21" t="s">
        <v>113</v>
      </c>
      <c r="AL55" s="22">
        <v>0.11360915100000001</v>
      </c>
      <c r="AM55" s="21" t="s">
        <v>113</v>
      </c>
      <c r="AN55" s="21" t="s">
        <v>113</v>
      </c>
      <c r="AO55" s="21" t="s">
        <v>113</v>
      </c>
    </row>
    <row r="56" spans="1:41" ht="15">
      <c r="A56" s="21">
        <v>56</v>
      </c>
      <c r="B56" s="22" t="s">
        <v>329</v>
      </c>
      <c r="C56" s="22">
        <v>87.94</v>
      </c>
      <c r="D56" s="22">
        <v>6.61</v>
      </c>
      <c r="E56" s="22">
        <v>0</v>
      </c>
      <c r="F56" s="22">
        <v>0</v>
      </c>
      <c r="G56" s="22">
        <v>4.2300000000000004</v>
      </c>
      <c r="H56" s="22">
        <v>0</v>
      </c>
      <c r="I56" s="22">
        <v>2.5999999999999999E-2</v>
      </c>
      <c r="J56" s="22">
        <v>0</v>
      </c>
      <c r="K56" s="22">
        <v>1.18</v>
      </c>
      <c r="L56" s="22">
        <v>1.0999999999999999E-2</v>
      </c>
      <c r="M56" s="22">
        <v>0</v>
      </c>
      <c r="N56" s="22">
        <v>1</v>
      </c>
      <c r="O56" s="21" t="s">
        <v>113</v>
      </c>
      <c r="P56" s="21" t="s">
        <v>113</v>
      </c>
      <c r="Q56" s="21" t="s">
        <v>113</v>
      </c>
      <c r="R56" s="21" t="s">
        <v>113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1" t="s">
        <v>113</v>
      </c>
      <c r="Z56" s="21" t="s">
        <v>113</v>
      </c>
      <c r="AA56" s="21" t="s">
        <v>113</v>
      </c>
      <c r="AB56" s="21" t="s">
        <v>113</v>
      </c>
      <c r="AC56" s="21" t="s">
        <v>113</v>
      </c>
      <c r="AD56" s="21" t="s">
        <v>113</v>
      </c>
      <c r="AE56" s="21" t="s">
        <v>113</v>
      </c>
      <c r="AF56" s="21" t="s">
        <v>113</v>
      </c>
      <c r="AG56" s="21" t="s">
        <v>113</v>
      </c>
      <c r="AH56" s="21" t="s">
        <v>113</v>
      </c>
      <c r="AI56" s="21" t="s">
        <v>113</v>
      </c>
      <c r="AJ56" s="21" t="s">
        <v>113</v>
      </c>
      <c r="AK56" s="21" t="s">
        <v>113</v>
      </c>
      <c r="AL56" s="22">
        <v>-0.89962945500000002</v>
      </c>
      <c r="AM56" s="21" t="s">
        <v>113</v>
      </c>
      <c r="AN56" s="21" t="s">
        <v>113</v>
      </c>
      <c r="AO56" s="21" t="s">
        <v>113</v>
      </c>
    </row>
    <row r="57" spans="1:41" ht="15">
      <c r="A57" s="21">
        <v>57</v>
      </c>
      <c r="B57" s="22" t="s">
        <v>329</v>
      </c>
      <c r="C57" s="22">
        <v>87.94</v>
      </c>
      <c r="D57" s="22">
        <v>6.61</v>
      </c>
      <c r="E57" s="22">
        <v>0</v>
      </c>
      <c r="F57" s="22">
        <v>0</v>
      </c>
      <c r="G57" s="22">
        <v>4.2300000000000004</v>
      </c>
      <c r="H57" s="22">
        <v>0</v>
      </c>
      <c r="I57" s="22">
        <v>2.5999999999999999E-2</v>
      </c>
      <c r="J57" s="22">
        <v>0</v>
      </c>
      <c r="K57" s="22">
        <v>1.18</v>
      </c>
      <c r="L57" s="22">
        <v>1.0999999999999999E-2</v>
      </c>
      <c r="M57" s="22">
        <v>0</v>
      </c>
      <c r="N57" s="22">
        <v>1</v>
      </c>
      <c r="O57" s="21" t="s">
        <v>113</v>
      </c>
      <c r="P57" s="21" t="s">
        <v>113</v>
      </c>
      <c r="Q57" s="21" t="s">
        <v>113</v>
      </c>
      <c r="R57" s="21" t="s">
        <v>113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1" t="s">
        <v>113</v>
      </c>
      <c r="Z57" s="21" t="s">
        <v>113</v>
      </c>
      <c r="AA57" s="21" t="s">
        <v>113</v>
      </c>
      <c r="AB57" s="21" t="s">
        <v>113</v>
      </c>
      <c r="AC57" s="21" t="s">
        <v>113</v>
      </c>
      <c r="AD57" s="21" t="s">
        <v>113</v>
      </c>
      <c r="AE57" s="21" t="s">
        <v>113</v>
      </c>
      <c r="AF57" s="21" t="s">
        <v>113</v>
      </c>
      <c r="AG57" s="21" t="s">
        <v>113</v>
      </c>
      <c r="AH57" s="21" t="s">
        <v>113</v>
      </c>
      <c r="AI57" s="21" t="s">
        <v>113</v>
      </c>
      <c r="AJ57" s="21" t="s">
        <v>113</v>
      </c>
      <c r="AK57" s="21" t="s">
        <v>113</v>
      </c>
      <c r="AL57" s="22">
        <v>-1.8860566480000001</v>
      </c>
      <c r="AM57" s="21" t="s">
        <v>113</v>
      </c>
      <c r="AN57" s="21" t="s">
        <v>113</v>
      </c>
      <c r="AO57" s="21" t="s">
        <v>113</v>
      </c>
    </row>
    <row r="58" spans="1:41" ht="15">
      <c r="A58" s="21">
        <v>58</v>
      </c>
      <c r="B58" s="22" t="s">
        <v>329</v>
      </c>
      <c r="C58" s="22">
        <v>87.94</v>
      </c>
      <c r="D58" s="22">
        <v>6.61</v>
      </c>
      <c r="E58" s="22">
        <v>0</v>
      </c>
      <c r="F58" s="22">
        <v>0</v>
      </c>
      <c r="G58" s="22">
        <v>4.2300000000000004</v>
      </c>
      <c r="H58" s="22">
        <v>0</v>
      </c>
      <c r="I58" s="22">
        <v>2.5999999999999999E-2</v>
      </c>
      <c r="J58" s="22">
        <v>0</v>
      </c>
      <c r="K58" s="22">
        <v>1.18</v>
      </c>
      <c r="L58" s="22">
        <v>1.0999999999999999E-2</v>
      </c>
      <c r="M58" s="22">
        <v>0</v>
      </c>
      <c r="N58" s="22">
        <v>1</v>
      </c>
      <c r="O58" s="21" t="s">
        <v>113</v>
      </c>
      <c r="P58" s="21" t="s">
        <v>113</v>
      </c>
      <c r="Q58" s="21" t="s">
        <v>113</v>
      </c>
      <c r="R58" s="21" t="s">
        <v>113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1" t="s">
        <v>113</v>
      </c>
      <c r="Z58" s="21" t="s">
        <v>113</v>
      </c>
      <c r="AA58" s="21" t="s">
        <v>113</v>
      </c>
      <c r="AB58" s="21" t="s">
        <v>113</v>
      </c>
      <c r="AC58" s="21" t="s">
        <v>113</v>
      </c>
      <c r="AD58" s="21" t="s">
        <v>113</v>
      </c>
      <c r="AE58" s="21" t="s">
        <v>113</v>
      </c>
      <c r="AF58" s="21" t="s">
        <v>113</v>
      </c>
      <c r="AG58" s="21" t="s">
        <v>113</v>
      </c>
      <c r="AH58" s="21" t="s">
        <v>113</v>
      </c>
      <c r="AI58" s="21" t="s">
        <v>113</v>
      </c>
      <c r="AJ58" s="21" t="s">
        <v>113</v>
      </c>
      <c r="AK58" s="21" t="s">
        <v>113</v>
      </c>
      <c r="AL58" s="22">
        <v>-0.56543109599999997</v>
      </c>
      <c r="AM58" s="21" t="s">
        <v>113</v>
      </c>
      <c r="AN58" s="21" t="s">
        <v>113</v>
      </c>
      <c r="AO58" s="21" t="s">
        <v>113</v>
      </c>
    </row>
    <row r="59" spans="1:41" ht="15">
      <c r="A59" s="21">
        <v>59</v>
      </c>
      <c r="B59" s="22" t="s">
        <v>329</v>
      </c>
      <c r="C59" s="22">
        <v>87.94</v>
      </c>
      <c r="D59" s="22">
        <v>6.61</v>
      </c>
      <c r="E59" s="22">
        <v>0</v>
      </c>
      <c r="F59" s="22">
        <v>0</v>
      </c>
      <c r="G59" s="22">
        <v>4.2300000000000004</v>
      </c>
      <c r="H59" s="22">
        <v>0</v>
      </c>
      <c r="I59" s="22">
        <v>2.5999999999999999E-2</v>
      </c>
      <c r="J59" s="22">
        <v>0</v>
      </c>
      <c r="K59" s="22">
        <v>1.18</v>
      </c>
      <c r="L59" s="22">
        <v>1.0999999999999999E-2</v>
      </c>
      <c r="M59" s="22">
        <v>0</v>
      </c>
      <c r="N59" s="22">
        <v>1</v>
      </c>
      <c r="O59" s="21" t="s">
        <v>113</v>
      </c>
      <c r="P59" s="21" t="s">
        <v>113</v>
      </c>
      <c r="Q59" s="21" t="s">
        <v>113</v>
      </c>
      <c r="R59" s="21" t="s">
        <v>113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1" t="s">
        <v>113</v>
      </c>
      <c r="Z59" s="21" t="s">
        <v>113</v>
      </c>
      <c r="AA59" s="21" t="s">
        <v>113</v>
      </c>
      <c r="AB59" s="21" t="s">
        <v>113</v>
      </c>
      <c r="AC59" s="21" t="s">
        <v>113</v>
      </c>
      <c r="AD59" s="21" t="s">
        <v>113</v>
      </c>
      <c r="AE59" s="21" t="s">
        <v>113</v>
      </c>
      <c r="AF59" s="21" t="s">
        <v>113</v>
      </c>
      <c r="AG59" s="21" t="s">
        <v>113</v>
      </c>
      <c r="AH59" s="21" t="s">
        <v>113</v>
      </c>
      <c r="AI59" s="21" t="s">
        <v>113</v>
      </c>
      <c r="AJ59" s="21" t="s">
        <v>113</v>
      </c>
      <c r="AK59" s="21" t="s">
        <v>113</v>
      </c>
      <c r="AL59" s="22">
        <v>-0.97881070100000001</v>
      </c>
      <c r="AM59" s="21" t="s">
        <v>113</v>
      </c>
      <c r="AN59" s="21" t="s">
        <v>113</v>
      </c>
      <c r="AO59" s="21" t="s">
        <v>113</v>
      </c>
    </row>
    <row r="60" spans="1:41" ht="15">
      <c r="A60" s="21">
        <v>60</v>
      </c>
      <c r="B60" s="22" t="s">
        <v>329</v>
      </c>
      <c r="C60" s="22">
        <v>87.94</v>
      </c>
      <c r="D60" s="22">
        <v>6.61</v>
      </c>
      <c r="E60" s="22">
        <v>0</v>
      </c>
      <c r="F60" s="22">
        <v>0</v>
      </c>
      <c r="G60" s="22">
        <v>4.2300000000000004</v>
      </c>
      <c r="H60" s="22">
        <v>0</v>
      </c>
      <c r="I60" s="22">
        <v>2.5999999999999999E-2</v>
      </c>
      <c r="J60" s="22">
        <v>0</v>
      </c>
      <c r="K60" s="22">
        <v>1.18</v>
      </c>
      <c r="L60" s="22">
        <v>1.0999999999999999E-2</v>
      </c>
      <c r="M60" s="22">
        <v>0</v>
      </c>
      <c r="N60" s="22">
        <v>1</v>
      </c>
      <c r="O60" s="21" t="s">
        <v>113</v>
      </c>
      <c r="P60" s="21" t="s">
        <v>113</v>
      </c>
      <c r="Q60" s="21" t="s">
        <v>113</v>
      </c>
      <c r="R60" s="21" t="s">
        <v>113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1" t="s">
        <v>113</v>
      </c>
      <c r="Z60" s="21" t="s">
        <v>113</v>
      </c>
      <c r="AA60" s="21" t="s">
        <v>113</v>
      </c>
      <c r="AB60" s="21" t="s">
        <v>113</v>
      </c>
      <c r="AC60" s="21" t="s">
        <v>113</v>
      </c>
      <c r="AD60" s="21" t="s">
        <v>113</v>
      </c>
      <c r="AE60" s="21" t="s">
        <v>113</v>
      </c>
      <c r="AF60" s="21" t="s">
        <v>113</v>
      </c>
      <c r="AG60" s="21" t="s">
        <v>113</v>
      </c>
      <c r="AH60" s="21" t="s">
        <v>113</v>
      </c>
      <c r="AI60" s="21" t="s">
        <v>113</v>
      </c>
      <c r="AJ60" s="21" t="s">
        <v>113</v>
      </c>
      <c r="AK60" s="21" t="s">
        <v>113</v>
      </c>
      <c r="AL60" s="22">
        <v>-2.5512936800000001</v>
      </c>
      <c r="AM60" s="21" t="s">
        <v>113</v>
      </c>
      <c r="AN60" s="21" t="s">
        <v>113</v>
      </c>
      <c r="AO60" s="21" t="s">
        <v>113</v>
      </c>
    </row>
    <row r="61" spans="1:41" ht="15">
      <c r="A61" s="21">
        <v>61</v>
      </c>
      <c r="B61" s="22" t="s">
        <v>329</v>
      </c>
      <c r="C61" s="22">
        <v>87.94</v>
      </c>
      <c r="D61" s="22">
        <v>6.61</v>
      </c>
      <c r="E61" s="22">
        <v>0</v>
      </c>
      <c r="F61" s="22">
        <v>0</v>
      </c>
      <c r="G61" s="22">
        <v>4.2300000000000004</v>
      </c>
      <c r="H61" s="22">
        <v>0</v>
      </c>
      <c r="I61" s="22">
        <v>2.5999999999999999E-2</v>
      </c>
      <c r="J61" s="22">
        <v>0</v>
      </c>
      <c r="K61" s="22">
        <v>1.18</v>
      </c>
      <c r="L61" s="22">
        <v>1.0999999999999999E-2</v>
      </c>
      <c r="M61" s="22">
        <v>0</v>
      </c>
      <c r="N61" s="22">
        <v>1</v>
      </c>
      <c r="O61" s="21" t="s">
        <v>113</v>
      </c>
      <c r="P61" s="21" t="s">
        <v>113</v>
      </c>
      <c r="Q61" s="21" t="s">
        <v>113</v>
      </c>
      <c r="R61" s="21" t="s">
        <v>113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1" t="s">
        <v>113</v>
      </c>
      <c r="Z61" s="21" t="s">
        <v>113</v>
      </c>
      <c r="AA61" s="21" t="s">
        <v>113</v>
      </c>
      <c r="AB61" s="21" t="s">
        <v>113</v>
      </c>
      <c r="AC61" s="21" t="s">
        <v>113</v>
      </c>
      <c r="AD61" s="21" t="s">
        <v>113</v>
      </c>
      <c r="AE61" s="21" t="s">
        <v>113</v>
      </c>
      <c r="AF61" s="21" t="s">
        <v>113</v>
      </c>
      <c r="AG61" s="21" t="s">
        <v>113</v>
      </c>
      <c r="AH61" s="21" t="s">
        <v>113</v>
      </c>
      <c r="AI61" s="21" t="s">
        <v>113</v>
      </c>
      <c r="AJ61" s="21" t="s">
        <v>113</v>
      </c>
      <c r="AK61" s="21" t="s">
        <v>113</v>
      </c>
      <c r="AL61" s="22">
        <v>-2.804100348</v>
      </c>
      <c r="AM61" s="21" t="s">
        <v>113</v>
      </c>
      <c r="AN61" s="21" t="s">
        <v>113</v>
      </c>
      <c r="AO61" s="21" t="s">
        <v>113</v>
      </c>
    </row>
    <row r="62" spans="1:41" ht="15">
      <c r="A62" s="21">
        <v>62</v>
      </c>
      <c r="B62" s="22" t="s">
        <v>330</v>
      </c>
      <c r="C62" s="22">
        <v>85.02</v>
      </c>
      <c r="D62" s="22">
        <v>5.8</v>
      </c>
      <c r="E62" s="22">
        <v>3.5</v>
      </c>
      <c r="F62" s="22">
        <v>0.5</v>
      </c>
      <c r="G62" s="22">
        <v>0</v>
      </c>
      <c r="H62" s="22">
        <v>0.7</v>
      </c>
      <c r="I62" s="22">
        <v>0.06</v>
      </c>
      <c r="J62" s="22">
        <v>0.35</v>
      </c>
      <c r="K62" s="22">
        <v>0</v>
      </c>
      <c r="L62" s="22">
        <v>0</v>
      </c>
      <c r="M62" s="22">
        <v>4</v>
      </c>
      <c r="N62" s="22">
        <v>1</v>
      </c>
      <c r="O62" s="21" t="s">
        <v>113</v>
      </c>
      <c r="P62" s="21" t="s">
        <v>113</v>
      </c>
      <c r="Q62" s="21" t="s">
        <v>113</v>
      </c>
      <c r="R62" s="21" t="s">
        <v>113</v>
      </c>
      <c r="S62" s="22">
        <v>1050</v>
      </c>
      <c r="T62" s="22">
        <v>2</v>
      </c>
      <c r="U62" s="22" t="s">
        <v>331</v>
      </c>
      <c r="V62" s="22">
        <v>700</v>
      </c>
      <c r="W62" s="22">
        <v>2</v>
      </c>
      <c r="X62" s="22">
        <v>2</v>
      </c>
      <c r="Y62" s="21" t="s">
        <v>113</v>
      </c>
      <c r="Z62" s="21" t="s">
        <v>113</v>
      </c>
      <c r="AA62" s="21" t="s">
        <v>113</v>
      </c>
      <c r="AB62" s="21" t="s">
        <v>113</v>
      </c>
      <c r="AC62" s="21" t="s">
        <v>113</v>
      </c>
      <c r="AD62" s="21" t="s">
        <v>113</v>
      </c>
      <c r="AE62" s="21" t="s">
        <v>113</v>
      </c>
      <c r="AF62" s="21" t="s">
        <v>113</v>
      </c>
      <c r="AG62" s="21" t="s">
        <v>113</v>
      </c>
      <c r="AH62" s="21" t="s">
        <v>113</v>
      </c>
      <c r="AI62" s="21" t="s">
        <v>113</v>
      </c>
      <c r="AJ62" s="21" t="s">
        <v>113</v>
      </c>
      <c r="AK62" s="21" t="s">
        <v>113</v>
      </c>
      <c r="AL62" s="22">
        <v>2.4840149629999999</v>
      </c>
      <c r="AM62" s="21" t="s">
        <v>113</v>
      </c>
      <c r="AN62" s="21" t="s">
        <v>113</v>
      </c>
      <c r="AO62" s="21" t="s">
        <v>113</v>
      </c>
    </row>
    <row r="63" spans="1:41" ht="15">
      <c r="A63" s="21">
        <v>63</v>
      </c>
      <c r="B63" s="22" t="s">
        <v>330</v>
      </c>
      <c r="C63" s="22">
        <v>85.02</v>
      </c>
      <c r="D63" s="22">
        <v>5.8</v>
      </c>
      <c r="E63" s="22">
        <v>3.5</v>
      </c>
      <c r="F63" s="22">
        <v>0.5</v>
      </c>
      <c r="G63" s="22">
        <v>0</v>
      </c>
      <c r="H63" s="22">
        <v>0.7</v>
      </c>
      <c r="I63" s="22">
        <v>0.06</v>
      </c>
      <c r="J63" s="22">
        <v>0.35</v>
      </c>
      <c r="K63" s="22">
        <v>0</v>
      </c>
      <c r="L63" s="22">
        <v>0</v>
      </c>
      <c r="M63" s="22">
        <v>4</v>
      </c>
      <c r="N63" s="22">
        <v>1</v>
      </c>
      <c r="O63" s="21" t="s">
        <v>113</v>
      </c>
      <c r="P63" s="21" t="s">
        <v>113</v>
      </c>
      <c r="Q63" s="21" t="s">
        <v>113</v>
      </c>
      <c r="R63" s="21" t="s">
        <v>113</v>
      </c>
      <c r="S63" s="22">
        <v>1050</v>
      </c>
      <c r="T63" s="22">
        <v>2</v>
      </c>
      <c r="U63" s="22" t="s">
        <v>331</v>
      </c>
      <c r="V63" s="22">
        <v>700</v>
      </c>
      <c r="W63" s="22">
        <v>2</v>
      </c>
      <c r="X63" s="22">
        <v>2</v>
      </c>
      <c r="Y63" s="21" t="s">
        <v>113</v>
      </c>
      <c r="Z63" s="21" t="s">
        <v>113</v>
      </c>
      <c r="AA63" s="21" t="s">
        <v>113</v>
      </c>
      <c r="AB63" s="21" t="s">
        <v>113</v>
      </c>
      <c r="AC63" s="21" t="s">
        <v>113</v>
      </c>
      <c r="AD63" s="21" t="s">
        <v>113</v>
      </c>
      <c r="AE63" s="21" t="s">
        <v>113</v>
      </c>
      <c r="AF63" s="21" t="s">
        <v>113</v>
      </c>
      <c r="AG63" s="21" t="s">
        <v>113</v>
      </c>
      <c r="AH63" s="21" t="s">
        <v>113</v>
      </c>
      <c r="AI63" s="21" t="s">
        <v>113</v>
      </c>
      <c r="AJ63" s="21" t="s">
        <v>113</v>
      </c>
      <c r="AK63" s="21" t="s">
        <v>113</v>
      </c>
      <c r="AL63" s="22">
        <v>1.9493900070000001</v>
      </c>
      <c r="AM63" s="21" t="s">
        <v>113</v>
      </c>
      <c r="AN63" s="21" t="s">
        <v>113</v>
      </c>
      <c r="AO63" s="21" t="s">
        <v>113</v>
      </c>
    </row>
    <row r="64" spans="1:41" ht="15">
      <c r="A64" s="21">
        <v>64</v>
      </c>
      <c r="B64" s="22" t="s">
        <v>330</v>
      </c>
      <c r="C64" s="22">
        <v>85.02</v>
      </c>
      <c r="D64" s="22">
        <v>5.8</v>
      </c>
      <c r="E64" s="22">
        <v>3.5</v>
      </c>
      <c r="F64" s="22">
        <v>0.5</v>
      </c>
      <c r="G64" s="22">
        <v>0</v>
      </c>
      <c r="H64" s="22">
        <v>0.7</v>
      </c>
      <c r="I64" s="22">
        <v>0.06</v>
      </c>
      <c r="J64" s="22">
        <v>0.35</v>
      </c>
      <c r="K64" s="22">
        <v>0</v>
      </c>
      <c r="L64" s="22">
        <v>0</v>
      </c>
      <c r="M64" s="22">
        <v>4</v>
      </c>
      <c r="N64" s="22">
        <v>1</v>
      </c>
      <c r="O64" s="21" t="s">
        <v>113</v>
      </c>
      <c r="P64" s="21" t="s">
        <v>113</v>
      </c>
      <c r="Q64" s="21" t="s">
        <v>113</v>
      </c>
      <c r="R64" s="21" t="s">
        <v>113</v>
      </c>
      <c r="S64" s="22">
        <v>1050</v>
      </c>
      <c r="T64" s="22">
        <v>2</v>
      </c>
      <c r="U64" s="22" t="s">
        <v>331</v>
      </c>
      <c r="V64" s="22">
        <v>700</v>
      </c>
      <c r="W64" s="22">
        <v>2</v>
      </c>
      <c r="X64" s="22">
        <v>2</v>
      </c>
      <c r="Y64" s="21" t="s">
        <v>113</v>
      </c>
      <c r="Z64" s="21" t="s">
        <v>113</v>
      </c>
      <c r="AA64" s="21" t="s">
        <v>113</v>
      </c>
      <c r="AB64" s="21" t="s">
        <v>113</v>
      </c>
      <c r="AC64" s="21" t="s">
        <v>113</v>
      </c>
      <c r="AD64" s="21" t="s">
        <v>113</v>
      </c>
      <c r="AE64" s="21" t="s">
        <v>113</v>
      </c>
      <c r="AF64" s="21" t="s">
        <v>113</v>
      </c>
      <c r="AG64" s="21" t="s">
        <v>113</v>
      </c>
      <c r="AH64" s="21" t="s">
        <v>113</v>
      </c>
      <c r="AI64" s="21" t="s">
        <v>113</v>
      </c>
      <c r="AJ64" s="21" t="s">
        <v>113</v>
      </c>
      <c r="AK64" s="21" t="s">
        <v>113</v>
      </c>
      <c r="AL64" s="22">
        <v>1.5740312679999999</v>
      </c>
      <c r="AM64" s="21" t="s">
        <v>113</v>
      </c>
      <c r="AN64" s="21" t="s">
        <v>113</v>
      </c>
      <c r="AO64" s="21" t="s">
        <v>113</v>
      </c>
    </row>
    <row r="65" spans="1:41" ht="15">
      <c r="A65" s="21">
        <v>65</v>
      </c>
      <c r="B65" s="22" t="s">
        <v>332</v>
      </c>
      <c r="C65" s="22">
        <v>85.02</v>
      </c>
      <c r="D65" s="22">
        <v>5.8</v>
      </c>
      <c r="E65" s="22">
        <v>3.5</v>
      </c>
      <c r="F65" s="22">
        <v>0.5</v>
      </c>
      <c r="G65" s="22">
        <v>0</v>
      </c>
      <c r="H65" s="22">
        <v>0.7</v>
      </c>
      <c r="I65" s="22">
        <v>0.06</v>
      </c>
      <c r="J65" s="22">
        <v>0.35</v>
      </c>
      <c r="K65" s="22">
        <v>0</v>
      </c>
      <c r="L65" s="22">
        <v>0</v>
      </c>
      <c r="M65" s="22">
        <v>4</v>
      </c>
      <c r="N65" s="22">
        <v>1</v>
      </c>
      <c r="O65" s="21" t="s">
        <v>113</v>
      </c>
      <c r="P65" s="21" t="s">
        <v>113</v>
      </c>
      <c r="Q65" s="21" t="s">
        <v>113</v>
      </c>
      <c r="R65" s="21" t="s">
        <v>113</v>
      </c>
      <c r="S65" s="22">
        <v>1030</v>
      </c>
      <c r="T65" s="22">
        <v>2</v>
      </c>
      <c r="U65" s="22" t="s">
        <v>331</v>
      </c>
      <c r="V65" s="22">
        <v>700</v>
      </c>
      <c r="W65" s="22">
        <v>2</v>
      </c>
      <c r="X65" s="22">
        <v>2</v>
      </c>
      <c r="Y65" s="21" t="s">
        <v>113</v>
      </c>
      <c r="Z65" s="21" t="s">
        <v>113</v>
      </c>
      <c r="AA65" s="21" t="s">
        <v>113</v>
      </c>
      <c r="AB65" s="21" t="s">
        <v>113</v>
      </c>
      <c r="AC65" s="21" t="s">
        <v>113</v>
      </c>
      <c r="AD65" s="21" t="s">
        <v>113</v>
      </c>
      <c r="AE65" s="21" t="s">
        <v>113</v>
      </c>
      <c r="AF65" s="21" t="s">
        <v>113</v>
      </c>
      <c r="AG65" s="21" t="s">
        <v>113</v>
      </c>
      <c r="AH65" s="21" t="s">
        <v>113</v>
      </c>
      <c r="AI65" s="21" t="s">
        <v>113</v>
      </c>
      <c r="AJ65" s="21" t="s">
        <v>113</v>
      </c>
      <c r="AK65" s="21" t="s">
        <v>113</v>
      </c>
      <c r="AL65" s="22">
        <v>2.6580113970000001</v>
      </c>
      <c r="AM65" s="21" t="s">
        <v>113</v>
      </c>
      <c r="AN65" s="21" t="s">
        <v>113</v>
      </c>
      <c r="AO65" s="21" t="s">
        <v>113</v>
      </c>
    </row>
    <row r="66" spans="1:41" ht="15">
      <c r="A66" s="21">
        <v>66</v>
      </c>
      <c r="B66" s="22" t="s">
        <v>332</v>
      </c>
      <c r="C66" s="22">
        <v>85.02</v>
      </c>
      <c r="D66" s="22">
        <v>5.8</v>
      </c>
      <c r="E66" s="22">
        <v>3.5</v>
      </c>
      <c r="F66" s="22">
        <v>0.5</v>
      </c>
      <c r="G66" s="22">
        <v>0</v>
      </c>
      <c r="H66" s="22">
        <v>0.7</v>
      </c>
      <c r="I66" s="22">
        <v>0.06</v>
      </c>
      <c r="J66" s="22">
        <v>0.35</v>
      </c>
      <c r="K66" s="22">
        <v>0</v>
      </c>
      <c r="L66" s="22">
        <v>0</v>
      </c>
      <c r="M66" s="22">
        <v>4</v>
      </c>
      <c r="N66" s="22">
        <v>1</v>
      </c>
      <c r="O66" s="21" t="s">
        <v>113</v>
      </c>
      <c r="P66" s="21" t="s">
        <v>113</v>
      </c>
      <c r="Q66" s="21" t="s">
        <v>113</v>
      </c>
      <c r="R66" s="21" t="s">
        <v>113</v>
      </c>
      <c r="S66" s="22">
        <v>1030</v>
      </c>
      <c r="T66" s="22">
        <v>2</v>
      </c>
      <c r="U66" s="22" t="s">
        <v>331</v>
      </c>
      <c r="V66" s="22">
        <v>700</v>
      </c>
      <c r="W66" s="22">
        <v>2</v>
      </c>
      <c r="X66" s="22">
        <v>2</v>
      </c>
      <c r="Y66" s="21" t="s">
        <v>113</v>
      </c>
      <c r="Z66" s="21" t="s">
        <v>113</v>
      </c>
      <c r="AA66" s="21" t="s">
        <v>113</v>
      </c>
      <c r="AB66" s="21" t="s">
        <v>113</v>
      </c>
      <c r="AC66" s="21" t="s">
        <v>113</v>
      </c>
      <c r="AD66" s="21" t="s">
        <v>113</v>
      </c>
      <c r="AE66" s="21" t="s">
        <v>113</v>
      </c>
      <c r="AF66" s="21" t="s">
        <v>113</v>
      </c>
      <c r="AG66" s="21" t="s">
        <v>113</v>
      </c>
      <c r="AH66" s="21" t="s">
        <v>113</v>
      </c>
      <c r="AI66" s="21" t="s">
        <v>113</v>
      </c>
      <c r="AJ66" s="21" t="s">
        <v>113</v>
      </c>
      <c r="AK66" s="21" t="s">
        <v>113</v>
      </c>
      <c r="AL66" s="22">
        <v>2.0413926849999999</v>
      </c>
      <c r="AM66" s="21" t="s">
        <v>113</v>
      </c>
      <c r="AN66" s="21" t="s">
        <v>113</v>
      </c>
      <c r="AO66" s="21" t="s">
        <v>113</v>
      </c>
    </row>
    <row r="67" spans="1:41" ht="15">
      <c r="A67" s="21">
        <v>67</v>
      </c>
      <c r="B67" s="22" t="s">
        <v>332</v>
      </c>
      <c r="C67" s="22">
        <v>85.02</v>
      </c>
      <c r="D67" s="22">
        <v>5.8</v>
      </c>
      <c r="E67" s="22">
        <v>3.5</v>
      </c>
      <c r="F67" s="22">
        <v>0.5</v>
      </c>
      <c r="G67" s="22">
        <v>0</v>
      </c>
      <c r="H67" s="22">
        <v>0.7</v>
      </c>
      <c r="I67" s="22">
        <v>0.06</v>
      </c>
      <c r="J67" s="22">
        <v>0.35</v>
      </c>
      <c r="K67" s="22">
        <v>0</v>
      </c>
      <c r="L67" s="22">
        <v>0</v>
      </c>
      <c r="M67" s="22">
        <v>4</v>
      </c>
      <c r="N67" s="22">
        <v>1</v>
      </c>
      <c r="O67" s="21" t="s">
        <v>113</v>
      </c>
      <c r="P67" s="21" t="s">
        <v>113</v>
      </c>
      <c r="Q67" s="21" t="s">
        <v>113</v>
      </c>
      <c r="R67" s="21" t="s">
        <v>113</v>
      </c>
      <c r="S67" s="22">
        <v>1030</v>
      </c>
      <c r="T67" s="22">
        <v>2</v>
      </c>
      <c r="U67" s="22" t="s">
        <v>331</v>
      </c>
      <c r="V67" s="22">
        <v>700</v>
      </c>
      <c r="W67" s="22">
        <v>2</v>
      </c>
      <c r="X67" s="22">
        <v>2</v>
      </c>
      <c r="Y67" s="21" t="s">
        <v>113</v>
      </c>
      <c r="Z67" s="21" t="s">
        <v>113</v>
      </c>
      <c r="AA67" s="21" t="s">
        <v>113</v>
      </c>
      <c r="AB67" s="21" t="s">
        <v>113</v>
      </c>
      <c r="AC67" s="21" t="s">
        <v>113</v>
      </c>
      <c r="AD67" s="21" t="s">
        <v>113</v>
      </c>
      <c r="AE67" s="21" t="s">
        <v>113</v>
      </c>
      <c r="AF67" s="21" t="s">
        <v>113</v>
      </c>
      <c r="AG67" s="21" t="s">
        <v>113</v>
      </c>
      <c r="AH67" s="21" t="s">
        <v>113</v>
      </c>
      <c r="AI67" s="21" t="s">
        <v>113</v>
      </c>
      <c r="AJ67" s="21" t="s">
        <v>113</v>
      </c>
      <c r="AK67" s="21" t="s">
        <v>113</v>
      </c>
      <c r="AL67" s="22">
        <v>1.716003344</v>
      </c>
      <c r="AM67" s="21" t="s">
        <v>113</v>
      </c>
      <c r="AN67" s="21" t="s">
        <v>113</v>
      </c>
      <c r="AO67" s="21" t="s">
        <v>113</v>
      </c>
    </row>
    <row r="68" spans="1:41" ht="15">
      <c r="A68" s="21">
        <v>68</v>
      </c>
      <c r="B68" s="22" t="s">
        <v>332</v>
      </c>
      <c r="C68" s="22">
        <v>85.02</v>
      </c>
      <c r="D68" s="22">
        <v>5.8</v>
      </c>
      <c r="E68" s="22">
        <v>3.5</v>
      </c>
      <c r="F68" s="22">
        <v>0.5</v>
      </c>
      <c r="G68" s="22">
        <v>0</v>
      </c>
      <c r="H68" s="22">
        <v>0.7</v>
      </c>
      <c r="I68" s="22">
        <v>0.06</v>
      </c>
      <c r="J68" s="22">
        <v>0.35</v>
      </c>
      <c r="K68" s="22">
        <v>0</v>
      </c>
      <c r="L68" s="22">
        <v>0</v>
      </c>
      <c r="M68" s="22">
        <v>4</v>
      </c>
      <c r="N68" s="22">
        <v>1</v>
      </c>
      <c r="O68" s="21" t="s">
        <v>113</v>
      </c>
      <c r="P68" s="21" t="s">
        <v>113</v>
      </c>
      <c r="Q68" s="21" t="s">
        <v>113</v>
      </c>
      <c r="R68" s="21" t="s">
        <v>113</v>
      </c>
      <c r="S68" s="22">
        <v>1030</v>
      </c>
      <c r="T68" s="22">
        <v>2</v>
      </c>
      <c r="U68" s="22" t="s">
        <v>331</v>
      </c>
      <c r="V68" s="22">
        <v>700</v>
      </c>
      <c r="W68" s="22">
        <v>2</v>
      </c>
      <c r="X68" s="22">
        <v>2</v>
      </c>
      <c r="Y68" s="21" t="s">
        <v>113</v>
      </c>
      <c r="Z68" s="21" t="s">
        <v>113</v>
      </c>
      <c r="AA68" s="21" t="s">
        <v>113</v>
      </c>
      <c r="AB68" s="21" t="s">
        <v>113</v>
      </c>
      <c r="AC68" s="21" t="s">
        <v>113</v>
      </c>
      <c r="AD68" s="21" t="s">
        <v>113</v>
      </c>
      <c r="AE68" s="21" t="s">
        <v>113</v>
      </c>
      <c r="AF68" s="21" t="s">
        <v>113</v>
      </c>
      <c r="AG68" s="21" t="s">
        <v>113</v>
      </c>
      <c r="AH68" s="21" t="s">
        <v>113</v>
      </c>
      <c r="AI68" s="21" t="s">
        <v>113</v>
      </c>
      <c r="AJ68" s="21" t="s">
        <v>113</v>
      </c>
      <c r="AK68" s="21" t="s">
        <v>113</v>
      </c>
      <c r="AL68" s="22">
        <v>1.4771212549999999</v>
      </c>
      <c r="AM68" s="21" t="s">
        <v>113</v>
      </c>
      <c r="AN68" s="21" t="s">
        <v>113</v>
      </c>
      <c r="AO68" s="21" t="s">
        <v>113</v>
      </c>
    </row>
    <row r="69" spans="1:41" ht="15">
      <c r="A69" s="21">
        <v>69</v>
      </c>
      <c r="B69" s="22" t="s">
        <v>333</v>
      </c>
      <c r="C69" s="22">
        <v>85.02</v>
      </c>
      <c r="D69" s="22">
        <v>5.8</v>
      </c>
      <c r="E69" s="22">
        <v>3.5</v>
      </c>
      <c r="F69" s="22">
        <v>0.5</v>
      </c>
      <c r="G69" s="22">
        <v>0</v>
      </c>
      <c r="H69" s="22">
        <v>0.7</v>
      </c>
      <c r="I69" s="22">
        <v>0.06</v>
      </c>
      <c r="J69" s="22">
        <v>0.35</v>
      </c>
      <c r="K69" s="22">
        <v>0</v>
      </c>
      <c r="L69" s="22">
        <v>0</v>
      </c>
      <c r="M69" s="22">
        <v>4</v>
      </c>
      <c r="N69" s="22">
        <v>1</v>
      </c>
      <c r="O69" s="21" t="s">
        <v>113</v>
      </c>
      <c r="P69" s="21" t="s">
        <v>113</v>
      </c>
      <c r="Q69" s="21" t="s">
        <v>113</v>
      </c>
      <c r="R69" s="21" t="s">
        <v>113</v>
      </c>
      <c r="S69" s="22">
        <v>1010</v>
      </c>
      <c r="T69" s="22">
        <v>2</v>
      </c>
      <c r="U69" s="22" t="s">
        <v>331</v>
      </c>
      <c r="V69" s="22">
        <v>700</v>
      </c>
      <c r="W69" s="22">
        <v>2</v>
      </c>
      <c r="X69" s="22">
        <v>2</v>
      </c>
      <c r="Y69" s="21" t="s">
        <v>113</v>
      </c>
      <c r="Z69" s="21" t="s">
        <v>113</v>
      </c>
      <c r="AA69" s="21" t="s">
        <v>113</v>
      </c>
      <c r="AB69" s="21" t="s">
        <v>113</v>
      </c>
      <c r="AC69" s="21" t="s">
        <v>113</v>
      </c>
      <c r="AD69" s="21" t="s">
        <v>113</v>
      </c>
      <c r="AE69" s="21" t="s">
        <v>113</v>
      </c>
      <c r="AF69" s="21" t="s">
        <v>113</v>
      </c>
      <c r="AG69" s="21" t="s">
        <v>113</v>
      </c>
      <c r="AH69" s="21" t="s">
        <v>113</v>
      </c>
      <c r="AI69" s="21" t="s">
        <v>113</v>
      </c>
      <c r="AJ69" s="21" t="s">
        <v>113</v>
      </c>
      <c r="AK69" s="21" t="s">
        <v>113</v>
      </c>
      <c r="AL69" s="22">
        <v>2.4471580309999998</v>
      </c>
      <c r="AM69" s="21" t="s">
        <v>113</v>
      </c>
      <c r="AN69" s="21" t="s">
        <v>113</v>
      </c>
      <c r="AO69" s="21" t="s">
        <v>113</v>
      </c>
    </row>
    <row r="70" spans="1:41" ht="15">
      <c r="A70" s="21">
        <v>70</v>
      </c>
      <c r="B70" s="22" t="s">
        <v>333</v>
      </c>
      <c r="C70" s="22">
        <v>85.02</v>
      </c>
      <c r="D70" s="22">
        <v>5.8</v>
      </c>
      <c r="E70" s="22">
        <v>3.5</v>
      </c>
      <c r="F70" s="22">
        <v>0.5</v>
      </c>
      <c r="G70" s="22">
        <v>0</v>
      </c>
      <c r="H70" s="22">
        <v>0.7</v>
      </c>
      <c r="I70" s="22">
        <v>0.06</v>
      </c>
      <c r="J70" s="22">
        <v>0.35</v>
      </c>
      <c r="K70" s="22">
        <v>0</v>
      </c>
      <c r="L70" s="22">
        <v>0</v>
      </c>
      <c r="M70" s="22">
        <v>4</v>
      </c>
      <c r="N70" s="22">
        <v>1</v>
      </c>
      <c r="O70" s="21" t="s">
        <v>113</v>
      </c>
      <c r="P70" s="21" t="s">
        <v>113</v>
      </c>
      <c r="Q70" s="21" t="s">
        <v>113</v>
      </c>
      <c r="R70" s="21" t="s">
        <v>113</v>
      </c>
      <c r="S70" s="22">
        <v>1010</v>
      </c>
      <c r="T70" s="22">
        <v>2</v>
      </c>
      <c r="U70" s="22" t="s">
        <v>331</v>
      </c>
      <c r="V70" s="22">
        <v>700</v>
      </c>
      <c r="W70" s="22">
        <v>2</v>
      </c>
      <c r="X70" s="22">
        <v>2</v>
      </c>
      <c r="Y70" s="21" t="s">
        <v>113</v>
      </c>
      <c r="Z70" s="21" t="s">
        <v>113</v>
      </c>
      <c r="AA70" s="21" t="s">
        <v>113</v>
      </c>
      <c r="AB70" s="21" t="s">
        <v>113</v>
      </c>
      <c r="AC70" s="21" t="s">
        <v>113</v>
      </c>
      <c r="AD70" s="21" t="s">
        <v>113</v>
      </c>
      <c r="AE70" s="21" t="s">
        <v>113</v>
      </c>
      <c r="AF70" s="21" t="s">
        <v>113</v>
      </c>
      <c r="AG70" s="21" t="s">
        <v>113</v>
      </c>
      <c r="AH70" s="21" t="s">
        <v>113</v>
      </c>
      <c r="AI70" s="21" t="s">
        <v>113</v>
      </c>
      <c r="AJ70" s="21" t="s">
        <v>113</v>
      </c>
      <c r="AK70" s="21" t="s">
        <v>113</v>
      </c>
      <c r="AL70" s="22">
        <v>2.0128372250000002</v>
      </c>
      <c r="AM70" s="21" t="s">
        <v>113</v>
      </c>
      <c r="AN70" s="21" t="s">
        <v>113</v>
      </c>
      <c r="AO70" s="21" t="s">
        <v>113</v>
      </c>
    </row>
    <row r="71" spans="1:41" ht="15">
      <c r="A71" s="21">
        <v>71</v>
      </c>
      <c r="B71" s="22" t="s">
        <v>333</v>
      </c>
      <c r="C71" s="22">
        <v>85.02</v>
      </c>
      <c r="D71" s="22">
        <v>5.8</v>
      </c>
      <c r="E71" s="22">
        <v>3.5</v>
      </c>
      <c r="F71" s="22">
        <v>0.5</v>
      </c>
      <c r="G71" s="22">
        <v>0</v>
      </c>
      <c r="H71" s="22">
        <v>0.7</v>
      </c>
      <c r="I71" s="22">
        <v>0.06</v>
      </c>
      <c r="J71" s="22">
        <v>0.35</v>
      </c>
      <c r="K71" s="22">
        <v>0</v>
      </c>
      <c r="L71" s="22">
        <v>0</v>
      </c>
      <c r="M71" s="22">
        <v>4</v>
      </c>
      <c r="N71" s="22">
        <v>1</v>
      </c>
      <c r="O71" s="21" t="s">
        <v>113</v>
      </c>
      <c r="P71" s="21" t="s">
        <v>113</v>
      </c>
      <c r="Q71" s="21" t="s">
        <v>113</v>
      </c>
      <c r="R71" s="21" t="s">
        <v>113</v>
      </c>
      <c r="S71" s="22">
        <v>1010</v>
      </c>
      <c r="T71" s="22">
        <v>2</v>
      </c>
      <c r="U71" s="22" t="s">
        <v>331</v>
      </c>
      <c r="V71" s="22">
        <v>700</v>
      </c>
      <c r="W71" s="22">
        <v>2</v>
      </c>
      <c r="X71" s="22">
        <v>2</v>
      </c>
      <c r="Y71" s="21" t="s">
        <v>113</v>
      </c>
      <c r="Z71" s="21" t="s">
        <v>113</v>
      </c>
      <c r="AA71" s="21" t="s">
        <v>113</v>
      </c>
      <c r="AB71" s="21" t="s">
        <v>113</v>
      </c>
      <c r="AC71" s="21" t="s">
        <v>113</v>
      </c>
      <c r="AD71" s="21" t="s">
        <v>113</v>
      </c>
      <c r="AE71" s="21" t="s">
        <v>113</v>
      </c>
      <c r="AF71" s="21" t="s">
        <v>113</v>
      </c>
      <c r="AG71" s="21" t="s">
        <v>113</v>
      </c>
      <c r="AH71" s="21" t="s">
        <v>113</v>
      </c>
      <c r="AI71" s="21" t="s">
        <v>113</v>
      </c>
      <c r="AJ71" s="21" t="s">
        <v>113</v>
      </c>
      <c r="AK71" s="21" t="s">
        <v>113</v>
      </c>
      <c r="AL71" s="22">
        <v>1.7481880270000001</v>
      </c>
      <c r="AM71" s="21" t="s">
        <v>113</v>
      </c>
      <c r="AN71" s="21" t="s">
        <v>113</v>
      </c>
      <c r="AO71" s="21" t="s">
        <v>113</v>
      </c>
    </row>
    <row r="72" spans="1:41" ht="15">
      <c r="A72" s="21">
        <v>72</v>
      </c>
      <c r="B72" s="22" t="s">
        <v>333</v>
      </c>
      <c r="C72" s="22">
        <v>85.02</v>
      </c>
      <c r="D72" s="22">
        <v>5.8</v>
      </c>
      <c r="E72" s="22">
        <v>3.5</v>
      </c>
      <c r="F72" s="22">
        <v>0.5</v>
      </c>
      <c r="G72" s="22">
        <v>0</v>
      </c>
      <c r="H72" s="22">
        <v>0.7</v>
      </c>
      <c r="I72" s="22">
        <v>0.06</v>
      </c>
      <c r="J72" s="22">
        <v>0.35</v>
      </c>
      <c r="K72" s="22">
        <v>0</v>
      </c>
      <c r="L72" s="22">
        <v>0</v>
      </c>
      <c r="M72" s="22">
        <v>4</v>
      </c>
      <c r="N72" s="22">
        <v>1</v>
      </c>
      <c r="O72" s="21" t="s">
        <v>113</v>
      </c>
      <c r="P72" s="21" t="s">
        <v>113</v>
      </c>
      <c r="Q72" s="21" t="s">
        <v>113</v>
      </c>
      <c r="R72" s="21" t="s">
        <v>113</v>
      </c>
      <c r="S72" s="22">
        <v>1010</v>
      </c>
      <c r="T72" s="22">
        <v>2</v>
      </c>
      <c r="U72" s="22" t="s">
        <v>331</v>
      </c>
      <c r="V72" s="22">
        <v>700</v>
      </c>
      <c r="W72" s="22">
        <v>2</v>
      </c>
      <c r="X72" s="22">
        <v>2</v>
      </c>
      <c r="Y72" s="21" t="s">
        <v>113</v>
      </c>
      <c r="Z72" s="21" t="s">
        <v>113</v>
      </c>
      <c r="AA72" s="21" t="s">
        <v>113</v>
      </c>
      <c r="AB72" s="21" t="s">
        <v>113</v>
      </c>
      <c r="AC72" s="21" t="s">
        <v>113</v>
      </c>
      <c r="AD72" s="21" t="s">
        <v>113</v>
      </c>
      <c r="AE72" s="21" t="s">
        <v>113</v>
      </c>
      <c r="AF72" s="21" t="s">
        <v>113</v>
      </c>
      <c r="AG72" s="21" t="s">
        <v>113</v>
      </c>
      <c r="AH72" s="21" t="s">
        <v>113</v>
      </c>
      <c r="AI72" s="21" t="s">
        <v>113</v>
      </c>
      <c r="AJ72" s="21" t="s">
        <v>113</v>
      </c>
      <c r="AK72" s="21" t="s">
        <v>113</v>
      </c>
      <c r="AL72" s="22">
        <v>1.322219295</v>
      </c>
      <c r="AM72" s="21" t="s">
        <v>113</v>
      </c>
      <c r="AN72" s="21" t="s">
        <v>113</v>
      </c>
      <c r="AO72" s="21" t="s">
        <v>113</v>
      </c>
    </row>
    <row r="73" spans="1:41" ht="15">
      <c r="A73" s="21">
        <v>73</v>
      </c>
      <c r="B73" s="22" t="s">
        <v>334</v>
      </c>
      <c r="C73" s="22">
        <v>85.02</v>
      </c>
      <c r="D73" s="22">
        <v>5.8</v>
      </c>
      <c r="E73" s="22">
        <v>3.5</v>
      </c>
      <c r="F73" s="22">
        <v>0.5</v>
      </c>
      <c r="G73" s="22">
        <v>0</v>
      </c>
      <c r="H73" s="22">
        <v>0.7</v>
      </c>
      <c r="I73" s="22">
        <v>0.06</v>
      </c>
      <c r="J73" s="22">
        <v>0.35</v>
      </c>
      <c r="K73" s="22">
        <v>0</v>
      </c>
      <c r="L73" s="22">
        <v>0</v>
      </c>
      <c r="M73" s="22">
        <v>4</v>
      </c>
      <c r="N73" s="22">
        <v>1</v>
      </c>
      <c r="O73" s="21" t="s">
        <v>113</v>
      </c>
      <c r="P73" s="21" t="s">
        <v>113</v>
      </c>
      <c r="Q73" s="21" t="s">
        <v>113</v>
      </c>
      <c r="R73" s="21" t="s">
        <v>113</v>
      </c>
      <c r="S73" s="22">
        <v>990</v>
      </c>
      <c r="T73" s="22">
        <v>2</v>
      </c>
      <c r="U73" s="22" t="s">
        <v>331</v>
      </c>
      <c r="V73" s="22">
        <v>700</v>
      </c>
      <c r="W73" s="22">
        <v>2</v>
      </c>
      <c r="X73" s="22">
        <v>2</v>
      </c>
      <c r="Y73" s="21" t="s">
        <v>113</v>
      </c>
      <c r="Z73" s="21" t="s">
        <v>113</v>
      </c>
      <c r="AA73" s="21" t="s">
        <v>113</v>
      </c>
      <c r="AB73" s="21" t="s">
        <v>113</v>
      </c>
      <c r="AC73" s="21" t="s">
        <v>113</v>
      </c>
      <c r="AD73" s="21" t="s">
        <v>113</v>
      </c>
      <c r="AE73" s="21" t="s">
        <v>113</v>
      </c>
      <c r="AF73" s="21" t="s">
        <v>113</v>
      </c>
      <c r="AG73" s="21" t="s">
        <v>113</v>
      </c>
      <c r="AH73" s="21" t="s">
        <v>113</v>
      </c>
      <c r="AI73" s="21" t="s">
        <v>113</v>
      </c>
      <c r="AJ73" s="21" t="s">
        <v>113</v>
      </c>
      <c r="AK73" s="21" t="s">
        <v>113</v>
      </c>
      <c r="AL73" s="22">
        <v>2.397940009</v>
      </c>
      <c r="AM73" s="21" t="s">
        <v>113</v>
      </c>
      <c r="AN73" s="21" t="s">
        <v>113</v>
      </c>
      <c r="AO73" s="21" t="s">
        <v>113</v>
      </c>
    </row>
    <row r="74" spans="1:41" ht="15">
      <c r="A74" s="21">
        <v>74</v>
      </c>
      <c r="B74" s="22" t="s">
        <v>334</v>
      </c>
      <c r="C74" s="22">
        <v>85.02</v>
      </c>
      <c r="D74" s="22">
        <v>5.8</v>
      </c>
      <c r="E74" s="22">
        <v>3.5</v>
      </c>
      <c r="F74" s="22">
        <v>0.5</v>
      </c>
      <c r="G74" s="22">
        <v>0</v>
      </c>
      <c r="H74" s="22">
        <v>0.7</v>
      </c>
      <c r="I74" s="22">
        <v>0.06</v>
      </c>
      <c r="J74" s="22">
        <v>0.35</v>
      </c>
      <c r="K74" s="22">
        <v>0</v>
      </c>
      <c r="L74" s="22">
        <v>0</v>
      </c>
      <c r="M74" s="22">
        <v>4</v>
      </c>
      <c r="N74" s="22">
        <v>1</v>
      </c>
      <c r="O74" s="21" t="s">
        <v>113</v>
      </c>
      <c r="P74" s="21" t="s">
        <v>113</v>
      </c>
      <c r="Q74" s="21" t="s">
        <v>113</v>
      </c>
      <c r="R74" s="21" t="s">
        <v>113</v>
      </c>
      <c r="S74" s="22">
        <v>990</v>
      </c>
      <c r="T74" s="22">
        <v>2</v>
      </c>
      <c r="U74" s="22" t="s">
        <v>331</v>
      </c>
      <c r="V74" s="22">
        <v>700</v>
      </c>
      <c r="W74" s="22">
        <v>2</v>
      </c>
      <c r="X74" s="22">
        <v>2</v>
      </c>
      <c r="Y74" s="21" t="s">
        <v>113</v>
      </c>
      <c r="Z74" s="21" t="s">
        <v>113</v>
      </c>
      <c r="AA74" s="21" t="s">
        <v>113</v>
      </c>
      <c r="AB74" s="21" t="s">
        <v>113</v>
      </c>
      <c r="AC74" s="21" t="s">
        <v>113</v>
      </c>
      <c r="AD74" s="21" t="s">
        <v>113</v>
      </c>
      <c r="AE74" s="21" t="s">
        <v>113</v>
      </c>
      <c r="AF74" s="21" t="s">
        <v>113</v>
      </c>
      <c r="AG74" s="21" t="s">
        <v>113</v>
      </c>
      <c r="AH74" s="21" t="s">
        <v>113</v>
      </c>
      <c r="AI74" s="21" t="s">
        <v>113</v>
      </c>
      <c r="AJ74" s="21" t="s">
        <v>113</v>
      </c>
      <c r="AK74" s="21" t="s">
        <v>113</v>
      </c>
      <c r="AL74" s="22">
        <v>1.8920946030000001</v>
      </c>
      <c r="AM74" s="21" t="s">
        <v>113</v>
      </c>
      <c r="AN74" s="21" t="s">
        <v>113</v>
      </c>
      <c r="AO74" s="21" t="s">
        <v>113</v>
      </c>
    </row>
    <row r="75" spans="1:41" ht="15">
      <c r="A75" s="21">
        <v>75</v>
      </c>
      <c r="B75" s="22" t="s">
        <v>334</v>
      </c>
      <c r="C75" s="22">
        <v>85.02</v>
      </c>
      <c r="D75" s="22">
        <v>5.8</v>
      </c>
      <c r="E75" s="22">
        <v>3.5</v>
      </c>
      <c r="F75" s="22">
        <v>0.5</v>
      </c>
      <c r="G75" s="22">
        <v>0</v>
      </c>
      <c r="H75" s="22">
        <v>0.7</v>
      </c>
      <c r="I75" s="22">
        <v>0.06</v>
      </c>
      <c r="J75" s="22">
        <v>0.35</v>
      </c>
      <c r="K75" s="22">
        <v>0</v>
      </c>
      <c r="L75" s="22">
        <v>0</v>
      </c>
      <c r="M75" s="22">
        <v>4</v>
      </c>
      <c r="N75" s="22">
        <v>1</v>
      </c>
      <c r="O75" s="21" t="s">
        <v>113</v>
      </c>
      <c r="P75" s="21" t="s">
        <v>113</v>
      </c>
      <c r="Q75" s="21" t="s">
        <v>113</v>
      </c>
      <c r="R75" s="21" t="s">
        <v>113</v>
      </c>
      <c r="S75" s="22">
        <v>990</v>
      </c>
      <c r="T75" s="22">
        <v>2</v>
      </c>
      <c r="U75" s="22" t="s">
        <v>331</v>
      </c>
      <c r="V75" s="22">
        <v>700</v>
      </c>
      <c r="W75" s="22">
        <v>2</v>
      </c>
      <c r="X75" s="22">
        <v>2</v>
      </c>
      <c r="Y75" s="21" t="s">
        <v>113</v>
      </c>
      <c r="Z75" s="21" t="s">
        <v>113</v>
      </c>
      <c r="AA75" s="21" t="s">
        <v>113</v>
      </c>
      <c r="AB75" s="21" t="s">
        <v>113</v>
      </c>
      <c r="AC75" s="21" t="s">
        <v>113</v>
      </c>
      <c r="AD75" s="21" t="s">
        <v>113</v>
      </c>
      <c r="AE75" s="21" t="s">
        <v>113</v>
      </c>
      <c r="AF75" s="21" t="s">
        <v>113</v>
      </c>
      <c r="AG75" s="21" t="s">
        <v>113</v>
      </c>
      <c r="AH75" s="21" t="s">
        <v>113</v>
      </c>
      <c r="AI75" s="21" t="s">
        <v>113</v>
      </c>
      <c r="AJ75" s="21" t="s">
        <v>113</v>
      </c>
      <c r="AK75" s="21" t="s">
        <v>113</v>
      </c>
      <c r="AL75" s="22">
        <v>1.579783597</v>
      </c>
      <c r="AM75" s="21" t="s">
        <v>113</v>
      </c>
      <c r="AN75" s="21" t="s">
        <v>113</v>
      </c>
      <c r="AO75" s="21" t="s">
        <v>113</v>
      </c>
    </row>
    <row r="76" spans="1:41" ht="15">
      <c r="A76" s="21">
        <v>76</v>
      </c>
      <c r="B76" s="22" t="s">
        <v>334</v>
      </c>
      <c r="C76" s="22">
        <v>85.02</v>
      </c>
      <c r="D76" s="22">
        <v>5.8</v>
      </c>
      <c r="E76" s="22">
        <v>3.5</v>
      </c>
      <c r="F76" s="22">
        <v>0.5</v>
      </c>
      <c r="G76" s="22">
        <v>0</v>
      </c>
      <c r="H76" s="22">
        <v>0.7</v>
      </c>
      <c r="I76" s="22">
        <v>0.06</v>
      </c>
      <c r="J76" s="22">
        <v>0.35</v>
      </c>
      <c r="K76" s="22">
        <v>0</v>
      </c>
      <c r="L76" s="22">
        <v>0</v>
      </c>
      <c r="M76" s="22">
        <v>4</v>
      </c>
      <c r="N76" s="22">
        <v>1</v>
      </c>
      <c r="O76" s="21" t="s">
        <v>113</v>
      </c>
      <c r="P76" s="21" t="s">
        <v>113</v>
      </c>
      <c r="Q76" s="21" t="s">
        <v>113</v>
      </c>
      <c r="R76" s="21" t="s">
        <v>113</v>
      </c>
      <c r="S76" s="22">
        <v>990</v>
      </c>
      <c r="T76" s="22">
        <v>2</v>
      </c>
      <c r="U76" s="22" t="s">
        <v>331</v>
      </c>
      <c r="V76" s="22">
        <v>700</v>
      </c>
      <c r="W76" s="22">
        <v>2</v>
      </c>
      <c r="X76" s="22">
        <v>2</v>
      </c>
      <c r="Y76" s="21" t="s">
        <v>113</v>
      </c>
      <c r="Z76" s="21" t="s">
        <v>113</v>
      </c>
      <c r="AA76" s="21" t="s">
        <v>113</v>
      </c>
      <c r="AB76" s="21" t="s">
        <v>113</v>
      </c>
      <c r="AC76" s="21" t="s">
        <v>113</v>
      </c>
      <c r="AD76" s="21" t="s">
        <v>113</v>
      </c>
      <c r="AE76" s="21" t="s">
        <v>113</v>
      </c>
      <c r="AF76" s="21" t="s">
        <v>113</v>
      </c>
      <c r="AG76" s="21" t="s">
        <v>113</v>
      </c>
      <c r="AH76" s="21" t="s">
        <v>113</v>
      </c>
      <c r="AI76" s="21" t="s">
        <v>113</v>
      </c>
      <c r="AJ76" s="21" t="s">
        <v>113</v>
      </c>
      <c r="AK76" s="21" t="s">
        <v>113</v>
      </c>
      <c r="AL76" s="22">
        <v>1.278753601</v>
      </c>
      <c r="AM76" s="21" t="s">
        <v>113</v>
      </c>
      <c r="AN76" s="21" t="s">
        <v>113</v>
      </c>
      <c r="AO76" s="21" t="s">
        <v>113</v>
      </c>
    </row>
  </sheetData>
  <mergeCells count="13">
    <mergeCell ref="A1:A2"/>
    <mergeCell ref="B1:B2"/>
    <mergeCell ref="C1:M1"/>
    <mergeCell ref="O1:R1"/>
    <mergeCell ref="S1:U1"/>
    <mergeCell ref="AO1:AO2"/>
    <mergeCell ref="AP1:AP2"/>
    <mergeCell ref="AM1:AM2"/>
    <mergeCell ref="AN1:AN2"/>
    <mergeCell ref="V1:X1"/>
    <mergeCell ref="Y1:AE1"/>
    <mergeCell ref="AF1:AG1"/>
    <mergeCell ref="AH1:A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拉伸-按体系</vt:lpstr>
      <vt:lpstr>E</vt:lpstr>
      <vt:lpstr>impact</vt:lpstr>
      <vt:lpstr>creep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zhang</dc:creator>
  <cp:lastModifiedBy>yan zhang</cp:lastModifiedBy>
  <dcterms:created xsi:type="dcterms:W3CDTF">2025-06-17T14:30:39Z</dcterms:created>
  <dcterms:modified xsi:type="dcterms:W3CDTF">2025-12-09T07:54:59Z</dcterms:modified>
</cp:coreProperties>
</file>